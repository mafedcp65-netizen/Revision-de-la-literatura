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Users\mafed\Desktop\"/>
    </mc:Choice>
  </mc:AlternateContent>
  <xr:revisionPtr revIDLastSave="0" documentId="8_{E251FCFD-F789-43D1-9680-163CD13CC93F}" xr6:coauthVersionLast="47" xr6:coauthVersionMax="47" xr10:uidLastSave="{00000000-0000-0000-0000-000000000000}"/>
  <bookViews>
    <workbookView xWindow="-108" yWindow="-108" windowWidth="23256" windowHeight="13896" xr2:uid="{00000000-000D-0000-FFFF-FFFF00000000}"/>
  </bookViews>
  <sheets>
    <sheet name="Datos" sheetId="1" r:id="rId1"/>
    <sheet name="Reglas" sheetId="3" r:id="rId2"/>
    <sheet name="Fuentes" sheetId="6" r:id="rId3"/>
    <sheet name="Algoritmos" sheetId="5" r:id="rId4"/>
    <sheet name="Taxonomia"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5" i="1" l="1"/>
  <c r="U38" i="1"/>
  <c r="U34" i="1"/>
  <c r="U24" i="1"/>
  <c r="U10" i="1"/>
  <c r="U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María Fernanda Del corral Pérez</author>
  </authors>
  <commentList>
    <comment ref="L1" authorId="0" shapeId="0" xr:uid="{8E567F4F-C52D-48CA-AA34-B223BA0A6B4B}">
      <text>
        <r>
          <rPr>
            <b/>
            <sz val="9"/>
            <color indexed="81"/>
            <rFont val="Tahoma"/>
            <family val="2"/>
          </rPr>
          <t>María Fernanda Del corral Pérez:</t>
        </r>
        <r>
          <rPr>
            <sz val="9"/>
            <color indexed="81"/>
            <rFont val="Tahoma"/>
            <family val="2"/>
          </rPr>
          <t xml:space="preserve">
en caso de haber mas de las 7 definidas</t>
        </r>
      </text>
    </comment>
    <comment ref="N1" authorId="0" shapeId="0" xr:uid="{DD0354BB-BF91-49BF-AC5E-31D3DDA9C357}">
      <text>
        <r>
          <rPr>
            <b/>
            <sz val="9"/>
            <color indexed="81"/>
            <rFont val="Tahoma"/>
            <family val="2"/>
          </rPr>
          <t>María Fernanda Del corral Pérez:</t>
        </r>
        <r>
          <rPr>
            <sz val="9"/>
            <color indexed="81"/>
            <rFont val="Tahoma"/>
            <family val="2"/>
          </rPr>
          <t xml:space="preserve">
en caso de haber mas de las 26 definida</t>
        </r>
      </text>
    </comment>
    <comment ref="P1" authorId="0" shapeId="0" xr:uid="{CF9638D1-30BA-402E-8CB4-8F6C8A74EEF9}">
      <text>
        <r>
          <rPr>
            <b/>
            <sz val="9"/>
            <color indexed="81"/>
            <rFont val="Tahoma"/>
            <family val="2"/>
          </rPr>
          <t>María Fernanda Del corral Pérez:</t>
        </r>
        <r>
          <rPr>
            <sz val="9"/>
            <color indexed="81"/>
            <rFont val="Tahoma"/>
            <family val="2"/>
          </rPr>
          <t xml:space="preserve">
describir en pocas palabras el pipeline propio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María Fernanda Del corral Pérez</author>
  </authors>
  <commentList>
    <comment ref="C19" authorId="0" shapeId="0" xr:uid="{21091956-7A99-44E7-8FDD-41601CC24DE2}">
      <text>
        <r>
          <rPr>
            <b/>
            <sz val="9"/>
            <color indexed="81"/>
            <rFont val="Tahoma"/>
            <family val="2"/>
          </rPr>
          <t>María Fernanda Del corral Pérez:</t>
        </r>
        <r>
          <rPr>
            <sz val="9"/>
            <color indexed="81"/>
            <rFont val="Tahoma"/>
            <family val="2"/>
          </rPr>
          <t xml:space="preserve">
sin secicion exacta, une 2 capitulos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María Fernanda Del corral Pérez</author>
  </authors>
  <commentList>
    <comment ref="B16" authorId="0" shapeId="0" xr:uid="{97378261-65DE-4A34-8F28-30F78E49C243}">
      <text>
        <r>
          <rPr>
            <b/>
            <sz val="9"/>
            <color indexed="81"/>
            <rFont val="Tahoma"/>
            <family val="2"/>
          </rPr>
          <t xml:space="preserve">identificacion de potenciales casos nuevos (reportability o reportabilidad </t>
        </r>
      </text>
    </comment>
    <comment ref="C17" authorId="0" shapeId="0" xr:uid="{ABE3A408-6DA2-4803-BF59-7694F9470276}">
      <text>
        <r>
          <rPr>
            <b/>
            <sz val="9"/>
            <color indexed="81"/>
            <rFont val="Tahoma"/>
            <family val="2"/>
          </rPr>
          <t xml:space="preserve">estado vital, fecha de defuncion y causa </t>
        </r>
      </text>
    </comment>
  </commentList>
</comments>
</file>

<file path=xl/sharedStrings.xml><?xml version="1.0" encoding="utf-8"?>
<sst xmlns="http://schemas.openxmlformats.org/spreadsheetml/2006/main" count="6532" uniqueCount="3778">
  <si>
    <t>Título</t>
  </si>
  <si>
    <t>resumen</t>
  </si>
  <si>
    <t>Autores</t>
  </si>
  <si>
    <t>Enlace</t>
  </si>
  <si>
    <t xml:space="preserve">palabras clave </t>
  </si>
  <si>
    <t>Año de publicacion</t>
  </si>
  <si>
    <t>Revista</t>
  </si>
  <si>
    <t xml:space="preserve">Base de datos del articulo </t>
  </si>
  <si>
    <t>¿se incluye el articulo?</t>
  </si>
  <si>
    <t xml:space="preserve">motivo de la no inclusion </t>
  </si>
  <si>
    <t>Tarea analítica</t>
  </si>
  <si>
    <t>Otras tareas analíticas</t>
  </si>
  <si>
    <t>Algoritmos</t>
  </si>
  <si>
    <t>Otros algoritmos</t>
  </si>
  <si>
    <t>Aplicación PLN Clinico</t>
  </si>
  <si>
    <t>Pipeline propio, cual?</t>
  </si>
  <si>
    <t>Enfoque</t>
  </si>
  <si>
    <t xml:space="preserve">Sitio del cáncer </t>
  </si>
  <si>
    <t>Tipo de documento de donde sale el dato</t>
  </si>
  <si>
    <t>Proceso dentro del registro</t>
  </si>
  <si>
    <t>Cantidad de datos que se ingresan al modelo</t>
  </si>
  <si>
    <t>Predicción clínica</t>
  </si>
  <si>
    <t>Lugar de estudio</t>
  </si>
  <si>
    <t>Comentarios</t>
  </si>
  <si>
    <t>Información cualitativa</t>
  </si>
  <si>
    <t>Sitio específico</t>
  </si>
  <si>
    <t>A text-mining approach to obtain detailed treatment information from free-text fields in population-based cancer registries: A study of non-small cell lung cancer in California.</t>
  </si>
  <si>
    <t>Background: Population-based cancer registries have treatment information for all patients making them an excellent resource for population-level monitoring. However, specific treatment details, such as drug names, are contained in a free-text format that is difficult to process and summarize. We assessed the accuracy and efficiency of a text-mining algorithm to identify systemic treatments for lung cancer from free-text fields in the California Cancer Registry. Methods: The algorithm used Perl regular expressions in SAS 9.4 to search for treatments in 24,845 free-text records associated with 17,310 patients in California diagnosed with stage IV non-small cell lung cancer between 2012 and 2014. Our algorithm categorized treatments into six groups that align with National Comprehensive Cancer Network guidelines. We compared results to a manual review (gold standard) of the same records. Results: Percent agreement ranged from 91.1% to 99.4%. Ranges for other measures were 0.71–0.92 (Kappa), 74.3%-97.3% (sensitivity), 92.4%-99.8% (specificity), 60.4%-96.4% (positive predictive value), and 92.9%-99.9% (negative predictive value). The text-mining algorithm used one-sixth of the time required for manual review. Conclusion: SAS-based text mining of free-text data can accurately detect systemic treatments administered to patients and save considerable time compared to manual review, maximizing the utility of the extant information in population-based cancer registries for comparative effectiveness research.</t>
  </si>
  <si>
    <t>Maguire Frances B.,Morris Cyllene R.,Parikh-Patel Arti,Cress Rosemary D.,Keegan Theresa H. M.,Li Chin-Shang,Lin Patrick S.,Kizer Kenneth W.</t>
  </si>
  <si>
    <t>https://research.ebsco.com/linkprocessor/plink?id=c49df4b7-8c0c-336f-8db4-3e01a0c12981</t>
  </si>
  <si>
    <t>Non-small-cell lung carcinoma,Lung cancer treatment,Text mining,Algorithms,Accuracy</t>
  </si>
  <si>
    <t>PLOS ONE</t>
  </si>
  <si>
    <t>ebsco</t>
  </si>
  <si>
    <t>si</t>
  </si>
  <si>
    <t>Clasificación de texto</t>
  </si>
  <si>
    <t>Identificación de fármacos específicos y Agrupación en regímenes de tratamiento</t>
  </si>
  <si>
    <t>Otro</t>
  </si>
  <si>
    <t>regular expressions</t>
  </si>
  <si>
    <t>Pipeline propio</t>
  </si>
  <si>
    <t>Procesos de apareamiento en SAS, comparación (grado de acuerdo) con método manual de extracción de datos de tratamiento farmacológico. Podría haber más detalles en material suplementario.</t>
  </si>
  <si>
    <t>Tarea única</t>
  </si>
  <si>
    <t>Solo sólidos</t>
  </si>
  <si>
    <t>Sistemas de notificación obligatoria</t>
  </si>
  <si>
    <t>Extracción de elementos clave</t>
  </si>
  <si>
    <t>Clasificación</t>
  </si>
  <si>
    <t>Estados Unidos</t>
  </si>
  <si>
    <t>Pulmón, célula no pequeña estadio IV</t>
  </si>
  <si>
    <t>An End-to-End Natural Language Processing System for Automatically Extracting Radiation Therapy Events From Clinical Texts</t>
  </si>
  <si>
    <t>Purpose: Real-world evidence for radiation therapy (RT) is limited because it is often documented only in the clinical narrative. We developed a natural language processing system for automated extraction of detailed RT events from text to support clinical phenotyping. Methods and Materials: A multi-institutional data set of 96 clinician notes, 129 North American Association of Central Cancer Registries cancer abstracts, and 270 RT prescriptions from HemOnc.org was used and divided into train, development, and test sets. Documents were annotated for RT events and associated properties: dose, fraction frequency, fraction number, date, treatment site, and boost. Named entity recognition models for properties were developed by fine-tuning BioClinicalBERT and RoBERTa transformer models. A multiclass RoBERTa-based relation extraction model was developed to link each dose mention with each property in the same event. Models were combined with symbolic rules to create a hybrid end-to-end pipeline for comprehensive RT event extraction. Results: Named entity recognition models were evaluated on the held-out test set with F1 results of 0.96, 0.88, 0.94, 0.88, 0.67, and 0.94 for dose, fraction frequency, fraction number, date, treatment site, and boost, respectively. The relation model achieved an average F1 of 0.86 when the input was gold-labeled entities. The end-to-end system F1 result was 0.81. The end-to-end system performed best on North American Association of Central Cancer Registries abstracts (average F1 0.90), which are mostly copy–paste content from clinician notes. Conclusions: We developed methods and a hybrid end-to-end system for RT event extraction, which is the first natural language processing system for this task. This system provides proof-of-concept for real-world RT data collection for research and is promising for the potential of natural language processing methods to support clinical care. © 2023 Elsevier Inc.</t>
  </si>
  <si>
    <t>Bitterman,D.S.,Goldner,E.,Finan,S.,Harris,D.,Durbin,E.B.,Hochheiser,H.,Warner,J.L.,Mak,R.H.,Miller,T.,Savova,G.K.</t>
  </si>
  <si>
    <t>https://www.scopus.com/inward/record.uri?eid=2-s2.0-85153183126&amp;doi=10.1016%2Fj.ijrobp.2023.03.055&amp;partnerID=40&amp;md5=a397b4be50c6e4f0d6ec06aad90d14d0</t>
  </si>
  <si>
    <t/>
  </si>
  <si>
    <t>International Journal of Radiation Oncology, Biology, Physics</t>
  </si>
  <si>
    <t xml:space="preserve">scopus </t>
  </si>
  <si>
    <t>Reconocimiento de entidades (NER),Extracción de relaciones (RE)</t>
  </si>
  <si>
    <t>Transformers,Otro</t>
  </si>
  <si>
    <t>Pymbolic rules</t>
  </si>
  <si>
    <t>Pipeline end2end híbrido con módulos, Dose-Property con RoBERTa, post-procesamiento con reglas</t>
  </si>
  <si>
    <t>Multitarea analítica</t>
  </si>
  <si>
    <t xml:space="preserve">Notas clínicas </t>
  </si>
  <si>
    <t>Application of text information extraction system for real-time cancer case identification in an integrated healthcare organization</t>
  </si>
  <si>
    <t>Background: Surgical pathology reports (SPR) contain rich clinical diagnosis information. The text information extraction system (TIES) is an end-to-end application leveraging natural language processing technologies and focused on the processing of pathology and/or radiology reports. Methods: We deployed the TIES system and integrated SPRs into the TIES system on a daily basis at Kaiser Permanente Southern California. The breast cancer cases diagnosed in December 2013 from the Cancer Registry (CANREG) were used to validate the performance of the TIES system. The National Cancer Institute Metathesaurus (NCIM) concept terms and codes to describe breast cancer were identified through the Unified Medical Language System Terminology Service (UTS) application. The identified NCIM codes were used to search for the coded SPRs in the back-end datastore directly. The identified cases were then compared with the breast cancer patients pulled from CANREG. Results: A total of 437 breast cancer concept terms and 14 combinations of 'breast' and 'cancer' terms were identified from the UTS application. A total of 249 breast cancer cases diagnosed in December 2013 was pulled from CANREG. Out of these 249 cases, 241 were successfully identified by the TIES system from a total of 457 reports. The TIES system also identified an additional 277 cases that were not part of the validation sample. Out of the 277 cases, 11% were determined as highly likely to be cases after manual examinations, and 86% were in CANREG but were diagnosed in months other than December of 2013. Conclusions: The study demonstrated that the TIES system can effectively identify potential breast cancer cases in our care setting. Identified potential cases can be easily confirmed by reviewing the corresponding annotated reports through the front-end visualization interface. The TIES system is a great tool for identifying potential various cancer cases in a timely manner and on a regular basis in support of clinical research studies. © 2017 Journal of Pathology Informatics.</t>
  </si>
  <si>
    <t>Xie,F.,Lee,J.,Muñoz-Plaza,C.,Hahn,E.,Chen,W.</t>
  </si>
  <si>
    <t>https://www.scopus.com/inward/record.uri?eid=2-s2.0-85053373219&amp;doi=10.4103%2Fjpi.jpi_55_17&amp;partnerID=40&amp;md5=c1ebc433f8d22555681b41937252d4c7</t>
  </si>
  <si>
    <t>Breast cancer,case identification,natural language processing,pathology reports,text information extraction system</t>
  </si>
  <si>
    <t>Journal of Pathology Informatics</t>
  </si>
  <si>
    <t>Reconocimiento de entidades (NER),Normalización de conceptos,Recuperación de información,Clasificación de texto</t>
  </si>
  <si>
    <t>Inverted index</t>
  </si>
  <si>
    <t>Reporte patológico,Reporte de imágenes,Notas clínicas</t>
  </si>
  <si>
    <t>Identificar si un reporte hace mención de cáncer,Extracción de elementos clave,Identificación de la procedencia del caso</t>
  </si>
  <si>
    <t>Ascertainment of Veterans With Metastatic Prostate Cancer in Electronic Health Records: Demonstrating the Case for Natural Language Processing</t>
  </si>
  <si>
    <t>PURPOSE: Prostate cancer (PCa) is among the leading causes of cancer deaths. While localized PCa has a 5-year survival rate approaching 100%, this rate drops to 31% for metastatic prostate cancer (mPCa). Thus, timely identification of mPCa is a crucial step toward measuring and improving access to innovations that reduce PCa mortality. Yet, methods to identify patients diagnosed with mPCa remain elusive. Cancer registries provide detailed data at diagnosis but are not updated throughout treatment. This study reports on the development and validation of a natural language processing (NLP) algorithm deployed on oncology, urology, and radiology clinical notes to identify patients with a diagnosis or history of mPCa in the Department of Veterans Affairs. PATIENTS AND METHODS: Using a broad set of diagnosis and histology codes, the Veterans Affairs Corporate Data Warehouse was queried to identify all Veterans with PCa. An NLP algorithm was developed to identify patients with any history or progression of mPCa. The NLP algorithm was prototyped and developed iteratively using patient notes, grouped into development, training, and validation subsets. RESULTS: A total of 1,144,610 Veterans were diagnosed with PCa between January 2000 and October 2020, among which 76,082 (6.6%) were identified by NLP as having mPCa at some point during their care. The NLP system performed with a specificity of 0.979 and sensitivity of 0.919. CONCLUSION: Clinical documentation of mPCa is highly reliable. NLP can be leveraged to improve PCa data. When compared to other methods, NLP identified a significantly greater number of patients. NLP can be used to augment cancer registry data, facilitate research inquiries, and identify patients who may benefit from innovations in mPCa treatment.</t>
  </si>
  <si>
    <t>Alba,P.R.,Gao,A.,Lee,K.M.,Anglin-Foote,T.,Robison,B.,Katsoulakis,E.,Rose,B.S.,Efimova,O.,Ferraro,J.P.,Patterson,O.V.,Shelton,J.B.,DuVall,S.L.,Lynch,J.A.</t>
  </si>
  <si>
    <t>https://www.scopus.com/inward/record.uri?eid=2-s2.0-85117272489&amp;doi=10.1200%2FCCI.21.00030&amp;partnerID=40&amp;md5=84fa7a24e5fb39105696b286e36978f8</t>
  </si>
  <si>
    <t>JCO Clinical Cancer Informatics</t>
  </si>
  <si>
    <t>Word embeddings,Otro</t>
  </si>
  <si>
    <t>rule-based</t>
  </si>
  <si>
    <t>Usan datos estructurados para armar la cohorte con cancer de prostata y luego procesan notas clinicas y de radiologia con patrones</t>
  </si>
  <si>
    <t>Identificar si un reporte hace mención de cáncer,Extracción de elementos clave</t>
  </si>
  <si>
    <t>Assessing the Utility of Automatic Cancer Registry Notifications Data Extraction from Free-Text Pathology Reports</t>
  </si>
  <si>
    <t>Cancer Registries record cancer data by reading and interpreting pathology cancer specimen reports. For some Registries this can be a manual process, which is labour and time intensive and subject to errors. A system for automatic extraction of cancer data from HL7 electronic free-text pathology reports has been proposed to improve the workflow efficiency of the Cancer Registry. The system is currently processing an incoming trickle feed of HL7 electronic pathology reports from across the state of Queensland in Australia to produce an electronic cancer notification. Natural language processing and symbolic reasoning using SNOMED CT were adopted in the system; Queensland Cancer Registry business rules were also incorporated. A set of 220 unseen pathology reports selected from patients with a range of cancers was used to evaluate the performance of the system. The system achieved overall recall of 0.78, precision of 0.83 and F-measure of 0.80 over seven categories, namely, basis of diagnosis (3 classes), primary site (66 classes), laterality (5 classes), histological type (94 classes), histological grade (7 classes), metastasis site (19 classes) and metastatic status (2 classes). These results are encouraging given the large cross-section of cancers. The system allows for the provision of clinical coding support as well as indicative statistics on the current state of cancer, which is not otherwise available.</t>
  </si>
  <si>
    <t>Nguyen,A.,Moore,J.,O'Dwyer,J.,Philpot,S.</t>
  </si>
  <si>
    <t>https://www.scopus.com/inward/record.uri?eid=2-s2.0-85031941437&amp;partnerID=40&amp;md5=86bed3177c84ff1af4b18f2e2a49fbe1</t>
  </si>
  <si>
    <t>AMIA Annual Symposium Proceedings</t>
  </si>
  <si>
    <t>Reconocimiento de entidades (NER),Extracción de relaciones (RE),Normalización de conceptos,Clasificación de texto</t>
  </si>
  <si>
    <t xml:space="preserve">Toman reportes de patologia, normalizan el texto, aplican reglas y prosesan el mensaje </t>
  </si>
  <si>
    <t>Todos los sitios como topografia</t>
  </si>
  <si>
    <t>Reporte patológico,Reportes de laboratorio,Autopsias</t>
  </si>
  <si>
    <t>Identificar si un reporte hace mención de cáncer,Extracción de elementos clave,Identificación de la procedencia del caso,Extracción de información de biomarcadores,Identificación de la recurrencia o metástasis,Identificación de primarios múltiples,Otros</t>
  </si>
  <si>
    <t>Australia</t>
  </si>
  <si>
    <t>Automated Cancer Registry Notifications: Validation of a Medical Text Analytics System for Identifying Patients with Cancer from a State-Wide Pathology Repository</t>
  </si>
  <si>
    <t>The paper assesses the utility of Medtex on automating Cancer Registry notifications from narrative histology and cytology reports from the Queensland state-wide pathology information system. A corpus of 45.3 million pathology HL7 messages (including 119,581 histology and cytology reports) from a Queensland pathology repository for the year of 2009 was analysed by Medtex for cancer notification. Reports analysed by Medtex were consolidated at a patient level and compared against patients with notifiable cancers from the Queensland Oncology Repository (QOR). A stratified random sample of 1,000 patients was manually reviewed by a cancer clinical coder to analyse agreements and discrepancies. Sensitivity of 96.5% (95% confidence interval: 94.5-97.8%), specificity of 96.5% (95.3-97.4%) and positive predictive value of 83.7% (79.6-86.8%) were achieved for identifying cancer notifiable patients. Medtex achieved high sensitivity and specificity across the breadth of cancers, report types, pathology laboratories and pathologists throughout the State of Queensland. The high sensitivity also resulted in the identification of cancer patients that were not found in the QOR. High sensitivity was at the expense of positive predictive value; however, these cases may be considered as lower priority to Cancer Registries as they can be quickly reviewed. Error analysis revealed that system errors tended to be tumour stream dependent. Medtex is proving to be a promising medical text analytic system. High value cancer information can be generated through intelligent data classification and extraction on large volumes of unstructured pathology reports.</t>
  </si>
  <si>
    <t>https://www.scopus.com/inward/record.uri?eid=2-s2.0-85027461774&amp;partnerID=40&amp;md5=51e9e1441e9e8d5921c32dfc4368f430</t>
  </si>
  <si>
    <t>Reconocimiento de entidades (NER),Normalización de conceptos,Clasificación de texto</t>
  </si>
  <si>
    <t>GATE</t>
  </si>
  <si>
    <t>Reporte patológico</t>
  </si>
  <si>
    <t>Automated classification of cancer morphology from Italian pathology reports using Natural Language Processing techniques: A rule-based approach.</t>
  </si>
  <si>
    <t>Pathology reports represent a primary source of information for cancer registries. Hospitals routinely process high volumes of free-text reports, a valuable source of information regarding cancer diagnosis for improving clinical care and supporting research. Information extraction and coding of textual unstructured data is typically a manual, labour-intensive process. There is a need to develop automated approaches to extract meaningful information from such texts in a reliable and accurate way. In this scenario, Natural Language Processing (NLP) algorithms offer a unique opportunity to automatically encode the unstructured reports into structured data, thus representing a potential powerful alternative to expensive manual processing. However, notwithstanding the increasing interest in this area, there is still limited availability of NLP approaches for pathology reports in languages other than English, including Italian, to date. The aim of our work was to develop an automated algorithm based on NLP techniques, able to identify and classify the morphological content of pathology reports in the Italian language with micro-averaged performance scores higher than 95%. Specifically, a novel, domain-specific classifier that uses linguistic rules was developed and tested on 27,239 pathology reports from a single Italian oncological centre, following the International Classification of Diseases for Oncology morphology classification standard (ICD-O-M). The proposed classification algorithm achieved successful results with a micro-F &lt;sub&gt;1&lt;/sub&gt; score of 98.14% on 9594 pathology reports in the test dataset. This algorithm relies on rules defined on data from a single hospital that is specifically dedicated to cancer, but it is based on general processing steps which can be applied to different datasets. Further research will be important to demonstrate the generalizability of the proposed approach on a larger corpus from different hospitals.</t>
  </si>
  <si>
    <t>Hammami Linda,Paglialonga Alessia,Pruneri Giancarlo,Torresani Michele,Sant Milena,Bono Carlo,Caiani Enrico Gianluca,Baili Paolo</t>
  </si>
  <si>
    <t>https://research.ebsco.com/linkprocessor/plink?id=12358726-e3b2-3e2a-9ab1-f12100223dfe</t>
  </si>
  <si>
    <t>Italy,Natural Language Processing,Neoplasms diagnosis,Humans,Information Storage and Retrieval,Italy,Language</t>
  </si>
  <si>
    <t>Journal of Biomedical Informatics</t>
  </si>
  <si>
    <t>Clasificación de texto,Normalización de conceptos</t>
  </si>
  <si>
    <t>Detección de negación</t>
  </si>
  <si>
    <t>(1) Primero se realiza el preprocesamiento del texto, que incluye tokenización, stemming y eliminación de stopwords, utilizando la librería NLTK.
(2) Posteriormente, como parte del proceso de limpieza, se implementa un corrector ortográfico (spell checker) basado en la distancia de edición de Levenshtein, con el fin de corregir errores de escritura frecuentes.
(3) Además, se emplean n-grams para unir secuencias de palabras y representarlas como una sola unidad semántica, lo cual mejora la precisión de la clasificación al evitar interpretaciones erróneas de términos aislados. Finalmente, se realiza la detección de negación en texto no estructurado mediante un conjunto de reglas lingüísticas.
(4) Con el texto ya procesado, se aplica el modelo de clasificación, el cual corresponde a un enfoque rule-based basado en reglas definidas para asignar la categoría correspondiente.
(5) Por último, el modelo se evalúa comparando sus resultados con un gold standard y calculando métricas como accuracy, precision, recall y F1-score.</t>
  </si>
  <si>
    <t>Italia</t>
  </si>
  <si>
    <t>Automated Classification of Semi-Structured Pathology Reports into ICD-O Using SVM in Portuguese.</t>
  </si>
  <si>
    <t>Pathology reports are a main source of information regarding cancer diagnosis and are commonly written following semi-structured templates that include tumour localisation and behaviour. In this work, we evaluated the efficiency of support vector machines (SVMs) to classify pathology reports written in Portuguese into the International Classification of Diseases for Oncology (ICD-O), a biaxial classification of cancer topography and morphology. A partnership program with the Brazilian hospital A.C. Camargo Cancer Center provided anonymised pathology reports and structured data from 94,980 patients used for training and validation. We employed SVMs with tf-idf weighting scheme in a bag-of-words approach and report F1 score of 0.82 for 18 sites and 0.73 for 49 morphology classes. With the largest dataset ever used in such a task, our work provides reliable estimates for the classification of pathology reports in Portuguese and agrees with a few similar studies published in the same kind of data in other languages.</t>
  </si>
  <si>
    <t>Oleynik Michel,Patrão Diogo F C,Finger Marcelo</t>
  </si>
  <si>
    <t>https://research.ebsco.com/linkprocessor/plink?id=0b260aec-cd5a-3963-8105-5e7188db3d58</t>
  </si>
  <si>
    <t>International Classification of Diseases organization &amp; administration,Neoplasms pathology,Support Vector Machine,Brazil,Humans,Neoplasms diagnosis,Registries</t>
  </si>
  <si>
    <t>Studies in Health Technology and Informatics</t>
  </si>
  <si>
    <t>Support Vector Machine (SVM),TF–IDF,Vector space model (VSM)</t>
  </si>
  <si>
    <t>Unifican los reportes por paciente, los pasan a bolsa de palabras, aplican TF–IDF y entrenan un SVM lineal para predecir códigos ICD-O</t>
  </si>
  <si>
    <t>Identificar si un reporte hace mención de cáncer,Extracción de elementos clave,Identificación de la recurrencia o metástasis</t>
  </si>
  <si>
    <t>Brasil</t>
  </si>
  <si>
    <t>Automated Extraction and Classification of Cancer Stage Mentions fromUnstructured Text Fields in a Central Cancer Registry.</t>
  </si>
  <si>
    <t>Cancer stage is one of the most important prognostic parameters in most cancer subtypes. The American Joint Com-mittee on Cancer (AJCC) specifies criteria for staging each cancer type based on tumor characteristics (T), lymph node involvement (N), and tumor metastasis (M) known as TNM staging system. Information related to cancer stage is typically recorded in clinical narrative text notes and other informal means of communication in the Electronic Health Record (EHR). As a result, human chart-abstractors (known as certified tumor registrars) have to search through volu-minous amounts of text to extract accurate stage information and resolve discordance between different data sources. This study proposes novel applications of natural language processing and machine learning to automatically extract and classify TNM stage mentions from records at the Utah Cancer Registry. Our results indicate that TNM stages can be extracted and classified automatically with high accuracy (extraction sensitivity: 95.5%-98.4% and classification sensitivity: 83.5%-87%).</t>
  </si>
  <si>
    <t>AAlAbdulsalam Abdulrahman K,Garvin Jennifer H,Redd Andrew,Carter Marjorie E,Sweeny Carol,Meystre Stephane M</t>
  </si>
  <si>
    <t>https://research.ebsco.com/linkprocessor/plink?id=7be24f63-885c-3034-b371-b37f4bc99afd</t>
  </si>
  <si>
    <t>AMIA Joint Summits on Translational Science Proceedings</t>
  </si>
  <si>
    <t>Reconocimiento de entidades (NER),Clasificación de texto, Extracción de relaciones (RE)</t>
  </si>
  <si>
    <t>Extracción de atributos contextuales (específicamente el atributo de "Timing" para distinguir entre estadios clínicos y patológicos)</t>
  </si>
  <si>
    <t>Conditional Random Fields (CRF)</t>
  </si>
  <si>
    <t xml:space="preserve">Pattern-matching </t>
  </si>
  <si>
    <t>cTakes, Otro</t>
  </si>
  <si>
    <t>Apache UIMA,ClearTk</t>
  </si>
  <si>
    <t>Reporte patológico,Sistemas de notificación obligatoria</t>
  </si>
  <si>
    <t>Extracción de elementos clave,Otros</t>
  </si>
  <si>
    <t>Colon, pulmón y próstata</t>
  </si>
  <si>
    <t>Automated extraction of information from free text of Spanish oncology pathology reports</t>
  </si>
  <si>
    <t>Background: Pathology reports are stored as unstructured, ungrammatical, fragmented, and abbreviated free text with linguistic variability among pathologists. For this reason, tumor information extraction requires a significant human effort. Recording data in an efficient and high-quality format is essential in implementing and establishing a hospital-based-cancer registry Objective: This study aimed to describe implementing a natural language processing algorithm for oncology pathology reports. Methods: An algorithm was developed to process oncology pathology reports in Spanish to extract 20 medical descriptors. The approach is based on the successive coincidence of regular expressions. Results: The validation was performed with 140 pathological reports. The topography identification was performed manually by humans and the algorithm in all reports. The human identified morphology in 138 reports and by the algorithm in 137. The average fuzzy matching score was 68.3 for Topography and 89.5 for Morphology. Conclusion: A preliminary algorithm validation against human extraction was performed over a small set of reports with satisfactory results. This shows that a regular-expression approach can accurately and precisely extract multiple specimen attributes from free-text Spanish pathology reports. Additionally, we developed a website to facilitate collaborative validation at a larger scale which may be helpful for future research on the subject.</t>
  </si>
  <si>
    <t>Mendoza-Urbano DM,Garcia JF,Moreno JS,Bravo-Ocaña JC,Riascos AJ,Harvey AZ,Prada SI</t>
  </si>
  <si>
    <t>https://www.webofscience.com/wos/woscc/full-record/WOS:000995639700002</t>
  </si>
  <si>
    <t>National Program of Cancer Regis-tries; artificial intelligence; ontology learning; data science; cancer pathol-ogy reports; regular expressions; algorithm</t>
  </si>
  <si>
    <t>Colombia Médica</t>
  </si>
  <si>
    <t xml:space="preserve">web of sciece </t>
  </si>
  <si>
    <t>Reconocimiento de entidades (NER),Clasificación de texto,Normalización de conceptos</t>
  </si>
  <si>
    <t>Regular expressions ,Fuzzy matching,Pattern matching</t>
  </si>
  <si>
    <t>Pipeline basado en reglas y NLP que incluye: (1) selección de secciones del reporte de patología (diagnóstico, descripción macroscópica y microscópica) y orden de búsqueda, (2) identificación de marcadores que introducen valores de descriptores, (3) identificación de palabras clave relacionadas con descriptores usando tesauros construidos con base en ICD-O en español, (4) extracción de texto relevante mediante coincidencia sucesiva de expresiones regulares y pattern matching, (5) análisis del valor del texto mediante fuzzy matching, (6) búsqueda de modificadores relevantes en palabras cercanas</t>
  </si>
  <si>
    <t>Extracción de elementos clave,Identificación si un reporte menciona cáncer</t>
  </si>
  <si>
    <t>Colombia</t>
  </si>
  <si>
    <t>Este es el primer estudio enfocado en reportes de patología oncológica en español.  El algoritmo extrae 20 descriptores médicos clave del cáncer.</t>
  </si>
  <si>
    <t>Automated Identification of Breast Cancer Relapse in Computed Tomography Reports Using Natural Language Processing</t>
  </si>
  <si>
    <t>PURPOSEBreast cancer relapses are rarely collected by cancer registries because of logistical and financial constraints. Hence, we investigated natural language processing (NLP), enhanced with state-of-the-art deep learning transformer tools and large language models, to automate relapse identification in the text of computed tomography (CT) reports.METHODSWe analyzed follow-up CT reports from patients diagnosed with breast cancer between January 1, 2005, and December 31, 2014. The reports were curated and annotated for the presence or absence of local, regional, and distant breast cancer relapses. We performed 10-fold cross-validation to evaluate models identifying different types of relapses in CT reports. Model performance was assessed with classification metrics, reported with 95% confidence intervals.RESULTSIn our data set of 1,445 CT reports, 799 (55.3%) described any relapse, 72 (5.0%) local relapses, 97 (6.7%) regional relapses, and 743 (51.4%) distant relapses. The any-relapse model achieved an accuracy of 89.6% (87.8-91.1), with a sensitivity of 93.2% (91.4-94.9) and a specificity of 84.2% (80.9-87.1). The local relapse model achieved an accuracy of 94.6% (93.3-95.7), a sensitivity of 44.4% (32.8-56.3), and a specificity of 97.2% (96.2-98.0). The regional relapse model showed an accuracy of 93.6% (92.3-94.9), a sensitivity of 70.1% (60.0-79.1), and a specificity of 95.3% (94.2-96.5). Finally, the distant relapse model demonstrated an accuracy of 88.1% (86.2-89.7), a sensitivity of 91.8% (89.9-93.8), and a specificity of 83.7% (80.5-86.4).CONCLUSIONWe developed NLP models to identify local, regional, and distant breast cancer relapses from CT reports. Automating the identification of breast cancer relapses can enhance data collection about patient outcomes. © American Society of Clinical Oncology.</t>
  </si>
  <si>
    <t>Lee,J.J.,Zepeda,A.,Arbour,G.,Isaac,K.V.,Ng,R.T.,Nichol,A.M.</t>
  </si>
  <si>
    <t>https://www.scopus.com/inward/record.uri?eid=2-s2.0-85213467360&amp;doi=10.1200%2FCCI.24.00107&amp;partnerID=40&amp;md5=387e8b03b808b3f7ef7735d301225a89</t>
  </si>
  <si>
    <t>Clasificación de texto,Reconocimiento de entidades (NER)</t>
  </si>
  <si>
    <t>Transformers,Attention mechanisms</t>
  </si>
  <si>
    <t>BERT ,Regular expressions</t>
  </si>
  <si>
    <t>Pipeline NLP basado en BERT que incluye: (1) preprocesamiento con segmentación de reportes usando expresiones regulares para extraer secciones de Impresión y Hallazgos, (2) tokenización con BlueBERT tokenizer, (3) extracción de frases alrededor de términos clave como "metastasis" o "malignancy", (4) clasificación binaria usando modelo BlueBERT (fine-tuned), (5) validación cruzada</t>
  </si>
  <si>
    <t>Reporte de imágenes</t>
  </si>
  <si>
    <t>Identificación de la recurrencia o metástasis</t>
  </si>
  <si>
    <t>Canadá</t>
  </si>
  <si>
    <t>Cancér de mama</t>
  </si>
  <si>
    <t>AUTOMATIC CLASSIFICATION OF CANCER PATHOLOGY REPORTS WRITTEN IN SPANISH: A MACHINE-LEARNING APPROACH</t>
  </si>
  <si>
    <t>Pathology reports represent a rich information resource that describes cancer characteristics in a document written in a free text format. Extracting information from pathology reports is crucial to support cancer research. However, this is a challenging task because these reports are written in medical natural language. In this paper, we propose a machine learningbased approach to extract information automatically from pathology reports written in Spanish. The approach consists of two models: the first one classifies a pathology report into two categories (positive or negative for cancer). The second extracts the cancer tumor site from the pathology text documents. The proposed approach obtains an F1-score of 88% for the first model and 84% for the second model. The obtained results suggest that the proposed approach is feasible to support automatic information from pathology reports written in Spanish.</t>
  </si>
  <si>
    <t>Nelson-Alejandro Portilla, Oswaldo Solarte-Pabón, Luis-Eduardo Bravo</t>
  </si>
  <si>
    <t>https://doi.org/10.19053/01211129.v33.n68.2024.18080</t>
  </si>
  <si>
    <t>automatic classification,cancer registries,machine-learning,pathology reports</t>
  </si>
  <si>
    <t>Revista Facultad de Ingeniería</t>
  </si>
  <si>
    <t>Redalyc</t>
  </si>
  <si>
    <t>Support Vector Machine (SVM),Naive Bayes (NB),Decision trees,Multilayer perceptron / deep neural network (MLP/DNN),TF–IDF,Otro</t>
  </si>
  <si>
    <t>Stochastic Gradient Descent,Nearest Centroid Classifier</t>
  </si>
  <si>
    <t>Preprocessing + cancer concept annotation con UMLS,diccionarios médicos y reglas/expresiones regulares + negation detection + representación TF–IDF para extracción del sitio tumoral.</t>
  </si>
  <si>
    <t>Solo solidos</t>
  </si>
  <si>
    <t>dentificar si un reporte menciona cáncer,Extracción de elementos clave</t>
  </si>
  <si>
    <t>Automatic extraction of cancer registry reportable information from free-text pathology reports using multitask convolutional neural networks</t>
  </si>
  <si>
    <t>Objective: We implement 2 different multitask learning (MTL) techniques, hard parameter sharing and cross-stitch, to train a word-level convolutional neural network (CNN) specifically designed for automatic extraction of cancer data from unstructured text in pathology reports. We show the importance of learning related information extraction (IE) tasks leveraging shared representations across the tasks to achieve state-of-the-art performance in classification accuracy and computational efficiency. Materials and Methods: Multitask CNN (MTCNN) attempts to tackle document information extraction by learning to extract multiple key cancer characteristics simultaneously. We trained our MTCNN to perform 5 information extraction tasks: (1) primary cancer site (65 classes), (2) laterality (4 classes), (3) behavior (3 classes), (4) histological type (63 classes), and (5) histological grade (5 classes). We evaluated the performance on a corpus of 95 231 pathology documents (71 223 unique tumors) obtained from the Louisiana Tumor Registry. We compared the performance of the MTCNN models against single-task CNN models and 2 traditional machine learning approaches, namely support vector machine (SVM) and random forest classifier (RFC). Results: MTCNNs offered superior performance across all 5 tasks in terms of classification accuracy as compared with the other machine learning models. Based on retrospective evaluation, the hard parameter sharing and cross-stitch MTCNN models correctly classified 59.04% and 57.93% of the pathology reports respectively across all 5 tasks. The baseline models achieved 53.68% (CNN), 46.37% (RFC), and 36.75% (SVM). Based on prospective evaluation, the percentages of correctly classified cases across the 5 tasks were 60.11% (hard parameter sharing), 58.13% (cross-stitch), 51.30% (single-task CNN), 42.07% (RFC), and 35.16% (SVM). Moreover, hard parameter sharing MTCNNs outperformed the other models in computational efficiency by using about the same number of trainable parameters as a single-task CNN. Conclusions: The hard parameter sharing MTCNN offers superior classification accuracy for automated coding support of pathology documents across a wide range of cancers and multiple information extraction tasks while maintaining similar training and inference time as those of a single task-specific model. © 2019 The Author(s) 2019. Published by Oxford University Press on behalf of the American Medical Informatics Association.</t>
  </si>
  <si>
    <t>Alawad,M.,Gao,S.,Qiu,J.X.,Yoon,H.-J.,Blair Christian,J.B.,Penberthy,L.,Mumphrey,B.,Wu,X.-C.,Coyle,L.,Tourassi,G.D.</t>
  </si>
  <si>
    <t>https://www.scopus.com/inward/record.uri?eid=2-s2.0-85076585122&amp;doi=10.1093%2Fjamia%2Focz153&amp;partnerID=40&amp;md5=96618179001f105c0df55765779287b1</t>
  </si>
  <si>
    <t>cancer pathology reports,convolutional neural network,deep learning,information extraction,multitask learning,natural language processing</t>
  </si>
  <si>
    <t>Journal of the American Medical Informatics Association</t>
  </si>
  <si>
    <t>Transformers,Random Forest (RF),Otro</t>
  </si>
  <si>
    <t xml:space="preserve">Natural Language Inference (NLI),probability thresholding </t>
  </si>
  <si>
    <t>Preprocesan y extraen segmentos relevantes del reporte, usan un modelo tipo BERT (NLI) para generar features, y luego un Random Forest para la predicción binaria de reportabilidad</t>
  </si>
  <si>
    <t>Identificar si un reporte hace mencion de cáncer</t>
  </si>
  <si>
    <t>Automatic ICD-10 classification of cancers from free-text death certificates</t>
  </si>
  <si>
    <t>Objective: Death certificates provide an invaluable source for cancer mortality statistics; however, this value can only be realised if accurate, quantitative data can be extracted from certificates - an aim hampered by both the volume and variable nature of certificates written in natural language. This paper proposes an automatic classification system for identifying cancer related causes of death from death certificates. Methods: Detailed features, including terms, n-grams and SNOMED CT concepts were extracted from a collection of 447,336 death certificates. These features were used to train Support Vector Machine classifiers (one classifier for each cancer type). The classifiers were deployed in a cascaded architecture: the first level identified the presence of cancer (i.e., binary cancer/nocancer) and the second level identified the type of cancer (according to the ICD-10 classification system). A held-out test set was used to evaluate the effectiveness of the classifiers according to precision, recall and F-measure. In addition, detailed feature analysis was performed to reveal the characteristics of a successful cancer classification model. Results: The system was highly effective at identifying cancer as the underlying cause of death (F-measure 0.94). The system was also effective at determining the type of cancer for common cancers (F-measure 0.7). Rare cancers, for which there was little training data, were difficult to classify accurately (F-measure 0.12). Factors influencing performance were the amount of training data and certain ambiguous cancers (e.g., those in the stomach region). The feature analysis revealed a combination of features were important for cancer type classification, with SNOMED CT concept and oncology specific morphology features proving the most valuable. Conclusion: The system proposed in this study provides automatic identification and characterisation of cancers from large collections of free-text death certificates. This allows organisations such as Cancer Registries to monitor and report on cancer mortality in a timely and accurate manner. In addition, the methods and findings are generally applicable beyond cancer classification and to other sources of medical text besides death certificates. © 2015 Elsevier Ireland Ltd.</t>
  </si>
  <si>
    <t>Koopman,B.,Zuccon,G.,Nguyen,A.,Bergheim,A.,Grayson,N.</t>
  </si>
  <si>
    <t>https://www.scopus.com/inward/record.uri?eid=2-s2.0-84942553128&amp;doi=10.1016%2Fj.ijmedinf.2015.08.004&amp;partnerID=40&amp;md5=6bdd71c02df324de62a4a22f5fcbde81</t>
  </si>
  <si>
    <t>Cancer classification,Death certificates,Machine learning,Natural language processing</t>
  </si>
  <si>
    <t>International Journal of Medical Informatics</t>
  </si>
  <si>
    <t>Support Vector Machine (SVM)</t>
  </si>
  <si>
    <t>Toman texto, sacan las caracteristicas y entrenan clasificadores de SVM</t>
  </si>
  <si>
    <t>Certificado de defunción</t>
  </si>
  <si>
    <t>Identificar si un reporte hace mención de cáncer,Identificación de la procedencia del caso,Seguimiento</t>
  </si>
  <si>
    <t>Automatic keyword retrieval from clinical texts: an application of natural language processing to massive data of Chilean suspected diagnosis / Obtención automática de palabras clave en textos clínicos: una aplicación de procesamiento del lenguaje natural a datos masivos de sospecha diagnóstica en Chile</t>
  </si>
  <si>
    <t>Expone cómo el texto libre clínico dificulta el análisis de datos de salud por su falta de estructura, especialmente en conjuntos masivos. El estudio ilustra el uso del algoritmo de frecuencia ponderada TF-IDF para identificar palabras clave en el campo de sospecha diagnóstica de la lista de espera chilena para primera consulta de especialidad en patologías no cubiertas por el plan GES. Analizó 2,592,925 sospechas diagnósticas provenientes de 17 de 29 servicios de salud entre 2008 y 2018. Para cada especialidad se determinaron cuatro palabras clave con mayor peso y se generaron nubes de palabras. El método permitió resumir texto clínico libre no estructurado y mejorar su utilidad y accesibilidad.</t>
  </si>
  <si>
    <t>Fabián Villena,Jocelyn Dunstan</t>
  </si>
  <si>
    <t>https://www.scielo.cl/pdf/rmc/v147n10/0717-6163-rmc-147-10-1229.pdf</t>
  </si>
  <si>
    <t>Data Mining, Information Storage and Retrieval, Machine Learning, Medical Informatics, Natural Language Processing</t>
  </si>
  <si>
    <t>Revista Médica de Chile</t>
  </si>
  <si>
    <t>N/A</t>
  </si>
  <si>
    <t>Recuperación de información</t>
  </si>
  <si>
    <t>Extracción de palabras clave</t>
  </si>
  <si>
    <t>TF–IDF</t>
  </si>
  <si>
    <t>Preprocesamiento de texto clínico libre,eliminación de duplicados y nulos,normalización a minúsculas y sin tildes,agrupación por especialidad,cálculo TF–IDF,generación de nubes de palabras en Python</t>
  </si>
  <si>
    <t>Datos administrativos o de seguros</t>
  </si>
  <si>
    <t>Chile</t>
  </si>
  <si>
    <t>Cancer registry coding via hybrid neural symbolic systems in the cross-hospital setting</t>
  </si>
  <si>
    <t>Cancer registries are critical databases for cancer research whose maintenance requires various types of domain knowledge with labor-intensive data curation. In order to facilitate the curation process with high quality in a timely manner, we developed a hybrid neural symbolic system for cancer registry coding. Unlike previous works which mainly worked on the dataset collected from one hospital or formulated the task as text classification problems, we collaborated with two medical centers in Taiwan to compile a cross-hospital corpus and applied neural networks to extract cancer registry variables described in unstructured pathology reports along with expert systems for generating registry coding. We conducted experiments to study the feasibility of the proposed hybrid for the task of cancer registry coding and compare its performance with state-of-the-art non-hybrid approaches. Furthermore, cross-hospital experiments were performed to study the advantages and limitations of transfer learning for processing reports from different sources. The experiment results demonstrated that the proposed hybrid neural symbolic system is a robust approach which works well across hospitals and outperformed classification-based baselines by F-scores of 0.130.27. Compared to the baseline models, the F-scores of the proposed approaches are apparently higher when fewer training instances were used. All methods benefited from the transferred parameters learned from the source dataset, but the results suggest that it is a better strategy to transfer the learned knowledge through the concept recognition task followed by the symbolic expert system to address the task of cancer registry coding. © 2013 IEEE.</t>
  </si>
  <si>
    <t>Dai,H.-J.,Yang,Y.-H.,Wang,T.-H.,Lin,Y.-J.,Lu,P.-J.,Wu,C.-Y.,Chang,Y.-C.,Lee,Y.-Q.,Zhang,Y.-C.,Hsu,Y.-C.,Wu,H.-H.,Ke,C.-R.,Huang,C.-J.,Wang,Y.-T.,Yang,S.-F.,Hsiao,K.-C.,Liu,K.-J.,Chen,L.-T.,Chang,I.-S.,Chao,K.S.C.,Liu,T.-W.</t>
  </si>
  <si>
    <t>https://www.scopus.com/inward/record.uri?eid=2-s2.0-85112647212&amp;doi=10.1109%2FACCESS.2021.3099175&amp;partnerID=40&amp;md5=d7f7f11738b52d089455c960108a2097</t>
  </si>
  <si>
    <t>Electronic medical records,medical expert systems,medical information systems,natural language processing</t>
  </si>
  <si>
    <t>IEEE Access</t>
  </si>
  <si>
    <t>Reconocimiento de entidades (NER),Clasificación de texto,Otro</t>
  </si>
  <si>
    <t>Codificación automática con sistema experto (reglas)</t>
  </si>
  <si>
    <t>Conditional Random Fields (CRF),Bidirectional LSTM (BiLSTM),Hybrid BiLSTM–CRF models,Word embeddings,Transformers,Otro</t>
  </si>
  <si>
    <t>una red neuronal reconoce conceptos del registro en el texto, luego un sistema experto aplica reglas de manuales para convertir esos hallazgos en 8 códigos</t>
  </si>
  <si>
    <t>Taiwán</t>
  </si>
  <si>
    <t>Classifying cancer pathology reports with hierarchical self-attention networks.</t>
  </si>
  <si>
    <t>We introduce a deep learning architecture, hierarchical self-attention networks (HiSANs), designed for classifying pathology reports and show how its unique architecture leads to a new state-of-the-art in accuracy, faster training, and clear interpretability. We evaluate performance on a corpus of 374,899 pathology reports obtained from the National Cancer Institute's (NCI) Surveillance, Epidemiology, and End Results (SEER) program. Each pathology report is associated with five clinical classification tasks - site, laterality, behavior, histology, and grade. We compare the performance of the HiSAN against other machine learning and deep learning approaches commonly used on medical text data - Naive Bayes, logistic regression, convolutional neural networks, and hierarchical attention networks (the previous state-of-the-art). We show that HiSANs are superior to other machine learning and deep learning text classifiers in both accuracy and macro F-score across all five classification tasks. Compared to the previous state-of-the-art, hierarchical attention networks, HiSANs not only are an order of magnitude faster to train, but also achieve about 1% better relative accuracy and 5% better relative macro F-score.</t>
  </si>
  <si>
    <t>Gao Shang,Qiu John X,Alawad Mohammed,Hinkle Jacob D,Schaefferkoetter Noah,Yoon Hong-Jun,Christian Blair,Fearn Paul A,Penberthy Lynne,Wu Xiao-Cheng,Coyle Linda,Tourassi Georgia,Ramanathan Arvind</t>
  </si>
  <si>
    <t>https://research.ebsco.com/linkprocessor/plink?id=1725e58b-71cc-355e-a2cf-fa687a458263</t>
  </si>
  <si>
    <t>Neoplasms pathology,Deep Learning,Humans,Natural Language Processing,Neoplasms classification,Neural Networks, Computer</t>
  </si>
  <si>
    <t>Artificial Intelligence in Medicine</t>
  </si>
  <si>
    <t>Clasificación de texto,Extracción de relaciones (RE)</t>
  </si>
  <si>
    <t>Interpretabilidad y visualización de palabras clave</t>
  </si>
  <si>
    <t>Attention mechanisms (Self-attention y Target-attention), Word embeddings (Word2Vec), Convolutional Neural Networks (CNN) (como línea base de comparación), Naive Bayes (como línea base), Logistic regression (como línea base)</t>
  </si>
  <si>
    <t>Hierarchical Self-Attention Networks (HiSAN), Hierarchical Attention Networks (HAN)</t>
  </si>
  <si>
    <t>Pipeline propio (implementado en Python utilizando la biblioteca TensorFlow).</t>
  </si>
  <si>
    <t>Identificar si un reporte hace mencion de cáncer, Recuperación de información</t>
  </si>
  <si>
    <t>70 topografías</t>
  </si>
  <si>
    <t>Classifying Tumor Reportability Status From Unstructured Electronic Pathology Reports Using Language Models in a Population-Based Cancer Registry Setting</t>
  </si>
  <si>
    <t>PURPOSE Population-based cancer registries (PBCRs) collect data on all new cancer diagnoses in a defined population. Data are sourced from pathology reports, and the PBCRs rely on manual and rule-based solutions. This study presents a state-of-the-art natural language processing (NLP) pipeline, built by fine-tuning pretrained language models (LMs). The pipeline is deployed at the British Columbia Cancer Registry (BCCR) to detect reportable tumors from a population-based feed of electronic pathology. METHODS We fine-tune two publicly available LMs, GatorTron and BlueBERT, which are pretrained on clinical text. Fine-tuning is done using BCCR’s pathology reports. For the final decision making, we combine both models’ output using an OR approach. The fine-tuning data set consisted of 40,000 reports from the diagnosis year of 2021, and the test data sets consisted of 10,000 reports from the diagnosis year 2021, 20,000 reports from diagnosis year 2022, and 400 reports from diagnosis year 2023. RESULTS The retrospective evaluation of our proposed approach showed boosted reportable accuracy, maintaining the true reportable threshold of 98%. CONCLUSION Disadvantages of rule-based NLP in cancer surveillance include manual effort in rule design and sensitivity to language change. Deep learning approaches demonstrate superior performance in classification. PBCRs distinguish reportability status of incoming electronic cancer pathology reports. Deep learning methods provide significant advantages over rule-based NLP. © 2024 by American Society of Clinical Oncology.</t>
  </si>
  <si>
    <t>Gondara,L.,Simkin,J.,Arbour,G.,Devji,S.,Ng,R.T.</t>
  </si>
  <si>
    <t>https://www.scopus.com/inward/record.uri?eid=2-s2.0-85209989842&amp;doi=10.1200%2FCCI.24.00110&amp;partnerID=40&amp;md5=1d4fe88472c81f745544d6ad0aec60b6</t>
  </si>
  <si>
    <t>Transformers</t>
  </si>
  <si>
    <t>Ensemble de GatorTron y BlueBERT ajustados con reportes de patología del BCCR,preprocesamiento con expresiones regulares y longformer para seleccionar secciones relevantes,combinación final con lógica OR</t>
  </si>
  <si>
    <t>Identificar casos reportables</t>
  </si>
  <si>
    <t>Asumo todos los sitios, no es explicito</t>
  </si>
  <si>
    <t>Clinical Trial Design Approach to Auditing Language Models in Health Care Setting</t>
  </si>
  <si>
    <t>PURPOSERapid advancements in natural language processing have led to the development of sophisticated language models. Inspired by their success, these models are now used in health care for tasks such as clinical documentation and medical record classification. However, language models are prone to errors, which can have serious consequences in critical domains such as health care, ensuring that their reliability is essential to maintain patient safety and data integrity.METHODSTo address this, we propose an innovative auditing process based on principles from clinical trial design. Our approach involves subject matter experts (SMEs) manually reviewing pathology reports without previous knowledge of the model's classification. This single-blind setup minimizes bias and allows us to apply statistical rigor to assess model performance.RESULTSDeployed at the British Columbia Cancer Registry, our audit process effectively identified the core issues in the operational models. Early interventions addressed these issues, maintaining data integrity and patient care standards.CONCLUSIONThe audit provides real-world performance metrics and underscores the importance of human-in-the-loop machine learning. Even advanced models require SME oversight to ensure accuracy and reliability. To our knowledge, we have developed the first continuous audit process for language models in health care, modeled after clinical trial principles. This methodology ensures that audits are statistically sound and operationally feasible, setting a new standard for evaluating language models in critical applications. © American Society of Clinical Oncology.</t>
  </si>
  <si>
    <t>Gondara,L.,Simkin,J.,Devji,S.</t>
  </si>
  <si>
    <t>https://www.scopus.com/inward/record.uri?eid=2-s2.0-105007341703&amp;doi=10.1200%2FCCI-24-00331&amp;partnerID=40&amp;md5=ad47feef76c7c5a566f12f9034c93497</t>
  </si>
  <si>
    <t>Ensemble</t>
  </si>
  <si>
    <t xml:space="preserve">Pipeline propio </t>
  </si>
  <si>
    <t>primero extrae features del reporte con un modelo tipo BERT (NLI) y luego clasifica reportable vs no reportable con Random Forest, después, prueban una variante que combina dos BERT con una regla OR</t>
  </si>
  <si>
    <t>Comparative evaluation of automated information extraction from pathology reports in three German cancer registries.</t>
  </si>
  <si>
    <t>Feeding cancer registries with data extracted from textual reports, while maintaining a high level of data quality, has always been a labour-intensive task, due to the heterogeneity of the sources. The support of this task by IT solutions is expected to accelerate and optimise this process. To this end, the commercial text mining system Averbis Health Discovery was tailored to extract information from free text at the cancer registry of the federal state of Baden-Württemberg. The following entity types were extracted from German-language pathology reports: tumour localisation and morphology, pTNM, grading, (sentinel) nodes examined and affected, laterality and R-class. According to the entity type, several machine learning approaches as well as rules were used for the tumour types breast, prostate, colorectal and skin. Whereas for the pilot site, F values ranged between 0.800 and 0.996, values dropped when applying the extraction pipeline to two new sites (cancer registries Rhineland-Palatinate and Lower Saxony), for morphology from 0.950 to 0.657 and 0.933, and for localisation (topography) from 0.902 to 0.675 and 0.768. There was much less difference with R-class and lymph node counts. A thorough error analysis revealed numerous issues that explain these differences, such as different workflows between the sites, disagreements between textual and coded content as well as different handlings of missing values.</t>
  </si>
  <si>
    <t>Schulz Stefan,Fix Sonja,Klügl Peter,Bachmayer Tamira,Hartz Tobias,Richter Martin,Herm-Stapelberg Nils,Daumke Philipp</t>
  </si>
  <si>
    <t>https://research.ebsco.com/linkprocessor/plink?id=c7b37c75-ca90-3eb4-9e9b-a4bb7bf4740e</t>
  </si>
  <si>
    <t>Reporting of diseases,Natural language processing,Machine learning,Information retrieval,Tumors,Data mining,Germany</t>
  </si>
  <si>
    <t>GMS Medizinische Informatik, Biometrie und Epidemiologie</t>
  </si>
  <si>
    <t>Reconocimiento de entidades (NER),Normalización de conceptos</t>
  </si>
  <si>
    <t>Support Vector Machine (SVM),Convolutional Neural Networks (CNN)</t>
  </si>
  <si>
    <t>Conditional Random Fields (CRF),rule-based,word embeddings, Maximum Entropy</t>
  </si>
  <si>
    <t>Averbis Health Discovery (AHD) - pipeline comercial basado en UIMA que combina múltiples enfoques: (1) preprocesamiento general (tokenización, análisis morfológico, desambiguación), (2) anotadores especializados basados en terminología (ICD-10, ICD-O, TNM) con dictionary lookup y preprocesamiento lingüístico, (3) clasificación de tipo de cáncer usando SVM con bag-of-stems, (4) clasificación de morfología y localización usando CNN con fastText word embeddings, (5) componentes basados en reglas usando UIMA Ruta, (6) ranking de conceptos usando SVM para fall-back, (7) selección de entidades mediante majority voting o valores máximos, (8) post-procesamiento con reglas para adaptación a guías de codificación, (9) algoritmos específicos para combinar enfoques</t>
  </si>
  <si>
    <t>Alemania</t>
  </si>
  <si>
    <t>Tres registros poblacionales alemanes a nivel de estados federales:
Baden-Württemberg (BW): 44,324 reportes (desarrollo) + 2,057 reportes (test)
Rhineland-Palatinate (RP): 26,894 reportes (solo evaluación)
Lower Saxony (LS): 19,170 reportes (solo evaluación). Tipos de cáncer: Mama, próstata, colon/recto, piel</t>
  </si>
  <si>
    <t>Cross-registry neural domain adaptation to extract mutational test results from pathology reports</t>
  </si>
  <si>
    <t>Objective: We study the performance of machine learning (ML) methods, including neural networks (NNs), to extract mutational test results from pathology reports collected by cancer registries. Given the lack of hand-labeled datasets for mutational test result extraction, we focus on the particular use-case of extracting Epidermal Growth Factor Receptor mutation results in non-small cell lung cancers. We explore the generalization of NNs across different registries where our goals are twofold: (1) to assess how well models trained on a registry's data port to test data from a different registry and (2) to assess whether and to what extent such models can be improved using state-of-the-art neural domain adaptation techniques under different assumptions about what is available (labeled vs unlabeled data) at the target registry site. Materials and methods: We collected data from two registries: the Kentucky Cancer Registry (KCR) and the Fred Hutchinson Cancer Research Center (FH) Cancer Surveillance System. We combine NNs with adversarial domain adaptation to improve cross-registry performance. We compare to other classifiers in the standard supervised classification, unsupervised domain adaptation, and supervised domain adaptation scenarios. Results: The performance of ML methods varied between registries. To extract positive results, the basic convolutional neural network (CNN) had an F1 of 71.5% on the KCR dataset and 95.7% on the FH dataset. For the KCR dataset, the CNN F1 results were low when trained on FH data (Positive F1: 23%). Using our proposed adversarial CNN, without any labeled data, we match the F1 of the models trained directly on each target registry's data. The adversarial CNN F1 improved when trained on FH and applied to KCR dataset (Positive F1: 70.8%). We found similar performance improvements when we trained on KCR and tested on FH reports (Positive F1: 45% to 96%). Conclusion: Adversarial domain adaptation improves the performance of NNs applied to pathology reports. In the unsupervised domain adaptation setting, we match the performance of models that are trained directly on target registry's data by using source registry's labeled data and unlabeled examples from the target registry. © 2019 Elsevier Inc.</t>
  </si>
  <si>
    <t>Rios,A.,Durbin,E.B.,Hands,I.,Arnold,S.M.,Shah,D.,Schwartz,S.,Goulart,B.H.L.,Kavuluru,R.</t>
  </si>
  <si>
    <t>https://www.scopus.com/inward/record.uri?eid=2-s2.0-85070603893&amp;doi=10.1016%2Fj.jbi.2019.103267&amp;partnerID=40&amp;md5=61a6142a99d47182c0d093d28cc710e8</t>
  </si>
  <si>
    <t>Cancer registry,Domain adaptation,Natural language processing,Neural networks,Text classification,Text mining</t>
  </si>
  <si>
    <t>Recuperación de información,Clasificación de texto</t>
  </si>
  <si>
    <t>Adaptación de dominio (Domain Adaptation), Minería de textos.</t>
  </si>
  <si>
    <t>Convolutional Neural Networks (CNN),Support Vector Machine (SVM),Word embeddings, Multilayer perceptron/deep neural network (MLP/DNN)</t>
  </si>
  <si>
    <t>Adversarial Domain Adaptation , BioBERT, rule-based.</t>
  </si>
  <si>
    <t>Pipeline propio (arquitectura basada en CNN para clasificación de texto y redes adversariales implementadas en Python).</t>
  </si>
  <si>
    <t>Extracción de información de biomarcadores</t>
  </si>
  <si>
    <t>Pulmón, solo NSCLC</t>
  </si>
  <si>
    <t>Deep Learning for Automated Extraction of Primary Sites from Cancer Pathology Reports</t>
  </si>
  <si>
    <t>Pathology reports are a primary source of information for cancer registries which process high volumes of free-text reports annually. Information extraction and coding is a manual, labor-intensive process. In this study, we investigated deep learning and a convolutional neural network (CNN), for extracting ICD-O-3 topographic codes from a corpus of breast and lung cancer pathology reports. We performed two experiments, using a CNN and a more conventional term frequency vector approach, to assess the effects of class prevalence and inter-class transfer learning. The experiments were based on a set of 942 pathology reports with human expert annotations as the gold standard. CNN performance was compared against a more conventional term frequency vector space approach. We observed that the deep learning models consistently outperformed the conventional approaches in the class prevalence experiment, resulting in micro- and macro-F score increases of up to 0.132 and 0.226, respectively, when class labels were well populated. Specifically, the best performing CNN achieved a micro-F score of 0.722 over 12 ICD-O-3 topography codes. Transfer learning provided a consistent but modest performance boost for the deep learning methods but trends were contingent on the CNN method and cancer site. These encouraging results demonstrate the potential of deep learning for automated abstraction of pathology reports. © 2013 IEEE.</t>
  </si>
  <si>
    <t>Qiu,J.X.,Yoon,H.-J.,Fearn,P.A.,Tourassi,G.D.</t>
  </si>
  <si>
    <t>https://www.scopus.com/inward/record.uri?eid=2-s2.0-85040310995&amp;doi=10.1109%2FJBHI.2017.2700722&amp;partnerID=40&amp;md5=0d757957ffb10f7bfb6e74476fe42ad9</t>
  </si>
  <si>
    <t>Convolutional neural network,deep learning,information extraction,natural language processing,pathology reports,primary cancer site</t>
  </si>
  <si>
    <t>IEEE Journal of Biomedical and Health Informatics</t>
  </si>
  <si>
    <t>Extracción de códigos topográficos ICD-O-3</t>
  </si>
  <si>
    <t>Convolutional Neural Networks (CNN),Vector space model (VSM),Word embeddings,Logistic regression,Support Vector Machine (SVM),Naive Bayes (NB),TF-IDF</t>
  </si>
  <si>
    <t>Algoritmo de descenso de gradiente adaptativo Adadelta</t>
  </si>
  <si>
    <t>Pipeline propio (implementado en Python utilizando el paquete Gensim para embeddings y una arquitectura de red neuronal personalizada).</t>
  </si>
  <si>
    <t>Mama y pulmón</t>
  </si>
  <si>
    <t>Deep learning uncertainty quantification for clinical text classification</t>
  </si>
  <si>
    <t>Introduction: Machine learning algorithms are expected to work side-by-side with humans in decision-making pipelines. Thus, the ability of classifiers to make reliable decisions is of paramount importance. Deep neural networks (DNNs) represent the state-of-the-art models to address real-world classification. Although the strength of activation in DNNs is often correlated with the network's confidence, in-depth analyses are needed to establish whether they are well calibrated. Method: In this paper, we demonstrate the use of DNN-based classification tools to benefit cancer registries by automating information extraction of disease at diagnosis and at surgery from electronic text pathology reports from the US National Cancer Institute (NCI) Surveillance, Epidemiology, and End Results (SEER) population-based cancer registries. In particular, we introduce multiple methods for selective classification to achieve a target level of accuracy on multiple classification tasks while minimizing the rejection amount—that is, the number of electronic pathology reports for which the model's predictions are unreliable. We evaluate the proposed methods by comparing our approach with the current in-house deep learning-based abstaining classifier. Results: Overall, all the proposed selective classification methods effectively allow for achieving the targeted level of accuracy or higher in a trade-off analysis aimed to minimize the rejection rate. On in-distribution validation and holdout test data, with all the proposed methods, we achieve on all tasks the required target level of accuracy with a lower rejection rate than the deep abstaining classifier (DAC). Interpreting the results for the out-of-distribution test data is more complex; nevertheless, in this case as well, the rejection rate from the best among the proposed methods achieving 97% accuracy or higher is lower than the rejection rate based on the DAC. Conclusions: We show that although both approaches can flag those samples that should be manually reviewed and labeled by human annotators, the newly proposed methods retain a larger fraction and do so without retraining—thus offering a reduced computational cost compared with the in-house deep learning-based abstaining classifier. © 2023</t>
  </si>
  <si>
    <t>Peluso,A.,Danciu,I.,Yoon,H.-J.,Mohd-Yusof,J.M.,Bhattacharya,T.,Spannaus,A.,Schaefferkoetter,N.,Durbin,E.B.,Wu,X.-C.,Stroup,A.,Doherty,J.,Schwartz,S.,Wiggins,C.,Coyle,L.,Penberthy,L.,Tourassi,G.D.,Gao,S.</t>
  </si>
  <si>
    <t>https://www.scopus.com/inward/record.uri?eid=2-s2.0-85179763559&amp;doi=10.1016%2Fj.jbi.2023.104576&amp;partnerID=40&amp;md5=e7a24e17b42cefe238fd3581a4d284ef</t>
  </si>
  <si>
    <t>Abstaining classifier,Accuracy,CNN,Deep learning,DNN,HiSAN,NCI SEER,Pathology reports,Selective classification,Text classification,Uncertainty quantification</t>
  </si>
  <si>
    <t>Reconocimiento de entidades (NER)</t>
  </si>
  <si>
    <t>otros</t>
  </si>
  <si>
    <t>MTCNN, MTHiSAN</t>
  </si>
  <si>
    <t>not explicitly mentioned, I assume all cancers</t>
  </si>
  <si>
    <t>DeepPhe-CR: Natural Language Processing Software Services for Cancer Registrar Case Abstraction</t>
  </si>
  <si>
    <t>PURPOSE Manual extraction of case details from patient records for cancer surveillance is a resource-intensive task. Natural Language Processing (NLP) techniques have been proposed for automating the identification of key details in clinical notes. Our goal was to develop NLP application programming interfaces (APIs) for integration into cancer registry data abstraction tools in a computer-assisted abstraction setting. METHODS We used cancer registry manual abstraction processes to guide the design of DeepPhe-CR, a web-based NLP service API. The coding of key variables was performed through NLP methods validated using established workflows. A container-based implementation of the NLP methods and the supporting infrastructure was developed. Existing registry data abstraction software was modified to include results from DeepPhe-CR. An initial usability study with data registrars provided early validation of the feasibility of the DeepPhe-CR tools. RESULTS API calls support submission of single documents and summarization of cases across one or more documents. The container-based implementation uses a REST router to handle requests and support a graph database for storing results. NLP modules extract topography, histology, behavior, laterality, and grade at 0.79-1.00 F1 across multiple cancer types (breast, prostate, lung, colorectal, ovary, and pediatric brain) from data of two population-based cancer registries. Usability study participants were able to use the tool effectively and expressed interest in the tool. CONCLUSION The DeepPhe-CR system provides an architecture for building cancer-specific NLP tools directly into registrar workflows in a computer-assisted abstraction setting. Improved user interactions in client tools may be needed to realize the potential of these approaches. © 2023 by American Society of Clinical Oncology.</t>
  </si>
  <si>
    <t>Hochheiser,H.,Finan,S.,Yuan,Z.,Durbin,E.B.,Jeong,J.C.,Hands,I.,Rust,D.,Kavuluru,R.,Wu,X.-C.,Warner,J.L.,Savova,G.K.</t>
  </si>
  <si>
    <t>https://www.scopus.com/inward/record.uri?eid=2-s2.0-85180384202&amp;doi=10.1200%2FCCI.23.00156&amp;partnerID=40&amp;md5=40440ebdcc4b339a4ada614d5c1ba7b1</t>
  </si>
  <si>
    <t>Reconocimiento de entidades (NER),Extracción de relaciones (RE),Normalización de conceptos</t>
  </si>
  <si>
    <t>Resumen de casos,abstracción asistida de casos</t>
  </si>
  <si>
    <t>rule-based ,similarity-based lookup guided by ontology,directed graph traversal</t>
  </si>
  <si>
    <t>cTakes,Pipeline propio</t>
  </si>
  <si>
    <t>DeepPhe-CR sobre Apache cTAKES con ontología de cáncer/ICD-O,módulos para section and table identification,NER,entity attribute assignment,entity normalization,relation extraction,concept summarization y servicio REST containerizado</t>
  </si>
  <si>
    <t>Developing and Validating an Automatic Support System for Tumor Coding in Pathology Reports in Spanish</t>
  </si>
  <si>
    <t>PURPOSEPathology reports provide valuable information for cancer registries to understand, plan, and implement strategies to mitigate the impact of cancer. However, coding essential information from unstructured reports is performed by experts in a time-consuming manual process. We developed and validated a novel two-step automatic coding system that first recognizes tumor morphology and topography mentions from free text and then suggests codes from the International Classification of Diseases for Oncology (ICD-O) in Spanish.MATERIALS AND METHODSWe created an annotated corpus of tumor morphology and topography mentions consisting of 1,101 documents. We combined it with the CANTEMIST corpus (Cancer Text Mining Shared Task). Specifically, we implemented a named entity recognition (NER) model using the bidirectional long short-term memory network-conditional random field architecture enhanced with a stacked embedding layer. We applied transfer learning from state-of-the-art pretrained language models to obtain high-quality contextual representations, thus improving the detection of entities. The mentions found using this model were subsequently coded using a search engine tailored to the ICD-O codes.RESULTSOur NER models achieved an F1 score of 0.86 and 0.90 for tumor morphology and topography, respectively. The overall performance of our automatic coding system achieved an accuracy at five suggestions of 0.72 and 0.65 for tumor morphology and topography, respectively.CONCLUSIONThese results demonstrate the feasibility of implementing natural language processing tools in the routine of a cancer center to extract and code valuable information from pathology reports. Our recommender system allows reliable and transparent coding at the moment of consultation. This publication shares the annotated corpus in Spanish, annotation guidelines, and source code to reproduce our experiments. © 2025 American Society of Clinical Oncology.</t>
  </si>
  <si>
    <t>Villena,F.,Báez,P.,Penafiel,S.,Rojas,M.,Paredes,I.,Dunstan,J.</t>
  </si>
  <si>
    <t>https://www.scopus.com/inward/record.uri?eid=2-s2.0-85219644196&amp;doi=10.1200%2FCCI.24.00124&amp;partnerID=40&amp;md5=fad928a978fc0234a44c5fc354f62f0c</t>
  </si>
  <si>
    <t>Algoritmos: Otro</t>
  </si>
  <si>
    <t>BiLSTM, Conditional Ramdom Field</t>
  </si>
  <si>
    <t>Development and Validation of a Natural Language Processing Algorithm for Extracting Clinical and Pathological Features of Breast Cancer From Pathology Reports</t>
  </si>
  <si>
    <t>Desarrolla y valida un modelo de PLN para extraer datos estructurados de reportes de patología de cáncer de mama. Primero se probó un enfoque basado en reglas sobre 193 reportes y luego se amplió el conjunto a 513 reportes para entrenar un modelo de reconocimiento de entidades con validación cruzada. El modelo alcanzó una exactitud de 97.8% y mostró rendimiento especialmente alto en variables como receptores hormonales, HER2 y Ki-67.</t>
  </si>
  <si>
    <t>Elisabetta Munzone; Antonio Marra; Federico Comotto; Lorenzo Guercio; Claudia Anna Sangalli; Martina Lo Cascio; Eleonora Pagan; Davide Sangalli; Ilaria Bigoni; Francesca Maria Porta; Marianna D'Ercole; Fabiana Ritorti; Vincenzo Bagnardi; Nicola Fusco; Giuseppe Curigliano</t>
  </si>
  <si>
    <t>https://pubmed.ncbi.nlm.nih.gov/39137368/</t>
  </si>
  <si>
    <t>Algorithms, Breast Neoplasms/diagnosis, Breast Neoplasms/pathology, Data Mining/methods, Electronic Health Records, Natural Language Processing</t>
  </si>
  <si>
    <t>PubMed</t>
  </si>
  <si>
    <t>Extracción automatizada de variables clínicas y patológicas,estructuración tabular de reportes</t>
  </si>
  <si>
    <t xml:space="preserve">Otro </t>
  </si>
  <si>
    <t>Regular expressions,NER-based machine learning model,postprocessing heuristics</t>
  </si>
  <si>
    <t>Enfoque en dos fases con algoritmo rule-based en Python y segundo enfoque NER-NLP con preprocesamiento,anotación completa,entrenamiento con K-fold cross-validation,inferencia y postprocesamiento</t>
  </si>
  <si>
    <t>Development of message passing-based graph convolutional networks for classifying cancer pathology reports.</t>
  </si>
  <si>
    <t>Applying graph convolutional networks (GCN) to the classification of free-form natural language texts leveraged by graph-of-words features (TextGCN) was studied and confirmed to be an effective means of describing complex natural language texts. However, the text classification models based on the TextGCN possess weaknesses in terms of memory consumption and model dissemination and distribution. In this paper, we present a fast message passing network (FastMPN), implementing a GCN with message passing architecture that provides versatility and flexibility by allowing trainable node embedding and edge weights, helping the GCN model find the better solution. We applied the FastMPN model to the task of clinical information extraction from cancer pathology reports, extracting the following six properties: main site, subsite, laterality, histology, behavior, and grade.</t>
  </si>
  <si>
    <t>Yoon Hong-Jun,Klasky Hilda B,Blanchard Andrew E,Christian J Blair,Durbin Eric B,Wu Xiao-Cheng,Stroup Antoinette,Doherty Jennifer,Coyle Linda,Penberthy Lynne,Tourassi Georgia D</t>
  </si>
  <si>
    <t>https://research.ebsco.com/linkprocessor/plink?id=d2d41140-380c-3959-9337-0fcd792723a0</t>
  </si>
  <si>
    <t>Neoplasms classification,Neural Networks, Computer,Natural Language Processing,Humans,Data Mining</t>
  </si>
  <si>
    <t>BMC Medical Informatics and Decision Making</t>
  </si>
  <si>
    <t>FastMPN, Graph convolutional networks</t>
  </si>
  <si>
    <t>Efficient identification of nationally mandated reportable cancer cases using natural language processing and machine learning</t>
  </si>
  <si>
    <t>Objective To help cancer registrars efficiently and accurately identify reportable cancer cases. Material and Methods The Cancer Registry Control Panel (CRCP) was developed to detect mentions of reportable cancer cases using a pipeline built on the Unstructured Information Management Architecture - Asynchronous Scaleout (UIMA-AS) architecture containing the National Library of Medicine's UIMA MetaMap annotator as well as a variety of rule-based UIMA annotators that primarily act to filter out concepts referring to nonreportable cancers. CRCP inspects pathology reports nightly to identify pathology records containing relevant cancer concepts and combines this with diagnosis codes from the Clinical Electronic Data Warehouse to identify candidate cancer patients using supervised machine learning. Cancer mentions are highlighted in all candidate clinical notes and then sorted in CRCP's web interface for faster validation by cancer registrars. Results CRCP achieved an accuracy of 0.872 and detected reportable cancer cases with a precision of 0.843 and a recall of 0.848. CRCP increases throughput by 22.6% over a baseline (manual review) pathology report inspection system while achieving a higher precision and recall. Depending on registrar time constraints, CRCP can increase recall to 0.939 at the expense of precision by incorporating a data source information feature.Conclusion CRCP demonstrates accurate results when applying natural language processing features to the problem of detecting patients with cases of reportable cancer from clinical notes. We show that implementing only a portion of cancer reporting rules in the form of regular expressions is sufficient to increase the precision, recall, and speed of the detection of reportable cancer cases when combined with off-the-shelf information extraction software and machine learning. © The Author 2016. Published by Oxford University Press on behalf of the American Medical Informatics Association. All rights reserved.</t>
  </si>
  <si>
    <t>Osborne,J.D.,Wyatt,M.,Westfall,A.O.,Willig,J.,Bethard,S.,Gordon,G.</t>
  </si>
  <si>
    <t>https://www.scopus.com/inward/record.uri?eid=2-s2.0-84994756904&amp;doi=10.1093%2Fjamia%2Focw006&amp;partnerID=40&amp;md5=66fea0c64e5af3f699888cedefeada32</t>
  </si>
  <si>
    <t>Electronic health records,Information extraction,Machine learning,Natural language processing,Neoplasms,User-computer interface</t>
  </si>
  <si>
    <t>Reconocimiento de entidades (NER),Clasificación de texto,Normalización de conceptos,Recuperación de información</t>
  </si>
  <si>
    <t>Logistic regression,Naive Bayes (NB),Decision trees,Otro</t>
  </si>
  <si>
    <t>MetaMap,NAACCR term exact-matching,rule-based,regular expressions</t>
  </si>
  <si>
    <t>Usan  UIMA/UIMA-AS con MetaMap y términos NAACCR, luego aplican reglas para filtrar conceptos no reportables y un clasificador que combina CUIs del texto e ICD-9 para decidir si el paciente es reportable</t>
  </si>
  <si>
    <t>Identificar si un reporte hace mención de cáncer</t>
  </si>
  <si>
    <t>Expanding the Secondary Use of Prostate Cancer Real World Data: Automated Classifiers for Clinical and Pathological Stage</t>
  </si>
  <si>
    <t>Background: Explicit documentation of stage is an endorsed quality metric by the National Quality Forum. Clinical and pathological cancer staging is inconsistently recorded within clinical narratives but can be derived from text in the Electronic Health Record (EHR). To address this need, we developed a Natural Language Processing (NLP) solution for extraction of clinical and pathological TNM stages from the clinical notes in prostate cancer patients. Methods: Data for patients diagnosed with prostate cancer between 2010 and 2018 were collected from a tertiary care academic healthcare system's EHR records in the United States. This system is linked to the California Cancer Registry, and contains data on diagnosis, histology, cancer stage, treatment and outcomes. A randomly selected sample of patients were manually annotated for stage to establish the ground truth for training and validating the NLP methods. For each patient, a vector representation of clinical text (written in English) was used to train a machine learning model alongside a rule-based model and compared with the ground truth. Results: A total of 5,461 prostate cancer patients were identified in the clinical data warehouse and over 30% were missing stage information. Thirty-three to thirty-six percent of patients were missing a clinical stage and the models accurately imputed the stage in 21–32% of cases. Twenty-one percent had a missing pathological stage and using NLP 71% of missing T stages and 56% of missing N stages were imputed. For both clinical and pathological T and N stages, the rule-based NLP approach out-performed the ML approach with a minimum F1 score of 0.71 and 0.40, respectively. For clinical M stage the ML approach out-performed the rule-based model with a minimum F1 score of 0.79 and 0.88, respectively. Conclusions: We developed an NLP pipeline to successfully extract clinical and pathological staging information from clinical narratives. Our results can serve as a proof of concept for using NLP to augment clinical and pathological stage reporting in cancer registries and EHRs to enhance the secondary use of these data. © © 2022 Bozkurt, Magnani, Seneviratne, Brooks and Hernandez-Boussard.</t>
  </si>
  <si>
    <t>Bozkurt,S.,Magnani,C.J.,Seneviratne,M.G.,Brooks,J.D.,Hernandez-Boussard,T.</t>
  </si>
  <si>
    <t>https://www.scopus.com/inward/record.uri?eid=2-s2.0-85132800923&amp;doi=10.3389%2Ffdgth.2022.793316&amp;partnerID=40&amp;md5=796597f3b015ccc1321ee23a333bbc4c</t>
  </si>
  <si>
    <t>machine learning,natural language processing,prostate cancer,stage,TNM stage</t>
  </si>
  <si>
    <t>Frontiers in Digital Health</t>
  </si>
  <si>
    <t>Support Vector Machine (SVM), Word embeddings,Conditional Random Fields (CRF)</t>
  </si>
  <si>
    <t>word2vec,ConText</t>
  </si>
  <si>
    <t xml:space="preserve">1. Se contruye un vocabucario con dos diccionarios, posteriormente, 2. realiza el procesamiento en NLTK -Natural Language Toolkit, 3. con el modelo basado en reglas identifica términos clínicos, 4. aplica modelos de aprendizaje automáticos mencionados, 5. evalúa las métricas. </t>
  </si>
  <si>
    <t>Reporte patológico, Notas clínicas</t>
  </si>
  <si>
    <t>Cáncer de prostata</t>
  </si>
  <si>
    <t>Extracting cancer mortality statistics from death certificates: A hybrid machine learning and rule-based approach for common and rare cancers</t>
  </si>
  <si>
    <t>Objective: Death certificates are an invaluable source of cancer mortality statistics. However, this value can only be realised if accurate, quantitative data can be extracted from certificates—an aim hampered by both the volume and variable quality of certificates written in natural language. This paper proposes an automatic classification system for identifying all cancer related causes of death from death certificates. Methods: Detailed features, including terms, n-grams and SNOMED CT concepts were extracted from a collection of 447,336 death certificates. The features were used as input to two different classification sub-systems: a machine learning sub-system using Support Vector Machines (SVMs) and a rule-based sub-system. A fusion sub-system then combines the results from SVMs and rules into a single final classification. A held-out test set was used to evaluate the effectiveness of the classifiers according to precision, recall and F-measure. Results: The system was highly effective at determining the type of cancers for both common cancers (F-measure of 0.85) and rare cancers (F-measure of 0.7). In general, rules performed superior to SVMs; however, the fusion method that combined the two was the most effective. Conclusion: The system proposed in this study provides automatic identification and characterisation of cancers from large collections of free-text death certificates. This allows organisations such as Cancer Registries to monitor and report on cancer mortality in a timely and accurate manner. In addition, the methods and findings are generally applicable beyond cancer classification and to other sources of medical text besides death certificates. © 2018</t>
  </si>
  <si>
    <t>https://www.scopus.com/inward/record.uri?eid=2-s2.0-85046776321&amp;doi=10.1016%2Fj.artmed.2018.04.011&amp;partnerID=40&amp;md5=a6453bd02ec24640ed2a50fc3d1e0a23</t>
  </si>
  <si>
    <t>Cancer classification,Death certificates,Hybrid,Machine learning,Natural language processing,Rules</t>
  </si>
  <si>
    <t>Fusión de clasificadores</t>
  </si>
  <si>
    <t>Support Vector Machine (SVM),Otro</t>
  </si>
  <si>
    <t>rule-based,fusion method</t>
  </si>
  <si>
    <t>Pipeline propio,Otro</t>
  </si>
  <si>
    <t xml:space="preserve">Es un sistema que lee los certificados de defunción y saca información importante del texto, Después intenta traducir esos términos a códigos médicos usados en cáncer (SNOMED CT e ICD-O), combina un modelo automático (SVM) con reglas de mapeo, y al final une ambos resultados para elegir un unic codigo final </t>
  </si>
  <si>
    <t>Extraction, Labeling, Clustering, and Semantic Mapping of Segments From Clinical Notes</t>
  </si>
  <si>
    <t>This work is motivated by the scarcity of tools for accurate, unsupervised information extraction from unstructured clinical notes in computationally underrepresented languages, such as Czech. We introduce a stepping stone to a broad array of downstream tasks such as summarisation or integration of individual patient records, extraction of structured information for national cancer registry reporting or building of semi-structured semantic patient representations that can be used for computing patient embeddings. More specifically, we present a method for unsupervised extraction of semantically-labeled textual segments from clinical notes and test it out on a dataset of Czech breast cancer patients, provided by Masaryk Memorial Cancer Institute (the largest Czech hospital specialising exclusively in oncology). Our goal was to extract, classify (i.e. label) and cluster segments of the free-text notes that correspond to specific clinical features (e.g., family background, comorbidities or toxicities). Finally, we propose a tool for computer-assisted semantic mapping of segment types to pre-defined ontologies and validate it on a downstream task of category-specific patient similarity. The presented results demonstrate the practical relevance of the proposed approach for building more sophisticated extraction and analytical pipelines deployed on Czech clinical notes. © 2002-2011 IEEE.</t>
  </si>
  <si>
    <t>Zelina,P.,Halámková,J.,Nováček,V.</t>
  </si>
  <si>
    <t>https://www.scopus.com/inward/record.uri?eid=2-s2.0-85162886349&amp;doi=10.1109%2FTNB.2023.3275195&amp;partnerID=40&amp;md5=a3cef71749e5ef225c643ee859b1af05</t>
  </si>
  <si>
    <t>clinical notes,EHR,information extraction,NLP,text classification</t>
  </si>
  <si>
    <t>IEEE Transactions on NanoBioscience</t>
  </si>
  <si>
    <t>LSA+ Neural Network Classifier, Doc2Vec + simple neural network classifier, Bi-LSTM neural network classifier, Hard-coded splitting algorithm</t>
  </si>
  <si>
    <t>(1) Lo primero que se realizó fue la segmentación de las notas clínicas mediante un enfoque hard-coded.
(2) Luego, se llevó a cabo el label extraction utilizando expresiones regulares.
(3) Posteriormente, se realizó la clasificación de segmentos, la cual consiste en predecir el título del segmento a partir de su contenido mediante distintos modelos.
(4) Después, se aplicó el clustering para agrupar títulos similares.
(5) Finalmente, se evaluó el desempeño del método.</t>
  </si>
  <si>
    <t>Notas clínicas,Datos administrativos o de seguros</t>
  </si>
  <si>
    <t>República Checa</t>
  </si>
  <si>
    <t>Feasibility and accuracy of extracting cancer stage information from narrative electronic health record data</t>
  </si>
  <si>
    <t>Purpose Cancer stage, one of the most important prognostic factors for cancer-specific survival, is often documented in narrative form in electronic health records (EHRs). Such documentation results in tedious and time-consuming abstraction efforts by tumor registrars and other secondary users. This information may be amenable to extraction by automated methods. Methods We developed a natural language processing algorithm to extract stage statements from machine-readable EHR documents, including automated rules to choose the most likely stage when discordance was present in the EHR. These methods were developed in a training set of patients with lung cancer, independently validated in a test set of patients with lung cancer, and compared with the gold standard of Vanderbilt Cancer Registry-determined stage (when available). Results In the combined data set of 2,323 patients (training set, n = 1,103; validation set, n = 1,220), 751,880 documents were analyzed. A stage statement was extracted from 2,239 (98.6%) patientEHRs(median,24documents per patient). Stage discordancewascommon, affecting 83.6% of these EHRs. Nevertheless, algorithmically derived stage accuracy was high in the validation set (k = 0.906; 95% CI, 0.873 to 0.939), when including notes generated within 14 weeks from diagnosis. Conclusion Accurate stage determination can be achieved through automated methods applied to narrative text, despite the frequent presence of discordance in such data. Our results also indicate that stage can be automatically captured in a shorter timeframe than the 6-month window used by cancer registries, as early as 5 weeks from diagnosis. These methods may be generalizable to large narrative cancer data sets. © 2016 by American Society of Clinical Oncology.</t>
  </si>
  <si>
    <t>Warner,J.L.,Levy,M.A.,Neuss,M.N.</t>
  </si>
  <si>
    <t>https://www.scopus.com/inward/record.uri?eid=2-s2.0-84958242242&amp;doi=10.1200%2FJOP.2015.004622&amp;partnerID=40&amp;md5=a667a7706362ce7fbc1196f8baceba16</t>
  </si>
  <si>
    <t>Journal of Oncology Practice</t>
  </si>
  <si>
    <t>Recuperación de información,Normalización de conceptos,Clasificación de texto</t>
  </si>
  <si>
    <t>regex,bag-of-words</t>
  </si>
  <si>
    <t>Se identifican palabras clave en los documentos, se normalizan las frases encontradas y se agrupan en nueve categorias</t>
  </si>
  <si>
    <t>Identificar si un reporte hace mención de cáncer,Extracción de elementos clave,Identificación de la recurrencia o metástasis,Seguimiento</t>
  </si>
  <si>
    <t>Hierarchical Temporal Attention Networks for Cancer Registry Abstraction: Leveraging Longitudinal Clinical Data with Interpretability</t>
  </si>
  <si>
    <t>Cancer registration is a vital source of information for government-driven cancer prevention and control policies. However, cancer registry abstraction is a complex and labor-intensive process, requiring the extraction of structured data from large volumes of unstructured clinical reports. To address these challenges, we propose a hierarchical temporal attention network leveraging attention mechanisms at the word, sentence, and document levels, while incorporating temporal and report type information to capture nuanced relationships within patients' longitudinal data. To ensure robust evaluation, a stratified sampling algorithm was developed to balance the training, validation, and test datasets across 23 coding tasks, mitigating potential biases. The proposed method achieved an average F1-score of 0.82, outperforming existing approaches by prioritizing task-relevant words, sentences, and reports through its attention mechanism. An ablation study confirmed the critical contributions of the proposed components. Furthermore, a prototype visualization tool was developed to present interpretability, providing cancer registrars with insights into the decision-making process by visualizing attention at multiple levels of granularity. Overall, the proposed methods combined with the interpretabilityfocused visualization tool, represent a significant step toward automating cancer registry abstraction from unstructured clinical text in longitudinal settings. © 2013 IEEE.</t>
  </si>
  <si>
    <t>Dai,H.-J.,Wu,H.-H.</t>
  </si>
  <si>
    <t>https://www.scopus.com/inward/record.uri?eid=2-s2.0-105011963677&amp;doi=10.1109%2FJBHI.2025.3592444&amp;partnerID=40&amp;md5=2fbb785686ab122dd0e6d3e97e260e9c</t>
  </si>
  <si>
    <t>abstraction,cancer registry,deep learning,information extraction,Natural language processing</t>
  </si>
  <si>
    <t>Word embeddings,RNN,Attention mechanisms</t>
  </si>
  <si>
    <t>HTAN con atención jerárquica a nivel de palabra,oración y documento,información temporal y de tipo de reporte,BiGRU,aprendizaje multitarea para 23 tareas de codificación</t>
  </si>
  <si>
    <t>Regresión</t>
  </si>
  <si>
    <t>no es muy especifico en las 23 tareas exactametne, es en 6 tipos de cáncer sólidos</t>
  </si>
  <si>
    <t>Identification of malignancies from free-text histopathology reports using a multi-model supervised machine learning approach</t>
  </si>
  <si>
    <t>We explored various Machine Learning (ML) models to evaluate how each model performs in the task of classifying histopathology reports. We trained, optimized, and performed classification with Stochastic Gradient Descent (SGD), Support Vector Machine (SVM), Random Forest (RF), K-Nearest Neighbor (KNN), Adaptive Boosting (AB), Decision Trees (DT), Gaussian Naïve Bayes (GNB), Logistic Regression (LR), and Dummy classifier. We started with 60,083 histopathology reports, which reduced to 60,069 after pre-processing. The F1-scores for SVM, SGD KNN, RF, DT, LR, AB, and GNB were 97%, 96%, 96%, 96%, 92%, 96%, 84%, and 88%, respectively, while the misclassification rates were 3.31%, 5.25%, 4.39%, 1.75%, 3.5%, 4.26%, 23.9%, and 19.94%, respectively. The approximate run times were 2 h, 20 min, 40 min, 8 h, 40 min, 10 min, 50 min, and 4 min, respectively. RF had the longest run time but the lowest misclassification rate on the labeled data. Our study demonstrated the possibility of applying ML techniques in the processing of free-text pathology reports for cancer registries for cancer incidence reporting in a Sub-Saharan Africa setting. This is an important consideration for the resource-constrained environments to leverage ML techniques to reduce workloads and improve the timeliness of reporting of cancer statistics. © 2020 by the authors.</t>
  </si>
  <si>
    <t>Olago,V.,Muchengeti,M.,Singh,E.,Chen,W.C.</t>
  </si>
  <si>
    <t>https://www.scopus.com/inward/record.uri?eid=2-s2.0-85092526114&amp;doi=10.3390%2FINFO11090455&amp;partnerID=40&amp;md5=d5363cbfc8d13a89e4b0a3618f12691c</t>
  </si>
  <si>
    <t>Cancer coding,Flagging malignant reports,Machine learning,Multi-model supervised machine learning,Natural language processing,Text classification,Text mining</t>
  </si>
  <si>
    <t>Information</t>
  </si>
  <si>
    <t>Reconocimiento de entidades (NER),Clasificación de texto</t>
  </si>
  <si>
    <t>Support Vector Machine (SVM), Random Forest (RF), Decision trees, Naive Bayes (NB), Logistic regression</t>
  </si>
  <si>
    <t>Stochastic Gradient Descent (SGD), K-Nearest Neighbor (KNN), Adaptive Boosting (AB), Dummy classifier</t>
  </si>
  <si>
    <t>Desarrollado en Python 3.7 utilizando librerías como scikit-learn, pandas, numpy, regex y nltk, con una fase de preprocesamiento y una fase de clasificación y prueba.</t>
  </si>
  <si>
    <t>Sudáfrica</t>
  </si>
  <si>
    <t>No especifica topografía, pero se deduce que fueron múltiples porque identificó morfologías y comportamiento de los tumores</t>
  </si>
  <si>
    <t>Information extraction for prognostic stage prediction from breast cancer medical records using NLP and ML.</t>
  </si>
  <si>
    <t>For cancer prediction, the prognostic stage is the main factor that helps medical experts to decide the optimal treatment for a patient. Specialists study prognostic stage information from medical reports, often in an unstructured form, and take a larger review time. The main objective of this study is to suggest a generic clinical decision-unifying staging method to extract the most reliable prognostic stage information of breast cancer from medical records of various health institutions. Additional prognostic elements should be extracted from medical reports to identify the cancer stage for getting an exact measure of cancer and improving care quality. This study has collected 465 pathological and clinical reports of breast cancer sufferers from India's reputed medical institutions. The unstructured records were found distinct from each institute. Anatomic and biologic factors are extracted from medical records using the natural language processing, machine learning and rule-based method for prognostic stage detection. This study has extracted anatomic stage, grade, estrogen receptor (ER), progesterone receptor (PR), and human epidermal growth factor receptor 2 (HER2) from medical reports with high accuracy and predicted prognostic stage for both regions. The prognostic stage prediction's average accuracy is found 92% and 82% in rural and urban areas, respectively. It was essential to combine biological and anatomical elements under a single prognostic staging method. A generic clinical decision-unifying staging method for prognostic stage detection with great accuracy in various institutions of different regional areas suggests that the proposed research improves the prognosis of breast cancer.</t>
  </si>
  <si>
    <t>Deshmukh Pratiksha R,Phalnikar Rashmi</t>
  </si>
  <si>
    <t>https://research.ebsco.com/linkprocessor/plink?id=82ae50f1-2956-385e-9232-48b933fcb11c</t>
  </si>
  <si>
    <t>Breast Neoplasms diagnosis,Female,Humans,Information Storage and Retrieval,Medical Records,Prognosis,Receptors, Estrogen</t>
  </si>
  <si>
    <t>Medical &amp; Biological Engineering &amp; Computing</t>
  </si>
  <si>
    <t>Si</t>
  </si>
  <si>
    <t xml:space="preserve">Clasificación de texto, Reconocimiento de entidades (NER)
</t>
  </si>
  <si>
    <t>Decision Tree, SVM, Naive Bayes</t>
  </si>
  <si>
    <t>Regular expressions,rule-based</t>
  </si>
  <si>
    <t>otro</t>
  </si>
  <si>
    <t>(1) Primero se realiza el preprocesamiento del texto, el cual incluye la segmentación por secciones del reporte (section segmentation) utilizando búsqueda de encabezados mediante expresiones regulares, y luego se aplica normalización, tokenización y stemming empleando NLTK. Posteriormente, se ejecuta una fase de estandarización del dato, que unifica la forma en que se expresan medidas, valores y números en los reportes.
(2) Después, se construye un diccionario de términos clínicos que incorpora además un módulo de detección de negación, con el fin de diferenciar hallazgos positivos y negativos y reducir falsos positivos.
(3) Luego se realiza una representación numérica de los elementos relevantes (por ejemplo, convertir expresiones textuales como “two out of ten” a valores numéricos), lo cual permite estructurar la información de forma consistente para el análisis posterior.
(4) A continuación, se aplica el proceso de extracción de factores pronósticos mediante una combinación de pattern matching y reglas (rule-based) apoyadas en el diccionario clínico, incluyendo estrategias como análisis de rango y selección de términos con prioridades para evitar extraer valores incorrectos.
(5) Con este enfoque, se extraen variables clínicas y patológicas clave como tamaño tumoral (T), afectación de ganglios (N), metástasis (M), grado, ER, PR y HER2, usando funciones específicas diseñadas para cada factor.
(6) Finalmente, con los factores extraídos ya estructurados, se entrena un modelo de clasificación para predecir el anatomic stage y el prognostic stage, y posteriormente se comparan los resultados contra el gold standard definido por especialistas para evaluar el desempeño del pipeline.</t>
  </si>
  <si>
    <t>India</t>
  </si>
  <si>
    <t>Cáncer de mama</t>
  </si>
  <si>
    <t xml:space="preserve">Innovation in data collection for population-based cancer registries in Colombia: implementation and challenges </t>
  </si>
  <si>
    <t>Explica que los registros poblacionales de cáncer son esenciales para medir incidencia y supervivencia, pero que el reto es reducir tiempos y costos de recolección. Describe cómo el Registro Poblacional de Cáncer de Cali empleó PLN para extraer información desde formatos de patología no estructurados, reducir tiempos y transferir la metodología a Barranquilla y Neiva. También resume avances en bases de datos relacionales y visualización en tiempo real.</t>
  </si>
  <si>
    <t>Constanza Pardo</t>
  </si>
  <si>
    <t>https://www.revistacancercol.org/index.php/cancer/article/view/1136</t>
  </si>
  <si>
    <t>information systems, machine learning, natural language processing, technological innovation, neoplasms, population-based cancer registries, public health surveillance, Colombia</t>
  </si>
  <si>
    <t>Revista Colombiana de Cancerología</t>
  </si>
  <si>
    <t>Extracción inteligente de datos,integración de datos,visualización en tiempo real</t>
  </si>
  <si>
    <t>Scripts en Python basados en UMLS,clasificador cáncer/no cáncer</t>
  </si>
  <si>
    <t>Lectura de archivos estructurados y no estructurados de patología con Python y librerías UMLS,conversión de texto a datos estructurados,clasificación cáncer/no cáncer,carga a base relacional PostgreSQL y visualización en Power BI</t>
  </si>
  <si>
    <t>Identificar si un reporte menciona cáncer</t>
  </si>
  <si>
    <t>Leveraging natural language processing for efficient information extraction from breast cancer pathology reports: Single-institution study.</t>
  </si>
  <si>
    <t>Background: Pathology reports provide important information for accurate diagnosis of cancer and optimal treatment decision making. In particular, breast cancer has known to be the most common cancer in women worldwide. Objective: For the data extraction of breast cancer pathology reports in a single institute, we assessed the accuracy of methods between regular expression and natural language processing (NLP). Methods: A total of 1,215 breast cancer pathology reports were annotated for NLP model development. As NLP models, we considered three BERT models with specific vocabularies including BERT-basic, BioBERT, and ClinicalBERT. K-fold cross-validation was used to verify the performance of the BERT model. The results between the regular expression and the BERT model were compared using the named entity recognition (NER) techniques. Results: Among three BERT models, BioBERT was the most accurate parsing model (average performance = 0.99901) for breast cancer pathology when set to k = 5. BioBERT also had the lowest error rate for all items in the breast cancer pathology report compared to other BERT models (accuracy for all variables ≥ 0.9). Therefore, we finally selected BioBERT as the NLP model. When comparing the results of BioBERT and regular expressions using NER, we identified that BioBERT was more accurate than regular expression method, especially for some items such as intraductal component (BioBERT: 1.0, RegEx: 0.1644), lymph node (BioBERT: 0.9886, RegEx: 0.4792), and lymphovascular invasion (BioBERT: 0.9918, RegEx: 0.3759). Conclusions: Our results showed that the NLP model, BioBERT, had higher accuracy than regular expression, suggesting the importance of BioBERT in the processing of breast cancer pathology reports.</t>
  </si>
  <si>
    <t>Park Phillip,Choi Yeonho,Han Nayoung,Park Ye-Lin,Hwang Juyeon,Chae Heejung,Yoo Chong Woo,Choi Kui Son,Kim Hyun-Jin</t>
  </si>
  <si>
    <t>https://research.ebsco.com/linkprocessor/plink?id=f391f881-f458-3f03-ac93-ca15ac1a664f</t>
  </si>
  <si>
    <t>Language models,Natural language processing,Breast cancer,Data extraction,Data mining</t>
  </si>
  <si>
    <t>Reconocimiento de entidades (NER),Preguntas y respuestas (QA)</t>
  </si>
  <si>
    <t>data extraction</t>
  </si>
  <si>
    <t>Regular expressions</t>
  </si>
  <si>
    <t>Framework de QA con BERT-basic,BioBERT,ClinicalBERT para extraer 19 fenotipos de reportes patológicos de cáncer de mama</t>
  </si>
  <si>
    <t>Corea del Sur</t>
  </si>
  <si>
    <t>mama, accuracy en 19 fenotipos</t>
  </si>
  <si>
    <t>Machine learning classification of surgical pathology reports and chunk recognition for information extraction noise reduction</t>
  </si>
  <si>
    <t>Background and aims: Machine learning techniques for the text mining of cancer-related clinical documents have not been sufficiently explored. Here some techniques are presented for the pre-processing of free-text breast cancer pathology reports, with the aim of facilitating the extraction of information relevant to cancer staging. Materials and methods: The first technique was implemented using the freely available software RapidMiner to classify the reports according to their general layout: 'semi-structured' and 'unstructured'. The second technique was developed using the open source language engineering framework GATE and aimed at the prediction of chunks of the report text containing information pertaining to the cancer morphology, the tumour size, its hormone receptor status and the number of positive nodes. The classifiers were trained and tested respectively on sets of 635 and 163 manually classified or annotated reports, from the Northern Ireland Cancer Registry. Results: The best result of 99.4% accuracy - which included only one semi-structured report predicted as unstructured - was produced by the layout classifier with the k nearest algorithm, using the binary term occurrence word vector type with stopword filter and pruning. For chunk recognition, the best results were found using the PAUM algorithm with the same parameters for all cases, except for the prediction of chunks containing cancer morphology. For semi-structured reports the performance ranged from 0.97 to 0.94 and from 0.92 to 0.83 in precision and recall, while for unstructured reports performance ranged from 0.91 to 0.64 and from 0.68 to 0.41 in precision and recall. Poor results were found when the classifier was trained on semi-structured reports but tested on unstructured. Conclusions: These results show that it is possible and beneficial to predict the layout of reports and that the accuracy of prediction of which segments of a report may contain certain information is sensitive to the report layout and the type of information sought. © 2016 Elsevier B.V..</t>
  </si>
  <si>
    <t>Napolitano,G.,Marshall,A.,Hamilton,P.,Anna Gavin,A.T.</t>
  </si>
  <si>
    <t>https://www.scopus.com/inward/record.uri?eid=2-s2.0-84975495925&amp;doi=10.1016%2Fj.artmed.2016.06.001&amp;partnerID=40&amp;md5=7c5939e62b89330511402be2cce652fa</t>
  </si>
  <si>
    <t>Cancer staging,Information extraction,Natural language processing,Supervised machine learning,Surgical pathology report</t>
  </si>
  <si>
    <t>Naive Bayes (NB),Vector space model (VSM),TF–IDF,Otro</t>
  </si>
  <si>
    <t>k-NN,PAUM</t>
  </si>
  <si>
    <t>Pipeline propio,GATE,Otro</t>
  </si>
  <si>
    <t>Primero clasifican el reporte por su formato general y despues, con GATE, marcan que partes del texto son las que más probablemente contienen datos necesarios</t>
  </si>
  <si>
    <t>Reporte patológico,Reportes de laboratorio</t>
  </si>
  <si>
    <t>Identificar si un reporte hace mención de cáncer,Extracción de elementos clave,Extracción de información de biomarcadores,Identificación de la recurrencia o metástasis</t>
  </si>
  <si>
    <t>Reino Unido</t>
  </si>
  <si>
    <t>Machine Learning-Based Extraction of Breast Cancer Receptor Status From Bilingual Free-Text Pathology Reports</t>
  </si>
  <si>
    <t>As part of its core business of gathering population-based information on new cancer diagnoses, the Belgian Cancer Registry receives free-text pathology reports, describing results of (pre-)malignant specimens. These reports are provided by 82 laboratories and written in 2 national languages, Dutch or French. For breast cancer, the reports characterize the status of estrogen receptor, progesterone receptor, and Erb-b2 receptor tyrosine kinase 2. These biomarkers are related with tumor growth and prognosis and are essential to define therapeutic management. The availability of population-scale information about their status in breast cancer patients can therefore be considered crucial to enrich real-world scientific studies and to guide public health policies regarding personalized medicine. The main objective of this study is to expand the data available at the Belgian Cancer Registry by automatically extracting the status of these biomarkers from the pathology reports. Various types of numeric features are computed from over 1,300 manually annotated reports linked to breast tumors diagnosed in 2014. A range of popular machine learning classifiers, such as support vector machines, random forests and logistic regressions, are trained on this data and compared using their F&lt;inf&gt;1&lt;/inf&gt; scores on a separate validation set. On a held-out test set, the best performing classifiers achieve F&lt;inf&gt;1&lt;/inf&gt; scores ranging from 0.89 to 0.92 for the four classification tasks. The extraction is thus reliable and allows to significantly increase the availability of this valuable information on breast cancer receptor status at a population level. © Copyright © 2021 Pironet, Poirel, Tambuyzer, De Schutter, van Walle, Mattheijssens, Henau, Van Eycken and Van Damme.</t>
  </si>
  <si>
    <t>Pironet,A.,Poirel,H.A.,Tambuyzer,T.,de Schutter,H.,van Walle,L.,Mattheijssens,J.,Henau,K.,van Eycken,L.,van Damme,N.</t>
  </si>
  <si>
    <t>https://www.scopus.com/inward/record.uri?eid=2-s2.0-85131263648&amp;doi=10.3389%2Ffdgth.2021.692077&amp;partnerID=40&amp;md5=a56c9e310430579a46b554f67dcc6aaa</t>
  </si>
  <si>
    <t>breast cancer,machine learning,natural language processing,pathology,receptor status</t>
  </si>
  <si>
    <t>Random Forest (RF),Support Vector Machine (SVM),Logistic regression,Decision trees</t>
  </si>
  <si>
    <t>K-Nearest Neighbor (KNN),Regular expressions</t>
  </si>
  <si>
    <t>Pipeline de ML convencional que incluye: (1) preprocesamiento dividiendo reportes en líneas y oraciones usando tokenizador propio, separación en palabras con tokenizador basado en puntuación, (2) ingeniería de características extrayendo &gt;20,000 características numéricas (expresiones regulares aplicadas a reportes completos y oraciones individuales, ubicaciones absolutas y relativas de coincidencias, extracción de valores numéricos como Allred score y H score, conteo de palabras con paquete tm, similitudes de Jaccard con oraciones de referencia, combinaciones booleanas de características, regresiones logísticas de características), (3) normalización de características, (4) selección de características usando coeficientes de regresión logística multinomial regularizada con cv.glmnet, (5) entrenamiento de múltiples clasificadores (Random Forest, SVM con kernels lineal/radial/polinomial/sigmoid, regresión logística regularizada, árboles de decisión, k-nearest neighbors), (6) uso de self-training en datos no etiquetados para HER2 IHC</t>
  </si>
  <si>
    <t>Bélgica</t>
  </si>
  <si>
    <t>Registro Poblacional de Cáncer de Bélgica con 82 laboratorios proveedores. Reportes bilingües en holandés y francés (a veces mezclados en el mismo reporte).</t>
  </si>
  <si>
    <t>Natural Language Processing Approaches to Detect the Timeline of Metastatic Recurrence of Breast Cancer</t>
  </si>
  <si>
    <t>PURPOSE Electronic medical records (EMRs) and population-based cancer registries contain information on cancer outcomes and treatment, yet rarely capture information on the timing of metastatic cancer recurrence, which is essential to understand cancer survival outcomes. We developed a natural language processing (NLP) system to identify patient-specific timelines of metastatic breast cancer recurrence. PATIENTS AND METHODS We used the OncoSHARE database, which includes merged data from the California Cancer Registry and EMRs of 8,956 women diagnosed with breast cancer in 2000 to 2018. We curated a comprehensive vocabulary by interviewing expert clinicians and processing radiology and pathology reports and progress notes. We developed and evaluated the following two distinct NLP approaches to analyze free-text notes: a traditional rule-based model, using rules for metastatic detection from the literature and curated by domain experts; and a contemporary neural network model. For each 3-month period (quarter) from 2000 to 2018, we applied both models to infer recurrence status for that quarter. We trained the NLP models using 894 randomly selected patient records that were manually reviewed by clinical experts and evaluated model performance using 179 hold-out patients (20%) as a test set. RESULTS The median follow-up time was 19 quarters (5 years) for the training set and 15 quarters (4 years) for the test set. The neural network model predicted the timing of distant metastatic recurrence with a sensitivity of 0.83 and specificity of 0.73, outperforming the rule-based model, which had a specificity of 0.35 and sensitivity of 0.88 (P, .001). CONCLUSION We developed an NLP method that enables identification of the occurrence and timing of metastatic breast cancer recurrence from EMRs. This approach may be adaptable to other cancer sites and could help to unlock the potential of EMRs for research on real-world cancer outcomes. © 2019 by American Society of Clinical Oncology</t>
  </si>
  <si>
    <t>Banerjee,I.,Bozkurt,S.,Caswell-Jin,J.L.,Kurian,A.W.,Rubin,D.L.</t>
  </si>
  <si>
    <t>https://www.scopus.com/inward/record.uri?eid=2-s2.0-85078789466&amp;doi=10.1200%2FCCI.19.00034&amp;partnerID=40&amp;md5=9e4728ff8ac57b920bed9ab975aed70e</t>
  </si>
  <si>
    <t>Reconocimiento de entidades (NER),Recuperación de información,Clasificación de texto,Otro</t>
  </si>
  <si>
    <t>Construcción de línea de tiempo</t>
  </si>
  <si>
    <t>Multilayer perceptron / deep neural network (MLP/DNN)</t>
  </si>
  <si>
    <t>Limpian texto, hacen “tagging” de entidades con diccionarios y sacan oraciones clave con eso clasifican cada trimestre con una red neuronal</t>
  </si>
  <si>
    <t>Identificar si un reporte hace mención de cáncer,Identificación de la recurrencia o metástasis,Seguimiento</t>
  </si>
  <si>
    <t>Optimal vocabulary selection approaches for privacy-preserving deep NLP model training for information extraction and cancer epidemiology</t>
  </si>
  <si>
    <t>Background: With the use of artificial intelligence and machine learning techniques for biomedical informatics, security and privacy concerns over the data and subject identities have also become an important issue and essential research topic. Without intentional safeguards, machine learning models may find patterns and features to improve task performance that are associated with private personal information. Objective: The privacy vulnerability of deep learning models for information extraction from medical textural contents needs to be quantified since the models are exposed to private health information and personally identifiable information. The Objective of the study is to quantify the privacy vulnerability of the deep learning models for natural language processing and explore a proper way of securing patients' information to mitigate confidentiality breaches. METHODS: The target model is the multitask convolutional neural network for information extraction from cancer pathology reports, where the data for training the model are from multiple state population-based cancer registries. This study proposes the following schemes to collect vocabularies from the cancer pathology reports; (a) words appearing in multiple registries, and (b) words that have higher mutual information. We performed membership inference attacks on the models in high-performance computing environments. Results: The comparison outcomes suggest that the proposed vocabulary selection methods resulted in lower privacy vulnerability while maintaining the same level of clinical task performance. © 2022 - IOS Press. All rights reserved.</t>
  </si>
  <si>
    <t>Yoon,H.-J.,Stanley,C.,Blair Christian,J.B.,Klasky,H.B.,Blanchard,A.E.,Durbin,E.B.,Wu,X.-C.,Stroup,A.,Doherty,J.,Schwartz,S.,Wiggins,C.,Damesyn,M.,Coyle,L.,Tourassi,G.D.</t>
  </si>
  <si>
    <t>https://www.scopus.com/inward/record.uri?eid=2-s2.0-85125550151&amp;doi=10.3233%2FCBM-210306&amp;partnerID=40&amp;md5=ca4db5d98ebe01d355cdcea7cdf47f8a</t>
  </si>
  <si>
    <t>artificial intelligence,cancer epidemiology,deep learning,natural language processing,Privacy,privacy-preserving training</t>
  </si>
  <si>
    <t>Cancer Biomarkers</t>
  </si>
  <si>
    <t>Evaluación de privacidad</t>
  </si>
  <si>
    <t>Convolutional Neural Networks (CNN)</t>
  </si>
  <si>
    <t>Membership Inference Attack (MIA),Shadow models,fastText word embeddings</t>
  </si>
  <si>
    <t>(1) Se recolectan los reportes de patología (texto libre) provenientes de múltiples registros poblacionales SEER.
(2) Se construyen las etiquetas (ground truth) con base en la información del registro, para cinco variables: site, subsite, laterality, behavior e histology.
(3) Se define un vocabulario base utilizando únicamente las palabras con frecuencia mínima (por ejemplo, ≥ 5 apariciones).
(4) Se aplica una estrategia de selección de vocabulario orientada a privacidad, ya sea por intersección entre registros o por Mutual Information (MI) para conservar las palabras más relevantes.
(5) Se entrena el modelo de NLP multitarea (MT-CNN) para extraer o clasificar los campos del registro a partir del texto.
(6) Se evalúa el riesgo de privacidad del modelo mediante un Membership Inference Attack (MIA), usando modelos sombra y modelos de ataque.
(7) Finalmente, se evalúa el desempeño del modelo comparando el rendimiento de extracción/clasificación y el impacto de la selección de vocabulario.</t>
  </si>
  <si>
    <t>No reporta</t>
  </si>
  <si>
    <t>Siete registros de cáncer participantes del programa SEER del NCI:
California Cancer Registry (CCR)
Kentucky Cancer Registry (KCR)
Louisiana Tumor Registry (LTR)
New Jersey State Cancer Registry (NJSCR)
New Mexico Tumor Registry (NMTR)
Seattle Cancer Registry (SCR)
Utah Cancer Registry (UCR)</t>
  </si>
  <si>
    <t xml:space="preserve">
</t>
  </si>
  <si>
    <t>Path-BigBird: An AI-Driven Transformer Approach to Classification of Cancer Pathology Reports</t>
  </si>
  <si>
    <t>PURPOSE Surgical pathology reports are critical for cancer diagnosis and management. To accurately extract information about tumor characteristics from pathology reports in near real time, we explore the impact of using domain-specific transformer models that understand cancer pathology reports.METHODS We built a pathology transformer model, Path-BigBird, by using 2.7 million pathology reports from six SEER cancer registries. We then compare different variations of Path-BigBird with two less computationally intensive methods: Hierarchical Self-Attention Network (HiSAN) classification model and an off-the-shelf clinical transformer model (Clinical BigBird). We use five pathology information extraction tasks for evaluation: site, subsite, laterality, histology, and behavior. Model performance is evaluated by using macro and micro F1 scores.RESULTS We found that Path-BigBird and Clinical BigBird outperformed the HiSAN in all tasks. Clinical BigBird performed better on the site and laterality tasks. Versions of the Path-BigBird model performed best on the two most difficult tasks: subsite (micro F1 score of 72.53, macro F1 score of 35.76) and histology (micro F1 score of 80.96, macro F1 score of 37.94). The largest performance gains over the HiSAN model were for histology, for which a Path-BigBird model increased the micro F1 score by 1.44 points and the macro F1 score by 3.55 points. Overall, the results suggest that a Path-BigBird model with a vocabulary derived from well-curated and deidentified data is the best-performing model.CONCLUSIONThe Path-BigBird pathology transformer model improves automated information extraction from pathology reports. Although Path-BigBird outperforms Clinical BigBird and HiSAN, these less computationally expensive models still have utility when resources are constrained. © 2024 American Society of Clinical Oncology.</t>
  </si>
  <si>
    <t>Chandrashekar,M.,Lyngaas,I.,Hanson,H.A.,Gao,S.,Wu,X.-C.,Gounley,J.</t>
  </si>
  <si>
    <t>https://www.scopus.com/inward/record.uri?eid=2-s2.0-85186750006&amp;doi=10.1200%2FCCI.23.00148&amp;partnerID=40&amp;md5=e8207a19ee28b01191b7866a5001693c</t>
  </si>
  <si>
    <t>Recuperación de información, Extracción de relaciones (RE), clasificación de texto</t>
  </si>
  <si>
    <t>Extracción de características fenotípicas del tumor</t>
  </si>
  <si>
    <t>Transformers,Word embeddings,Attention mechanisms</t>
  </si>
  <si>
    <t>Hierarchical Self-Attention Network (HiSAN), Masked Language Modeling (MLM)</t>
  </si>
  <si>
    <t>Pipeline propio (basado en la arquitectura BigBird con tokenizadores SentencePiece y WordPiece). Comparación del Transformer construido (Pathological Big Bird) con modelo HiSAN y con Clinical Big Bird (Transformer para datos clínicos),word2vec para tokenización con sentence-piece y word-piece</t>
  </si>
  <si>
    <t>70 topografías diferentes</t>
  </si>
  <si>
    <t>Population-based analysis of histologically confirmed melanocytic proliferations using natural language processing</t>
  </si>
  <si>
    <t>IMPORTANCE Population-based information on the distribution of histologic diagnoses associated with skin biopsies is unknown. Electronic medical records (EMRs) enable automated extraction of pathology report data to improve our epidemiologic understanding of skin biopsy outcomes, specifically those of melanocytic origin. OBJECTIVE To determine population-based frequencies and distribution of histologically confirmed melanocytic lesions. DESIGN, SETTING, AND PARTICIPANTS A natural language processing (NLP)-based analysis of EMR pathology reports of adult patients who underwent skin biopsies at a large integrated health care delivery system in the US Pacific Northwest from January 1, 2007, through December 31, 2012. EXPOSURES Skin biopsy procedure. MAIN OUTCOMES AND MEASURES The primary outcomewas histopathologic diagnosis, obtained using an NLP-based system to process EMR pathology reports.We determined the percentage of diagnoses classified as melanocytic vs nonmelanocytic lesions. Diagnoses classified as melanocytic were further subclassified using the Melanocytic Pathology Assessment Tool and Hierarchy for Diagnosis (MPATH-Dx) reporting schema into the following categories: class I (nevi and other benign proliferations such as mildly dysplastic lesions typically requiring no further treatment), class II (moderately dysplastic and other low-risk lesions that may merit narrow reexcision with &lt;5-mm margins), class III (eg, melanoma in situ and other higher-risk lesions warranting reexcision with 5-mm to 1-cm margins), and class IV/V (invasive melanoma requiring wide reexcision with 1-cm margins and potential adjunctive therapy). Health system cancer registry data were used to define the percentage of invasive melanoma cases within MPATH-Dx class IV (stage T1a) vs V (stage T1b). RESULTS A total of 80 368 skin biopsies, performed on 47 529 patients, were examined. Nearly 1 in 4 skin biopsies were of melanocytic lesions (23%; n = 18 715), which were distributed according toMPATH-Dx categories as follows: class I, 83.1%(n = 15 558); class II, 8.3%(n = 1548); class III, 4.5%(n = 842); class IV, 2.2%(n = 405); and class V, 1.9% (n = 362). CONCLUSIONS AND RELEVANCE Approximately one-quarter of skin biopsies resulted in diagnoses of melanocytic proliferations. These data provide the first population-based estimates across the spectrum of melanocytic lesions ranging from benign through dysplastic to malignant. These results may serve as a foundation for future research seeking to understand the epidemiology of melanocytic proliferations and optimization of skin biopsy utilization. © 2017 American Medical Association. All rights reserved.</t>
  </si>
  <si>
    <t>Lott,J.P.,Boudreau,D.M.,Barnhill,R.L.,Weinstrock,M.A.,Knopp,E.,Piepkorn,M.W.,Elder,D.E.,Knezevich,S.R.,Baer,A.,Tosteson,A.N.A.,Elmore,J.G.</t>
  </si>
  <si>
    <t>https://www.scopus.com/inward/record.uri?eid=2-s2.0-85041108713&amp;doi=10.1001%2Fjamadermatol.2017.4060&amp;partnerID=40&amp;md5=c4183eae4f8691d8f5a69b54e674a155</t>
  </si>
  <si>
    <t>JAMA Dermatology</t>
  </si>
  <si>
    <t>Reconocimiento de entidades (NER), Clasificación de texto, Recuperación de información</t>
  </si>
  <si>
    <t>Detección de negación, Uso de gramática libre de contexto.</t>
  </si>
  <si>
    <t>Algoritmo NegEx modificado, Búsqueda de cadenas (string search), Expresiones regulares (REGEX), Gramática libre de contexto (Context-free grammar)</t>
  </si>
  <si>
    <t>Pipeline propio (sistema basado en una gramática de 6,455 frases vinculadas a clases MPATH-Dx). Melanocytic Pathology Assessment Tool and Hierarchy for Diagnosis (MPATH-Dx) schema, a standardized classification system for melanocytic lesions ranging from class I (eg, benign melanocytic lesions) to class V (eg, ≥pT1b invasive melanomas).</t>
  </si>
  <si>
    <t>Piel, solo lesiones melanocíticas</t>
  </si>
  <si>
    <t>Privacy-Preserving Deep Learning NLP Models for Cancer Registries</t>
  </si>
  <si>
    <t>Population cancer registries can benefit from Deep Learning (DL) to automatically extract cancer characteristics from the high volume of unstructured pathology text reports they process annually. The success of DL to tackle this and other real-world problems is proportional to the availability of large labeled datasets for model training. Although collaboration among cancer registries is essential to fully exploit the promise of DL, privacy and confidentiality concerns are main obstacles for data sharing across cancer registries. Moreover, DL for natural language processing (NLP) requires sharing a vocabulary dictionary for the embedding layer which may contain patient identifiers. Thus, even distributing the trained models across cancer registries causes a privacy violation issue. In this article, we propose DL NLP model distribution via privacy-preserving transfer learning approaches without sharing sensitive data. These approaches are used to distribute a multitask convolutional neural network (MT-CNN) NLP model among cancer registries. The model is trained to extract six key cancer characteristics - tumor site, subsite, laterality, behavior, histology, and grade - from cancer pathology reports. Using 410,064 pathology documents from two cancer registries, we compare our proposed approach to conventional transfer learning without privacy-preserving, single-registry models, and a model trained on centrally hosted data. The results show that transfer learning approaches including data sharing and model distribution outperform significantly the single-registry model. In addition, the best performing privacy-preserving model distribution approach achieves statistically indistinguishable average micro- and macro-F1 scores across all extraction tasks (0.823,0.580) as compared to the centralized model (0.827,0.585). © 2013 IEEE.</t>
  </si>
  <si>
    <t>Alawad,M.,Yoon,H.-J.,Gao,S.,Mumphrey,B.,Wu,X.-C.,Durbin,E.B.,Jeong,J.C.,Hands,I.,Rust,D.,Coyle,L.,Penberthy,L.,Tourassi,G.D.</t>
  </si>
  <si>
    <t>https://www.scopus.com/inward/record.uri?eid=2-s2.0-85083693137&amp;doi=10.1109%2FTETC.2020.2983404&amp;partnerID=40&amp;md5=2de1071b9f1f5dd36f45821eb1fa13f0</t>
  </si>
  <si>
    <t>cancer pathology reports,information extraction,multi-task CNN,NLP,Privacy-preserving,transfer learning</t>
  </si>
  <si>
    <t>IEEE Transactions on Emerging Topics in Computing</t>
  </si>
  <si>
    <t>Aprendizaje por transferencia (Cíclico y Acíclico), Protección de información de salud protegida (PHI) en diccionarios de embeddings</t>
  </si>
  <si>
    <t>Convolutional Neural Network (CNN),Word embeddings,n-gram language models,</t>
  </si>
  <si>
    <t>Redes neuronales convolucionales multitarea (MT-CNN), Descenso de gradiente adaptativo ADADELTA, Aprendizaje por transferencia cíclico</t>
  </si>
  <si>
    <t>Pipeline propio (implementado en Python utilizando bibliotecas de Deep Learning y el paquete Scikit-Optimize para la optimización de hiperparámetros)</t>
  </si>
  <si>
    <t>Todos los sitios</t>
  </si>
  <si>
    <t>Selection of diagnosis with oncologic relevance information from histopathology free text reports: A machine learning approach</t>
  </si>
  <si>
    <t>Histopathology reports are a primary data source for the case definition phase of a Cancer Registry. By reading the histopathology report, the operator that evaluates an oncology case can define the morphology and topography of cancer, and validate the case with the highest diagnosis base. The key problem of the Catania-Messina-Enna Integrated Cancer Registry (RTI) is that these reports are written in natural language and relevant information for cancer evaluation is only a little part of the total annual histopathological reports. In this population-based retrospective cohort study, we try to optimize the working time spent by the RTI operators in seeking and selecting the right information among the histopathology reports in the east Sicily population, by developing a binary classifier on a training set of labeled historical data and validating its outcome by a test set of labeled data created by the operators during the years. Using a machine learning algorithm we built a classification model that evaluates each free text report and returns a score that indicates the probability that it contains oncologic relevant information. The best performing algorithm, among the eight analyzed in this study, was the LightGBM that reached an F1-Score of 98.9%. Using the chosen classifier we shortened the time for case evaluation, improving the timeliness of cancer statistics. © 2022</t>
  </si>
  <si>
    <t>Viscosi,C.,Fidelbo,P.,Benedetto,A.,Varvarà,M.,Ferrante,M.</t>
  </si>
  <si>
    <t>https://www.scopus.com/inward/record.uri?eid=2-s2.0-85124587523&amp;doi=10.1016%2Fj.ijmedinf.2022.104714&amp;partnerID=40&amp;md5=ce8c6bdef2c8cd3601621fc19a828c33</t>
  </si>
  <si>
    <t>Binary classification,Cancer registry,Machine learning,Natural language processing</t>
  </si>
  <si>
    <t>Decision trees,Random Forest (RF),Support Vector Machine (SVM),Logistic regression</t>
  </si>
  <si>
    <t>LightGBM,FastTree,FastForest,Averaged Perceptron,SDCA (Stochastic Dual Coordinate Ascent),LBFGS (Limited-memory Broyden-Fletcher-Goldfarb-Shanno),Linear SVM (PEGASOS method),MART (Multiplicative Algebraic Reconstruction Technique),GOSS (Gradient-based One-Side Sampling),EFB (Exclusive Feature Bundling)</t>
  </si>
  <si>
    <t>Microsoft ML.NET framework con pipeline de: (1) preparación de datos eliminando duplicados y normalizando texto, featurización del texto mediante transformaciones complejas que incluyen normalización, tokenización, extracción de n-gramas de caracteres y tokens múltiples, traducción a vectores numéricos, normalización y concatenación de vectores, (2) optimización de hiperparámetros mediante parameter sweep technique, (3) aplicación de modelos (4) entrenamiento con validación cruzada de 5 folds, (5) evaluación con 8 algoritmos de clasificación binaria diferentes</t>
  </si>
  <si>
    <t>Registro Poblacional: Catania-Messina-Enna Integrated Cancer Registry (RTI) que cubre 186 municipios en Sicilia oriental, Italia, con población de 1,846,682 habitantes
Incidencia: ~9,667 casos anuales de neoplasias malignas (11,474 incluyendo cáncer de piel no melanoma)
Período de datos: 2003-2018 (16 años de datos históricos).
Reproducibilidad: Los autores siguieron checklist de IJMEDI para auto-evaluación de calidad de trabajos de machine learning</t>
  </si>
  <si>
    <t>Toward structuring real-world data: Deep learning for extracting oncology information from clinical text with patient-level supervision</t>
  </si>
  <si>
    <t>Most detailed patient information in real-world data (RWD) is only consistently available in free-text clinical documents. Manual curation is expensive and time consuming. Developing natural language processing (NLP) methods for structuring RWD is thus essential for scaling real-world evidence generation. We propose leveraging patient-level supervision from medical registries, which are often readily available and capture key patient information, for general RWD applications. We conduct an extensive study on 135,107 patients from the cancer registry of a large integrated delivery network (IDN) comprising healthcare systems in five western US states. Our deep-learning methods attain test area under the receiver operating characteristic curve (AUROC) values of 94%–99% for key tumor attributes and comparable performance on held-out data from separate health systems and states. Ablation results demonstrate the superiority of these advanced deep-learning methods. Error analysis shows that our NLP system sometimes even corrects errors in registrar labels. © 2023 The Authors</t>
  </si>
  <si>
    <t>Preston,S.,Wei,M.,Rao,R.,Tinn,R.,Usuyama,N.,Lucas,M.,Gu,Y.,Weerasinghe,R.,Lee,S.,Piening,B.,Tittel,P.,Valluri,N.,Naumann,T.,Bifulco,C.,Poon,H.</t>
  </si>
  <si>
    <t>https://www.scopus.com/inward/record.uri?eid=2-s2.0-85152237917&amp;doi=10.1016%2Fj.patter.2023.100726&amp;partnerID=40&amp;md5=1615e589122492646765f9d2a688675a</t>
  </si>
  <si>
    <t>data mining,DSML 2: Proof-of-concept: Data science output has been formulated, implemented, and tested for one domain/problem,E01.789.625,H02.403.429.515,L01.224.050.375.580,L01.313.500.750.280.199,medical oncology,natural language processing,neoplasm staging</t>
  </si>
  <si>
    <t>Patterns</t>
  </si>
  <si>
    <t>Transformers,Recurrent Neural Networks (RNN),Attention mechanisms,Otro</t>
  </si>
  <si>
    <t>GRU,HAN</t>
  </si>
  <si>
    <t>Un sistema que une los documentos clínicos del paciente en orden de tiempo y, usando etiquetas del registro de cáncer, entrena modelos para identificar si el paciente es un caso de cáncer y para extraer atributos del tumor</t>
  </si>
  <si>
    <t>Notas clínicas</t>
  </si>
  <si>
    <t>Using Big Data Techniques to Improve Prostate Cancer Reporting in the Gauteng Province, South Africa.</t>
  </si>
  <si>
    <t>Prostate cancer (PCa) data is of public health importance in South Africa. Biopsy data is recorded as semi-structured narrative text that is not easily analysed. Our study reports a pilot study that applied predictive analytics and text mining techniques to extract prognostic information that guides patient management. In particular, the Gleason score (GS) reported in a number of formats were extracted successfully. Our study reports that predominantly older men were diagnosed with PCa reporting a high-risk GS (8-10). Where cell differentiation was reported, 64% of biopsies reported poor differentiation. The approaches demonstrated in our study should be extended to a larger dataset to assess whether it has the potential to scale up to the national level.</t>
  </si>
  <si>
    <t>Cassim N,Mapundu M,Olago V,George J A,Glencross D K</t>
  </si>
  <si>
    <t>https://research.ebsco.com/linkprocessor/plink?id=9c880b31-debc-3bc8-a4f5-574111dfc60c</t>
  </si>
  <si>
    <t>South Africa,Big Data,Prostatic Neoplasms,Humans,Male,Neoplasm Grading,Pilot Projects,South Africa</t>
  </si>
  <si>
    <t>Tokenización, estructuración de texto</t>
  </si>
  <si>
    <t>n-gram language models</t>
  </si>
  <si>
    <t>Spyder Integrated Development Environment (IDE) which uses the Python programming language</t>
  </si>
  <si>
    <t>Próstata</t>
  </si>
  <si>
    <t>Validity of natural language processing for ascertainment of EGFR and ALK test results in SEER cases of stage IV non–small-cell lung cancer</t>
  </si>
  <si>
    <t>PURPOSE SEER registries do not report results of epidermal growth factor receptor (EGFR) and anaplastic lymphoma kinase (ALK) mutation tests. To facilitate population-based research in molecularly defined subgroups of non–small-cell lung cancer (NSCLC), we assessed the validity of natural language processing (NLP) for the ascertainment of EGFR and ALK testing from electronic pathology (e-path) reports of NSCLC cases included in two SEER registries: the Cancer Surveillance System (CSS) and the Kentucky Cancer Registry (KCR). METHODS We obtained 4,278 e-path reports from 1,634 patients who were diagnosed with stage IV nonsquamous NSCLC from September 1, 2011, to December 31, 2013, included in CSS. We used 855 CSS reports to train NLP systems for the ascertainment of EGFR and ALK test status (reported v not reported) and test results (positive v negative). We assessed sensitivity, specificity, and positive and negative predictive values in an internal validation sample of 3,423 CSS e-path reports and repeated the analysis in an external sample of 1,041 e-path reports from 565 KCR patients. Two oncologists manually reviewed all e-path reports to generate gold-standard data sets. RESULTS NLP systems yielded internal validity metrics that ranged from 0.95 to 1.00 for EGFR and ALK test status and results in CSS e-path reports. NLP showed high internal accuracy for the ascertainment of EGFR and ALK in CSS patients—F scores of 0.95 and 0.96, respectively. In the external validation analysis, NLP yielded metrics that ranged from 0.02 to 0.96 in KCR reports and F scores of 0.70 and 0.72, respectively, in KCR patients. CONCLUSION NLP is an internally valid method for the ascertainment of EGFR and ALK test information from e-path reports available in SEER registries, but future work is necessary to increase NLP external validity. © 2019 by American Society of Clinical Oncology</t>
  </si>
  <si>
    <t>Goulart,B.H.L.,Silgard,E.T.,Baik,C.S.,Bansal,A.,Sun,Q.,Durbin,E.B.,Hands,I.,Shah,D.,Arnold,S.M.,Ramsey,S.D.,Kavuluru,R.,Schwartz,S.</t>
  </si>
  <si>
    <t>https://www.scopus.com/inward/record.uri?eid=2-s2.0-85070612007&amp;doi=10.1200%2FCCI.18.00098&amp;partnerID=40&amp;md5=2b7ed3503eaa1b67777483f94fe27c03</t>
  </si>
  <si>
    <t>Sistema que mezcla reglas y SVM  para clasificar cada reporte patologico electrónico en pasos, despues lo resumen con reglas para dejar un solo “label” final por paciente</t>
  </si>
  <si>
    <t>Identificar si un reporte hace mención de cáncer,Extracción de elementos clave,Extracción de información de biomarcadores</t>
  </si>
  <si>
    <t>A Comparative Study to Predict Ovarian Cancer.</t>
  </si>
  <si>
    <t>Ovarian cancer is considered the fifth most common cancer type among females in the United States. Furthermore, ovarian cancer accounts for 25% of all gynecologic cancers, and usually, this cancer is diagnosed at a late stage. A patient can live at least five years longer if ovarian cancer is diagnosed early. Therefore, the early diagnosis of ovarian cancer is essential. This study aims to classify ovarian cancer using biomarkers such as ovarian cancer antigen (CA125), tumor necrosis factor alpha (TNF-a), interleukin 6 (IL-6), human epididymis protein 4 (HE4), and anti-TP53 antibodies. Rising or persistent CA125 blood levels provide a highly specific biomarker for epithelial ovarian cancer, but not an optimally sensitive biomarker. Addition of HE4, CA 72.4, anti-TP53 autoantibodies and other biomarkers can increase sensitivity for detecting early stage or recurrent disease. It also uses three data-classifying models called Decision Tree (DT), kth Nearest Neighbor (kNN), and Logistic Regression (LR) to compare their performances. We computed various model performances, such as accuracies, precision, and recall values. Based on the findings, the LR model shows the highest performance compared to the other two models. Furthermore, it records 87% accuracy and 99% recall in classifying ovarian cancer.</t>
  </si>
  <si>
    <t>Wickramasinghe Binadie,Regisford Gloria</t>
  </si>
  <si>
    <t>https://research.ebsco.com/linkprocessor/plink?id=8a499b6a-cceb-39b3-b5d4-b139833b3532</t>
  </si>
  <si>
    <t>Ovarian epithelial cancer,Tumor necrosis factors,Gynecologic cancer,Ovarian cancer,Tumor markers</t>
  </si>
  <si>
    <t>Journal of the South Carolina Academy of Science</t>
  </si>
  <si>
    <t xml:space="preserve">no </t>
  </si>
  <si>
    <t>Sin uso de tarea analítica</t>
  </si>
  <si>
    <t>A DICOM Framework for Machine Learning and Processing Pipelines Against Real-time Radiology Images.</t>
  </si>
  <si>
    <t>Real-time execution of machine learning (ML) pipelines on radiology images is difficult due to limited computing resources in clinical environments, whereas running them in research clusters requires efficient data transfer capabilities. We developed Niffler, an open-source Digital Imaging and Communications in Medicine (DICOM) framework that enables ML and processing pipelines in research clusters by efficiently retrieving images from the hospitals' PACS and extracting the metadata from the images. We deployed Niffler at our institution (Emory Healthcare, the largest healthcare network in the state of Georgia) and retrieved data from 715 scanners spanning 12 sites, up to 350 GB/day continuously in real-time as a DICOM data stream over the past 2 years. We also used Niffler to retrieve images bulk on-demand based on user-provided filters to facilitate several research projects. This paper presents the architecture and three such use cases of Niffler. First, we executed an IVC filter detection and segmentation pipeline on abdominal radiographs in real-time, which was able to classify 989 test images with an accuracy of 96.0%. Second, we applied the Niffler Metadata Extractor to understand the operational efficiency of individual MRI systems based on calculated metrics. We benchmarked the accuracy of the calculated exam time windows by comparing Niffler against the Clinical Data Warehouse (CDW). Niffler accurately identified the scanners' examination timeframes and idling times, whereas CDW falsely depicted several exam overlaps due to human errors. Third, with metadata extracted from the images by Niffler, we identified scanners with misconfigured time and reconfigured five scanners. Our evaluations highlight how Niffler enables real-time ML and processing pipelines in a research cluster.</t>
  </si>
  <si>
    <t>Kathiravelu Pradeeban,Sharma Puneet,Sharma Ashish,Banerjee Imon,Trivedi Hari,Purkayastha Saptarshi,Sinha Priyanshu,Cadrin-Chenevert Alexandre,Safdar Nabile,Gichoya Judy Wawira</t>
  </si>
  <si>
    <t>https://research.ebsco.com/linkprocessor/plink?id=fc2e5012-6fe6-35c6-b1d6-9dbf4410b7cd</t>
  </si>
  <si>
    <t>Radiology,Radiology Information Systems,Data Warehousing,Humans,Machine Learning,Radiography</t>
  </si>
  <si>
    <t>Journal of digital imaging</t>
  </si>
  <si>
    <t>Sin PLN solo datos no textuales</t>
  </si>
  <si>
    <t>A Method for Real-Time Lung Nodule Instance Segmentation Using Deep Learning.</t>
  </si>
  <si>
    <t>Lung screening is really crucial in the early detection and management of masses, with particular regard to cancer. Studies have shown that lung cancer screening, can reduce lung cancer mortality by 20–30% in high-risk populations. In recent times, the advent of deep learning, with particular regard to computer vision, demonstrated the ability to effectively detect and locate objects from video streams and also (medical) images. Considering these aspects, in this paper, we propose a method aimed to perform instance segmentation, i.e., by providing a mask for each lung mass instance detected, allowing for the identification of individual masses even if they overlap or are close to each other by classifying the detected masses into (generic) nodules, cancer or adenocarcinoma. In this paper, we considered the you-only-look-once model for lung nodule segmentation. An experimental analysis, performed on a set of real-world lung computed tomography images, demonstrated the effectiveness of the proposed method not only in the detection of lung masses but also in lung mass segmentation, thus providing a helpful way not only for radiologist to conduct automatic lung screening but also for discovering very small masses not easily recognizable to the naked eye and that may deserve attention. As a matter of fact, in the evaluation of a dataset composed of 3654 lung scans, the proposed method obtains an average precision of 0.757 and an average recall of 0.738 in the classification task. Additionally, it reaches an average mask precision of 0.75 and an average mask recall of 0.733. These results indicate that the proposed method is capable of not only classifying masses as nodules, cancer, and adenocarcinoma, but also effectively segmenting the areas, thereby performing instance segmentation.</t>
  </si>
  <si>
    <t>Santone Antonella,Mercaldo Francesco,Brunese Luca</t>
  </si>
  <si>
    <t>https://research.ebsco.com/linkprocessor/plink?id=c6b35b82-dcde-35ce-816f-08bcb2c4e291</t>
  </si>
  <si>
    <t>Object recognition (Computer vision),Pulmonary nodules,Streaming video &amp; television,Computer vision,Tumor classification,Image segmentation,Deep learning,Internet Publishing and Broadcasting and Web Search Portals</t>
  </si>
  <si>
    <t>Life (2075-1729)</t>
  </si>
  <si>
    <t>Abstracts of the 39th Annual CAPO Conference—Building Hope: Integrating Sustainable, Innovative and Accessible Care in Psychosocial Oncology 6 to 7 June 2024.</t>
  </si>
  <si>
    <t>On behalf of the Canadian Association of Psychosocial Oncology, we are pleased to present the Abstracts from the 2024 Annual Conference, titled "Building Hope: Integrating Sustainable, Innovative and Accessible Care in Psychosocial Oncology". The Conference was held in Calgary from 6 June 2024 to 7 June 2024. This conference brought together key stakeholders including multidisciplinary professionals from nursing, psychology, psychiatry, social work, spiritual care, nutrition, medicine, rehabilitation medicine, occupational health and radiation therapy for both adult and pediatric populations. Participants included clinicians, researchers, educators in cancer care, community-based organizations and patient representatives. Patients, caregivers and family members presented abstracts that speak to their role in managing cancer experiences and care. Over one hundred (150) abstracts were selected for presentation as symposia, 20 min oral presentations, 10 min oral presentations, 90 min workshops and poster presentations. We congratulate all the presenters on their research work and contribution.</t>
  </si>
  <si>
    <t>Traversa Peter,Howell Doris</t>
  </si>
  <si>
    <t>https://research.ebsco.com/linkprocessor/plink?id=a7f7ce77-2143-3599-9b57-db4ffc252cfe</t>
  </si>
  <si>
    <t>Cancer treatment,Child patients,Patient-family relations,Poster presentations,Community organization,Parish nursing,Caregivers,Nutritionists,Calgary (Alta.),Other Individual and Family Services</t>
  </si>
  <si>
    <t>Current Oncology</t>
  </si>
  <si>
    <t>Agent orange exposure and prostate cancer risk in the million veteran program.</t>
  </si>
  <si>
    <t>The US government considers veterans to have been exposed to Agent Orange if they served in Vietnam while the carcinogen was in use, and these veterans are often deemed at high risk of prostate cancer (PCa). Here, we assess whether presumed Agent Orange exposure is independently associated with increased risk of any metastatic or fatal PCa in a diverse Veteran cohort still alive in the modern era (at least 2011), when accounting for race/ethnicity, family history, and genetic risk.</t>
  </si>
  <si>
    <t>Pagadala Meghana S,Lui Asona J,Zhong Allison Y,Lynch Julie A,Karunamuni Roshan,Lee Kyung Min,Plym Anna,Rose Brent S,Carter Hannah K,Kibel Adam S,DuVall Scott L,Gaziano J Michael,Panizzon Matthew S,Hauger Richard L,Seibert Tyler M</t>
  </si>
  <si>
    <t>https://research.ebsco.com/linkprocessor/plink?id=2812df6b-7d43-38a2-acc9-c4fea4b51d87</t>
  </si>
  <si>
    <t>United States,Agent Orange,Prostatic Neoplasms epidemiology,Prostatic Neoplasms mortality,Veterans statistics &amp; numerical data,Vietnam Conflict,Humans,Male,Middle Aged,Aged,United States epidemiology,Defoliants, Chemical adverse effects,Risk Factors,2,4,5-Trichlorophenoxyacetic Acid adverse effects,2,4-Dichlorophenoxyacetic Acid adverse effects,2,4-Dichlorophenoxyacetic Acid toxicity,Polychlorinated Dibenzodioxins adverse effects</t>
  </si>
  <si>
    <t>Acta oncologica (Stockholm, Sweden)</t>
  </si>
  <si>
    <t>Analysis of free text in electronic health records for identification of cancer patient trajectories</t>
  </si>
  <si>
    <t>With an aging patient population and increasing complexity in patient disease trajectories, physicians are often met with complex patient histories from which clinical decisions must be made. Due to the increasing rate of adverse events and hospitals facing financial penalties for readmission, there has never been a greater need to enforce evidence-led medical decision-making using available health care data. In the present work, we studied a cohort of 7,741 patients, of whom 4,080 were diagnosed with cancer, surgically treated at a University Hospital in the years 2004-2012. We have developed a methodology that allows disease trajectories of the cancer patients to be estimated from free text in electronic health records (EHRs). By using these disease trajectories, we predict 80% of patient events ahead in time. By control of confounders from 8326 quantified events, we identified 557 events that constitute high subsequent risks (risk &gt; 20%), including six events for cancer and seven events for metastasis. We believe that the presented methodology and findings could be used to improve clinical decision support and personalize trajectories, thereby decreasing adverse events and optimizing cancer treatment.</t>
  </si>
  <si>
    <t>Jensen K,Soguero-Ruiz C,Mikalsen KO,Lindsetmo RO,Kouskoumvekaki I,Girolami M,Skrovseth SO,Augestad KM</t>
  </si>
  <si>
    <t>https://www.webofscience.com/wos/woscc/full-record/WOS:000398551300001</t>
  </si>
  <si>
    <t>SCIENTIFIC REPORTS</t>
  </si>
  <si>
    <t>No orientado a registro poblacional</t>
  </si>
  <si>
    <t>Application of Machine Learning in Predicting Perioperative Outcomes in Patients with Cancer: A Narrative Review for Clinicians.</t>
  </si>
  <si>
    <t>This narrative review explores the utilization of machine learning (ML) and artificial intelligence (AI) models to enhance perioperative cancer care. ML and AI models offer significant potential to improve perioperative cancer care by predicting outcomes and supporting clinical decision-making. Tailored for perioperative professionals including anesthesiologists, surgeons, critical care physicians, nurse anesthetists, and perioperative nurses, this review provides a comprehensive framework for the integration of ML and AI models to enhance patient care delivery throughout the perioperative continuum.</t>
  </si>
  <si>
    <t>Brydges Garry,Uppal Abhineet,Gottumukkala Vijaya</t>
  </si>
  <si>
    <t>https://research.ebsco.com/linkprocessor/plink?id=b94ee7d3-64e1-3755-a6d1-a434bca12e1b</t>
  </si>
  <si>
    <t>Operating room nursing,Machine learning,Cancer prognosis,Medical personnel,Artificial intelligence,Nurse anesthetists</t>
  </si>
  <si>
    <t>Applications of Large Language Models in Pathology.</t>
  </si>
  <si>
    <t>Large language models (LLMs) are transformer-based neural networks that can provide human-like responses to questions and instructions. LLMs can generate educational material, summarize text, extract structured data from free text, create reports, write programs, and potentially assist in case sign-out. LLMs combined with vision models can assist in interpreting histopathology images. LLMs have immense potential in transforming pathology practice and education, but these models are not infallible, so any artificial intelligence generated content must be verified with reputable sources. Caution must be exercised on how these models are integrated into clinical practice, as these models can produce hallucinations and incorrect results, and an over-reliance on artificial intelligence may lead to de-skilling and automation bias. This review paper provides a brief history of LLMs and highlights several use cases for LLMs in the field of pathology.</t>
  </si>
  <si>
    <t>Cheng Jerome</t>
  </si>
  <si>
    <t>https://research.ebsco.com/linkprocessor/plink?id=c76fecd4-da76-35e2-acaa-f4b46716a325</t>
  </si>
  <si>
    <t>Language models,Forensic pathology,Artificial intelligence,Natural language processing</t>
  </si>
  <si>
    <t>Bioengineering (Basel)</t>
  </si>
  <si>
    <t>Sin texto clínico del registro</t>
  </si>
  <si>
    <t>Areas of interest and sentiment analysis towards second generation antipsychotics, lithium and mood stabilizing anticonvulsants: Unsupervised analysis using Twitter.</t>
  </si>
  <si>
    <t>Declaration of competing interest The authors declare that they have no known competing financial interests or personal relationships that could have appeared to influence the work reported in this paper.</t>
  </si>
  <si>
    <t>Chart-Pascual Juan Pablo,Montero-Torres Maria,Ortega Miguel Angel,Mar-Barrutia Lorea,Zorrilla Martinez Iñaki,Alvarez-Mon Melchor,Gonzalez-Pinto Ana,Alvarez-Mon Miguel Angel</t>
  </si>
  <si>
    <t>https://research.ebsco.com/linkprocessor/plink?id=9a9366aa-0359-378d-a924-67d14aeb9f98</t>
  </si>
  <si>
    <t>Antipsychotic Agents therapeutic use,Social Media,Humans,Lithium therapeutic use,Sentiment Analysis,Anticonvulsants,Artificial Intelligence,Quality of Life</t>
  </si>
  <si>
    <t>Journal of affective disorders</t>
  </si>
  <si>
    <t>Artificial intelligence auxiliary diagnosis and treatment system for breast cancer in developing countries.</t>
  </si>
  <si>
    <t>BACKGROUND: In many developing countries, a significant number of breast cancer patients are unable to receive timely treatment due to a large population base, high patient numbers, and limited medical resources. OBJECTIVE: This paper proposes a breast cancer assisted diagnosis system based on electronic medical records. The goal of this system is to address the limitations of existing systems, which primarily rely on structured electronic records and may miss crucial information stored in unstructured records. METHODS: The proposed approach is a breast cancer assisted diagnosis system based on electronic medical records. The system utilizes breast cancer enhanced convolutional neural networks with semantic initialization filters (BC-INIT-CNN). It extracts highly relevant tumor markers from unstructured medical records to aid in breast cancer staging diagnosis and effectively utilizes the important information present in unstructured records. RESULTS: The model's performance is assessed using various evaluation metrics. Such as accuracy, ROC curves, and Precision-Recall curves. Comparative analysis demonstrates that the BC-INIT-CNN model outperforms several existing methods in terms of accuracy and computational efficiency. CONCLUSIONS: The proposed breast cancer assisted diagnosis system based on BC-INIT-CNN showcases the potential to address the challenges faced by developing countries in providing timely treatment to breast cancer patients. By leveraging unstructured medical records and extracting relevant tumor markers, the system enables accurate staging diagnosis and enhances the utilization of valuable information.</t>
  </si>
  <si>
    <t>Li Wenxiu,Gou Fangfang,Wu Jia</t>
  </si>
  <si>
    <t>https://research.ebsco.com/linkprocessor/plink?id=ab5e0d69-a70e-3835-9d13-cb314fbf090b</t>
  </si>
  <si>
    <t>Artificial intelligence,Breast cancer,Cancer diagnosis,Electronic health records,Developing countries</t>
  </si>
  <si>
    <t>Journal of X-Ray Science &amp; Technology</t>
  </si>
  <si>
    <t>Artificial Intelligence in Pancreatic Image Analysis: A Review.</t>
  </si>
  <si>
    <t>Pancreatic cancer is a highly lethal disease with a poor prognosis. Its early diagnosis and accurate treatment mainly rely on medical imaging, so accurate medical image analysis is especially vital for pancreatic cancer patients. However, medical image analysis of pancreatic cancer is facing challenges due to ambiguous symptoms, high misdiagnosis rates, and significant financial costs. Artificial intelligence (AI) offers a promising solution by relieving medical personnel's workload, improving clinical decision-making, and reducing patient costs. This study focuses on AI applications such as segmentation, classification, object detection, and prognosis prediction across five types of medical imaging: CT, MRI, EUS, PET, and pathological images, as well as integrating these imaging modalities to boost diagnostic accuracy and treatment efficiency. In addition, this study discusses current hot topics and future directions aimed at overcoming the challenges in AI-enabled automated pancreatic cancer diagnosis algorithms.</t>
  </si>
  <si>
    <t>Liu Weixuan,Zhang Bairui,Liu Tao,Jiang Juntao,Liu Yong</t>
  </si>
  <si>
    <t>https://research.ebsco.com/linkprocessor/plink?id=9b1dc988-aa7b-3297-9fc9-0af13f64d4c1</t>
  </si>
  <si>
    <t>Image analysis,Artificial intelligence,Cancer diagnosis,Computer-assisted image analysis (Medicine),Medical personnel,Positron emission tomography,Image segmentation,Diagnostic Imaging Centers</t>
  </si>
  <si>
    <t>Sensors (14248220)</t>
  </si>
  <si>
    <t>Collecting routine and timely cancer stage at diagnosis by implementing a cancer staging tiered framework: the Western Australian Cancer Registry experience.</t>
  </si>
  <si>
    <t>Current processes collecting cancer stage data in population-based cancer registries (PBCRs) lack standardisation, resulting in difficulty utilising diverse data sources and incomplete, low-quality data. Implementing a cancer staging tiered framework aims to improve stage collection and facilitate inter-PBCR benchmarking.</t>
  </si>
  <si>
    <t>Smith Shantelle J,Moorin Rachael,Taylor Karen,Newton Jade,Smith Stephanie</t>
  </si>
  <si>
    <t>https://research.ebsco.com/linkprocessor/plink?id=541f9c79-6aa3-3919-a9ac-865bb299e4bc</t>
  </si>
  <si>
    <t>Western Australia,Registries,Neoplasm Staging,Neoplasms pathology,Neoplasms diagnosis,Neoplasms epidemiology,Humans,Western Australia epidemiology,Data Collection methods,Data Collection standards,Benchmarking</t>
  </si>
  <si>
    <t>BMC health services research</t>
  </si>
  <si>
    <t>Decentralized Clinical Trials in Early Drug Development--A Framework Proposal.</t>
  </si>
  <si>
    <t>The COVID-19 pandemic has led to a rethinking of clinical trial design to maintain clinical research activity, with regulatory changes allowing for the wider implementation and development of decentralized design models. Evidence of the feasibility and benefits associated with a remote design comes mainly from observational studies or phase 2 and 3 clinical trials, in which implementation is easier with a better-established safety profile. Early drug development is a slow and expensive process in which accrual and safety are key aspects of success. Applying a decentralized model to phase 1 clinical trials could improve patient accrual by removing geographic barriers, improving patient population diversity, strengthening evidence for rare tumors, and reducing patients' financial and logistical burdens. However, safety monitoring, data quality, shipment, and administration of the investigational product are challenges to its implementation. Based on published data for decentralized clinical trials, we propose an exploratory framework of solutions to enable the conceptualization of a decentralized model for phase 1 clinical trials.</t>
  </si>
  <si>
    <t>Silva Diogo J.,Nelson Blessie Elizabeth,Rodon Jordi</t>
  </si>
  <si>
    <t>https://research.ebsco.com/linkprocessor/plink?id=f32f803b-2d31-3240-a721-497b16d61fd4</t>
  </si>
  <si>
    <t>Drug development,Experimental design,Clinical trials,Medical research,COVID-19 pandemic,Research and Development in the Physical, Engineering, and Life Sciences (except Biotechnology),Research and development in the physical, engineering and life sciences</t>
  </si>
  <si>
    <t>Journal of Immunotherapy &amp; Precision Oncology</t>
  </si>
  <si>
    <t>Development of the multivariate administrative data cystectomy model and its impact on misclassification bias.</t>
  </si>
  <si>
    <t>Misclassification bias (MB) is the deviation of measured from true values due to incorrect case assignment. This study compared MB when cystectomy status was determined using administrative database codes vs. predicted cystectomy probability.</t>
  </si>
  <si>
    <t>Ross James,Lavallee Luke T,Hickling Duane,van Walraven Carl</t>
  </si>
  <si>
    <t>https://research.ebsco.com/linkprocessor/plink?id=7a93d7ba-e1a3-3943-b9e3-fd3b657ea1c4</t>
  </si>
  <si>
    <t>Cystectomy,Urinary Bladder Neoplasms surgery,Humans,Hospitalization,Probability,Bias,Databases, Factual</t>
  </si>
  <si>
    <t>BMC medical research methodology</t>
  </si>
  <si>
    <t>Effective Identification of Similar Patients Through Sequential Matching over ICD Code Embedding.</t>
  </si>
  <si>
    <t>Evidence-based medicine often involves the identification of patients with similar conditions, which are often captured in ICD (International Classification of Diseases (World Health Organization 2013)) code sequences. With no satisfying prior solutions for matching ICD-10 code sequences, this paper presents a method which effectively captures the clinical similarity among routine patients who have multiple comorbidities and complex care needs. Our method leverages the recent progress in representation learning of individual ICD-10 codes, and it explicitly uses the sequential order of codes for matching. Empirical evaluation on a state-wide cancer data collection shows that our proposed method achieves significantly higher matching performance compared with state-of-the-art methods ignoring the sequential order. Our method better identifies similar patients in a number of clinical outcomes including readmission and mortality outlook. Although this paper focuses on ICD-10 diagnosis code sequences, our method can be adapted to work with other codified sequence data.</t>
  </si>
  <si>
    <t>Nguyen Dang,Luo Wei,Venkatesh Svetha,Phung Dinh</t>
  </si>
  <si>
    <t>https://research.ebsco.com/linkprocessor/plink?id=bdeb848e-ed2b-3c65-9d94-a6e96276518f</t>
  </si>
  <si>
    <t>Data Mining methods,International Classification of Diseases statistics &amp; numerical data,Neoplasms epidemiology,Neoplasms physiopathology,Age Factors,Aged,Comorbidity,Female,Humans,Male,Middle Aged,Sex Factors</t>
  </si>
  <si>
    <t>Journal of medical systems</t>
  </si>
  <si>
    <t>Electronic case report forms generation from pathology reports by ARGO, automatic record generator for onco-hematology.</t>
  </si>
  <si>
    <t>The unstructured nature of Real-World (RW) data from onco-hematological patients and the scarce accessibility to integrated systems restrain the use of RW information for research purposes. Natural Language Processing (NLP) might help in transposing unstructured reports into standardized electronic health records. We exploited NLP to develop an automated tool, named ARGO (Automatic Record Generator for Onco-hematology) to recognize information from pathology reports and populate electronic case report forms (eCRFs) pre-implemented by REDCap. ARGO was applied to hemo-lymphopathology reports of diffuse large B-cell, follicular, and mantle cell lymphomas, and assessed for accuracy (A), precision (P), recall (R) and F1-score (F) on internal (n = 239) and external (n = 93) report series. 326 (98.2%) reports were converted into corresponding eCRFs. Overall, ARGO showed high performance in capturing (1) identification report number (all metrics &gt; 90%), (2) biopsy date (all metrics &gt; 90% in both series), (3) specimen type (86.6% and 91.4% of A, 98.5% and 100.0% of P, 92.5% and 95.5% of F, and 87.2% and 91.4% of R for internal and external series, respectively), (4) diagnosis (100% of P with A, R and F of 90% in both series). We developed and validated a generalizable tool that generates structured eCRFs from real-life pathology reports.</t>
  </si>
  <si>
    <t>Zaccaria Gian Maria,Colella Vito,Colucci Simona,Clemente Felice,Pavone Fabio,Vegliante Maria Carmela,Esposito Flavia,Opinto Giuseppina,Scattone Anna,Loseto Giacomo,Minoia Carla,Rossini Bernardo,Quinto Angela Maria,Angiulli Vito,Grieco Luigi Alfredo,Fama Angelo,Ferrero Simone,Moia Riccardo,Di Rocco Alice,Quaglia Francesca Maria</t>
  </si>
  <si>
    <t>https://research.ebsco.com/linkprocessor/plink?id=bda537d0-09e7-3996-91dc-e7eba7174755</t>
  </si>
  <si>
    <t>Electronic health records,Natural language processing,Pathology,Diagnosis</t>
  </si>
  <si>
    <t>Scientific Reports</t>
  </si>
  <si>
    <t>Electronic Health Record Phenotypes for Precision Medicine: Perspectives and Caveats From Treatment of Breast Cancer at a Single Institution.</t>
  </si>
  <si>
    <t>Precision medicine is at the forefront of biomedical research. Cancer registries provide rich perspectives and electronic health records (EHRs) are commonly utilized to gather additional clinical data elements needed for translational research. However, manual annotation is resource-intense and not readily scalable. Informatics-based phenotyping presents an ideal solution, but perspectives obtained can be impacted by both data source and algorithm selection. We derived breast cancer (BC) receptor status phenotypes from structured and unstructured EHR data using rule-based algorithms, including natural language processing (NLP). Overall, the use of NLP increased BC receptor status coverage by 39.2% from 69.1% with structured medication information alone. Using all available EHR data, estrogen receptor-positive BC cases were ascertained with high precision (P = 0.976) and recall (R = 0.987) compared with gold standard chart-reviewed patients. However, status negation (R = 0.591) decreased 40.2% when relying on structured medications alone. Using multiple EHR data types (and thorough understanding of the perspectives offered) are necessary to derive robust EHR-based precision medicine phenotypes.</t>
  </si>
  <si>
    <t>Breitenstein Matthew K,Liu Hongfang,Maxwell Kara N,Pathak Jyotishman,Zhang Rui</t>
  </si>
  <si>
    <t>https://research.ebsco.com/linkprocessor/plink?id=33e20078-0fb7-3f32-8fb4-65ec72340aba</t>
  </si>
  <si>
    <t>Breast Neoplasms genetics,Electronic Health Records statistics &amp; numerical data,Natural Language Processing,Precision Medicine methods,Receptors, Estrogen genetics,Antineoplastic Agents, Hormonal pharmacology,Antineoplastic Agents, Hormonal therapeutic use,Breast Neoplasms drug therapy,Female,Gene Expression Regulation, Neoplastic,Humans,Phenotype,Receptor, ErbB-2 genetics,Receptors, Estrogen antagonists &amp; inhibitors,Receptors, Progesterone genetics</t>
  </si>
  <si>
    <t>Clinical and translational science</t>
  </si>
  <si>
    <t>Epidemiology and Healthcare Service Utilization among Adults with Chronic Cough.</t>
  </si>
  <si>
    <t>Background and objective: Chronic cough (CC) is a prevalent yet underexplored medical condition, with limited real-world data regarding its healthcare burden. This study investigates the epidemiology, associated comorbidities, and healthcare service utilization among patients with CC. Methods: In this retrospective cohort study, adult patients with at least 3 physician diagnoses of cough over a period spanning a minimum of 8 weeks and a maximum of 12 months anytime between 2009 and 2018, were defined as patients with CC (PwCC). The reference group were adults without cough matched in a 1:1 ratio for age, sex, and place of residence. Results: The study included 91,757 PwCC, reflecting a prevalence of 5.5%. Of those, 59,296 patients (mean [SD] age, 53.9 [16.8] years; 59.6% females) were first diagnosed with CC during the study period, representing a 10-year incidence rate of 3.26% (95%CI: 3.24–3.29%). Diseases associated with the highest OR for CC included lung cancer (OR = 3.32; 95%CI: 2.90–4.25), whooping cough (OR = 3.04; 95%CI: 2.70–3.60), and respiratory infections (OR = 2.81; 95%CI: 2.74–2.88). Furthermore, PwCC demonstrated increased healthcare service utilization, leading to a higher adjusted annual estimated mean cost (USD 4038 vs. USD 1833, p &lt; 0.001). Conclusions: Chronic cough emerges as a relatively prevalent complaint within community care, exerting a considerable economic burden. This study underscores the need for heightened awareness, comprehensive management strategies, and resource allocation to address the multifaceted challenges associated with chronic cough.</t>
  </si>
  <si>
    <t>Chodick Gabriel,Barer Yael,Blay Hagai Tal,Keidar Ido,Rosenfeld Teper Gally,Kopel Hagit,Berkman Neville</t>
  </si>
  <si>
    <t>https://research.ebsco.com/linkprocessor/plink?id=302a3b13-1be4-3a67-a2e0-71663f2f4a18</t>
  </si>
  <si>
    <t>Chronic cough,Adults,Whooping cough,Epidemiology,Medical care</t>
  </si>
  <si>
    <t>Journal of Clinical Medicine</t>
  </si>
  <si>
    <t>Gout and Gout-Related Comorbidities: Insight and Limitations from Population-Based Registers in Sweden.</t>
  </si>
  <si>
    <t>Population-based databases in Nordic countries offer unique opportunities for large-scale population-based epidemiological studies. The personal identity number enables researchers to link different registers at the individual level, which can be used for large-scale epidemiological population-based studies. This review outlines how these opportunities have been used so far in the field of gout research, as well as the potential challenges and limitations. Their major advantage is that they cover the entire population, minimizing problems such as selection bias and loss to follow-up. This has enabled us to provide information on gout regarding risk factors; occurrence; association with comorbidities in relation to gout onset; treatment patterns; as well as its effect on other outcomes, such as sick leave and mortality. Validity issues, missing data, and legal issues are some of the challenges that researchers need to deal with. Choosing the most appropriate combination of databases to use for a specific question is crucial in order to maximize validity and adjust for confounders. Despite challenges and potential limitations, the Swedish registers have provided valuable epidemiological results and will continue to play an important role in the years to come.</t>
  </si>
  <si>
    <t>Drivelegka Panagiota,Jacobsson Lennart TH,Dehlin Mats</t>
  </si>
  <si>
    <t>https://research.ebsco.com/linkprocessor/plink?id=ad4cb4db-036f-33ed-930a-ae78650f9843</t>
  </si>
  <si>
    <t>Gout,Sick leave,Self,Research personnel,Sweden</t>
  </si>
  <si>
    <t>Gout, Urate, &amp; Crystal Deposition Disease</t>
  </si>
  <si>
    <t>Condiciones solo no neoplásicas analizadas</t>
  </si>
  <si>
    <t>Identification of patients' smoking status using an explainable AI approach: a Danish electronic health records case study.</t>
  </si>
  <si>
    <t>Smoking is a critical risk factor responsible for over eight million annual deaths worldwide. It is essential to obtain information on smoking habits to advance research and implement preventive measures such as screening of high-risk individuals. In most countries, including Denmark, smoking habits are not systematically recorded and at best documented within unstructured free-text segments of electronic health records (EHRs). This would require researchers and clinicians to manually navigate through extensive amounts of unstructured data, which is one of the main reasons that smoking habits are rarely integrated into larger studies. Our aim is to develop machine learning models to classify patients' smoking status from their EHRs.</t>
  </si>
  <si>
    <t>Ebrahimi Ali,Henriksen Margrethe Bang Høstgaard,Brasen Claus Lohman,Hilberg Ole,Hansen Torben Frøstrup,Jensen Lars Henrik,Peimankar Abdolrahman,Wiil Uffe Kock</t>
  </si>
  <si>
    <t>https://research.ebsco.com/linkprocessor/plink?id=52d38733-8aa0-3509-9d00-6b6bcafae32a</t>
  </si>
  <si>
    <t>Denmark,Electronic Health Records statistics &amp; numerical data,Natural Language Processing,Smoking epidemiology,Humans,Denmark epidemiology,Machine Learning,Female,Male,Middle Aged,Neural Networks, Computer</t>
  </si>
  <si>
    <t>Imaging characteristics of interval cancers detected on Full Field Digital Mammography (FFDM) versus Digital Breast Tomosynthesis (DBT).</t>
  </si>
  <si>
    <t>Declaration of competing interest We have no competing interests to declare.</t>
  </si>
  <si>
    <t>Majid Sana Z,Senapati Gunjan M,Lacson Ronilda,Chikarmane Sona A,Giess Catherine S</t>
  </si>
  <si>
    <t>https://research.ebsco.com/linkprocessor/plink?id=daa010de-0b7d-3a1b-a720-d156b3dd37cc</t>
  </si>
  <si>
    <t>Mammography methods,Breast Neoplasms diagnostic imaging,Breast Neoplasms epidemiology,Breast Neoplasms pathology,Female,Humans,Retrospective Studies,Breast diagnostic imaging,Breast pathology,Breast Density,Early Detection of Cancer methods</t>
  </si>
  <si>
    <t>Clinical imaging</t>
  </si>
  <si>
    <t xml:space="preserve">No cumple con los metadatos minimos </t>
  </si>
  <si>
    <t>Invasive fungal disease in children with acute myeloid leukaemia: An Australian multicentre 10-year review.</t>
  </si>
  <si>
    <t>Invasive fungal disease (IFD) is a common and important complication in children with acute myeloid leukaemia (AML). We describe the epidemiology of IFD in a large multicentre cohort of children with AML.</t>
  </si>
  <si>
    <t>Yeoh Daniel K,Moore Andrew S,Kotecha Rishi S,Bartlett Adam W,Ryan Anne L,Cann Megan P,McMullan Brendan J,Thursky Karin,Slavin Monica,Blyth Christopher C,Haeusler Gabrielle M,Clark Julia E</t>
  </si>
  <si>
    <t>https://research.ebsco.com/linkprocessor/plink?id=babf6e86-0b33-3b0c-8867-90fca2d8b47c</t>
  </si>
  <si>
    <t>Australia,Invasive Fungal Infections drug therapy,Invasive Fungal Infections epidemiology,Leukemia, Myeloid, Acute drug therapy,Leukemia, Myeloid, Acute epidemiology,Antifungal Agents therapeutic use,Australia epidemiology,Child,Humans,Retrospective Studies</t>
  </si>
  <si>
    <t>Pediatric blood &amp; cancer</t>
  </si>
  <si>
    <t>Machine Learning Meets Cancer.</t>
  </si>
  <si>
    <t>Simple Summary: This review examines the latest technologies using machine learning (ML) methods, including the use of convolutional neural networks, decision trees, and generative adversarial networks to solve problems concerning cancer recognition, planning optimal treatment strategies, as well as predicting the likelihood of patient survival. The authors also discuss the prospects of using machine learning technologies in medicine. In addition, the authors emphasize the need to address issues such as the anonymization of data received from patients. The role of machine learning (a part of artificial intelligence—AI) in the diagnosis and treatment of various types of oncology is steadily increasing. It is expected that the use of AI in oncology will speed up both diagnostic and treatment planning processes. This review describes recent applications of machine learning in oncology, including medical image analysis, treatment planning, patient survival prognosis, and the synthesis of drugs at the point of care. The fast and reliable analysis of medical images is of great importance in the case of fast-flowing forms of cancer. The introduction of ML for the analysis of constantly growing volumes of big data makes it possible to improve the quality of prescribed treatment and patient care. Thus, ML is expected to become an essential technology for medical specialists. The ML model has already improved prognostic prediction for patients compared to traditional staging algorithms. The direct synthesis of the necessary medical substances (small molecule mixtures) at the point of care could also seriously benefit from the application of ML. We further review the main trends in the use of artificial intelligence-based technologies in modern oncology. This review demonstrates the future prospects of using ML tools to make progress in cancer research, as well as in other areas of medicine. Despite growing interest in the use of modern computer technologies in medical practice, a number of unresolved ethical and legal problems remain. In this review, we also discuss the most relevant issues among them.</t>
  </si>
  <si>
    <t>Varlamova Elena V.,Butakova Maria A.,Semyonova Vlada V.,Soldatov Sergey A.,Poltavskiy Artem V.,Kit Oleg I.,Soldatov Alexander V.</t>
  </si>
  <si>
    <t>https://research.ebsco.com/linkprocessor/plink?id=66f2a649-9768-3166-8569-0e45f5612d1f</t>
  </si>
  <si>
    <t>Tumor diagnosis,Cancer patient medical care,Radiomics,Medical research,Machine learning,Tumors,Specialty (except Psychiatric and Substance Abuse) Hospitals,Research and Development in the Physical, Engineering, and Life Sciences (except Biotechnology)</t>
  </si>
  <si>
    <t>Cancers</t>
  </si>
  <si>
    <t>PCAO2: an ontology for integration of prostate cancer associated genotypic, phenotypic and lifestyle data.</t>
  </si>
  <si>
    <t>Disease ontologies facilitate the semantic organization and representation of domain-specific knowledge. In the case of prostate cancer (PCa), large volumes of research results and clinical data have been accumulated and needed to be standardized for sharing and translational researches. A formal representation of PCa-associated knowledge will be essential to the diverse data standardization, data sharing and the future knowledge graph extraction, deep phenotyping and explainable artificial intelligence developing. In this study, we constructed an updated PCa ontology (PCAO2) based on the ontology development life cycle. An online information retrieval system was designed to ensure the usability of the ontology. The PCAO2 with a subclass-based taxonomic hierarchy covers the major biomedical concepts for PCa-associated genotypic, phenotypic and lifestyle data. The current version of the PCAO2 contains 633 concepts organized under three biomedical viewpoints, namely, epidemiology, diagnosis and treatment. These concepts are enriched by the addition of definition, synonym, relationship and reference. For the precision diagnosis and treatment, the PCa-associated genes and lifestyles are integrated in the viewpoint of epidemiological aspects of PCa. PCAO2 provides a standardized and systematized semantic framework for studying large amounts of heterogeneous PCa data and knowledge, which can be further, edited and enriched by the scientific community. The PCAO2 is freely available at https://bioportal.bioontology.org/ontologies/PCAO , http://pcaontology.net/ and http://pcaontology.net/mobile/.</t>
  </si>
  <si>
    <t>Yu Chunjiang,Zong Hui,Chen Yalan,Zhou Yibin,Liu Xingyun,Lin Yuxin,Li Jiakun,Zheng Xiaonan,Min Hua,Shen Bairong</t>
  </si>
  <si>
    <t>https://research.ebsco.com/linkprocessor/plink?id=79b45f59-3680-3132-95e5-18b86cdccf33</t>
  </si>
  <si>
    <t>Ontologies (Information retrieval),Information storage &amp; retrieval systems,Prostate cancer,Knowledge graphs,Genotypes,Ontology,Deep learning</t>
  </si>
  <si>
    <t>Briefings in Bioinformatics</t>
  </si>
  <si>
    <t>Personal history of cancer as a risk factor for second primary lung cancer: Implications for lung cancer screening.</t>
  </si>
  <si>
    <t>Background: Personal history of cancer is an independent risk factor for lung cancer but is omitted from existing lung cancer screening eligibility criteria. In this study, we assess the lung cancer risk among cancer survivors and discuss potential implications for screening. Methods: This was a retrospective, secondary analysis of data from the Surveillance, Epidemiology and End Results (SEER) registry and the MD Anderson Cancer Center (MDACC). We estimated the standardized incidence ratios (SIRs) for lung cancer by site of first primary cancer using data from SEER. We assessed the lung cancer risk among head and neck cancer survivors from MDACC using cumulative incidence and compared the risk ratios (RR) by individuals' screening eligibility status. Results: Other than first primary lung cancer (SIR: 5.10, 95% CI: 5.01–5.18), cancer survivors in SEER with personal history of head and neck cancer (SIR: 3.71, 95% CI: 3.63–3.80) had the highest risk of developing second primary lung cancer, followed by bladder (SIR: 1.86, 95% CI: 1.81–1.90) and esophageal cancers (SIR: 1.78, 95% CI: 1.61–1.96). Head and neck cancer survivors had higher risk to develop lung cancer compared to the National Lung Screening Trial's subjects, (781 vs. 572 per 100,000 person‐years, respectively). Head and neck cancer survivors ineligible for lung cancer screening seen at MDACC had significantly higher lung cancer risk than head and neck cancer survivors from SEER (RR: 1.9, p &lt; 0.001). Conclusion: Personal history of cancer, primarily head and neck cancer, is an independent risk factor for lung cancer and may be considered as an eligibility criterion in future lung cancer screening recommendations.</t>
  </si>
  <si>
    <t>Nofal Sara,Niu Jiangong,Resong Paul,Jin Jeff,Merriman Kelly W.,Le Xiuning,Katki Hormuzd,Heymach John,Antonoff Mara B.,Ostrin Edwin,Wu Jia,Zhang Jianjun,Toumazis Iakovos</t>
  </si>
  <si>
    <t>https://research.ebsco.com/linkprocessor/plink?id=8d4fa7ff-7037-3bdf-afc8-f2e13279a69e</t>
  </si>
  <si>
    <t>Lung cancer,Head &amp; neck cancer,Early detection of cancer,Disease risk factors,Esophageal cancer,Cancer survivors,University of Texas M.D. Anderson Cancer Center</t>
  </si>
  <si>
    <t>Cancer Medicine</t>
  </si>
  <si>
    <t>Prediction of Sjögren's disease diagnosis using matched electronic dental-health record data.</t>
  </si>
  <si>
    <t>Sjögren's disease (SD) is an autoimmune disease that is difficult to diagnose early due to its wide spectrum of clinical symptoms and overlap with other autoimmune diseases. SD potentially presents through early oral manifestations prior to showing symptoms of clinically significant dry eyes or dry mouth. We examined the feasibility of utilizing a linked electronic dental record (EDR) and electronic health record (EHR) dataset to identify factors that could be used to improve early diagnosis prediction of SD in a matched case-control study population.</t>
  </si>
  <si>
    <t>Mao Jason,Gomez Grace Gomez Felix,Wang Mei,Xu Huiping,Thyvalikakath Thankam P</t>
  </si>
  <si>
    <t>https://research.ebsco.com/linkprocessor/plink?id=6f6d563e-e742-37c2-8ee0-ce2d82bdc3d9</t>
  </si>
  <si>
    <t>Indiana,Electronic Health Records,Xerostomia,Humans,Case-Control Studies,Indiana epidemiology,Electronics</t>
  </si>
  <si>
    <t>BMC medical informatics and decision making</t>
  </si>
  <si>
    <t>Pre-Processing of Categorical Features Within Medical Analysis Systems.</t>
  </si>
  <si>
    <t>The complexity of the cancer problem domain presents challenges not only to the medical analysis systems tasked with its analysis, but also to the users of such systems. While it is desirable to assist users in operating these medical analysis systems, prior groundwork is required before this can be achieved, such as recognising patterns in the way users create certain analyses within these systems. In this paper, we use machine learning algorithms to analyse user behaviour patterns and attempt to predict the next user interaction within the CARESS medical analysis system. Since an appropriate pre-processing scheme is essential for the performance of these algorithms, we propose the usage of a Natural Language Processing (NLP)- inspired approach to preserve some semantic cohesion of the mostly categorical features of these user interactions. Furthermore, we propose to use a sliding window that contains information about the latest user interactions in combination with Latent Dirichlet Allocation (LDA) to extract a latent topic from these last interactions and use it as additional input to the machine learning models. We compare this pre-processing scheme with other approaches that utilise one-hot encoding and feature hashing. The results of our experiments show that the sliding window LDA scheme is a promising solution, that performs better for our use case than the other evaluated pre-processing schemes. Overall, our results provide an important piece for further research and development in the area of assisting users in operating analysis systems in complex problem domains.</t>
  </si>
  <si>
    <t>Hermes Marc,Wolters Timo,Schult Nico,Hein Andreas</t>
  </si>
  <si>
    <t>https://research.ebsco.com/linkprocessor/plink?id=0731c3d9-e740-3297-9782-0497a1d7d20c</t>
  </si>
  <si>
    <t>Natural Language Processing,Machine Learning,Algorithms,Humans,Neoplasms,Semantics</t>
  </si>
  <si>
    <t>Studies in health technology and informatics</t>
  </si>
  <si>
    <t>Proposal of a new model of national skin audit and data submission.</t>
  </si>
  <si>
    <t>This article proposes a new model for national skin audit and data submission in the field of dermatology. The traditional method of manually entering data points retrospectively is inefficient and time-consuming. The article suggests the adoption of standardized templates and proforma systems for real-time documentation of clinical recommendations and patient data. The use of a rule-based natural language processing technique is also proposed to extract and analyze data in real-time. The article highlights the challenges and limitations in data collection and analysis and emphasizes the need for continued innovation and collaboration in this area. The proposed model aims to provide near real-time, precise analysis of treatment outcomes and contribute to a more comprehensive understanding of influencing factors. However, there are scalability barriers that need to be addressed. The article concludes by emphasizing the importance of measurement and improvement in skin cancer audit and data submission and the need for benchmarking in dermatology and plastic surgery.</t>
  </si>
  <si>
    <t>Ali Stephen R,Dobbs Thomas D,Whitaker Iain S</t>
  </si>
  <si>
    <t>https://research.ebsco.com/linkprocessor/plink?id=84e7bb94-c5e7-3dc7-a3ff-dccc42df9f15</t>
  </si>
  <si>
    <t>Natural language processing,Basal cell carcinoma,Laboratory management,Information resources management,Web hosting,Skin cancer,All Other Information Services,Testing Laboratories,Medical Laboratories,Veterinary Services,Data Processing, Hosting, and Related Services</t>
  </si>
  <si>
    <t>Clinical &amp; Experimental Dermatology</t>
  </si>
  <si>
    <t>Quality of heart failure registration in primary care: observations from 1 million electronic health records in the Amsterdam Metropolitan Area.</t>
  </si>
  <si>
    <t>Proper coding of heart failure (HF) in electronic health records (EHRs) is an important prerequisite for adequate care and research towards this vulnerable patient population. We set out to evaluate the accuracy of registration of HF diagnoses in primary care EHRs.</t>
  </si>
  <si>
    <t>De Clercq Lukas,Himmelreich Jelle C L,Harskamp Ralf E</t>
  </si>
  <si>
    <t>https://research.ebsco.com/linkprocessor/plink?id=79e23ec2-dae1-3d62-925e-16cad31c062d</t>
  </si>
  <si>
    <t>Netherlands,Electronic Health Records,Heart Failure diagnosis,Heart Failure epidemiology,Primary Health Care,Humans,Netherlands,Female,Male,Aged,Middle Aged,Databases, Factual,Clinical Coding standards,International Classification of Diseases,Registries,Adult</t>
  </si>
  <si>
    <t>Diagnosis (Berlin, Germany)</t>
  </si>
  <si>
    <t>Real-World Outcomes of Patients with Advanced Epidermal Growth Factor Receptor-Mutated Non-Small Cell Lung Cancer in Canada Using Data Extracted by Large Language Model-Based Artificial Intelligence.</t>
  </si>
  <si>
    <t>Real-world evidence for patients with advanced EGFR-mutated non-small cell lung cancer (NSCLC) in Canada is limited. This study's objective was to use previously validated DARWEN&lt;sup&gt;TM&lt;/sup&gt; artificial intelligence (AI) to extract data from electronic heath records of patients with non-squamous NSCLC at University Health Network (UHN) to describe EGFR mutation prevalence, treatment patterns, and outcomes. Of 2154 patients with NSCLC, 613 had advanced disease. Of these, 136 (22%) had common sensitizing EGFR mutations (cEGFRm; ex19del, L858R), 8 (1%) had exon 20 insertions (ex20ins), and 338 (55%) had EGFR wild type. One-year overall survival (OS) (95% CI) for patients with cEGFRm, ex20ins, and EGFR wild type tumours was 88% (83, 94), 100% (100, 100), and 59% (53, 65), respectively. In total, 38% patients with ex20ins received experimental ex20ins targeting treatment as their first-line therapy. A total of 57 patients (36%) with cEGFRm received osimertinib as their first-line treatment, and 61 (39%) received it as their second-line treatment. One-year OS (95% CI) following the discontinuation of osimertinib was 35% (17, 75) post-first-line and 20% (9, 44) post-second-line. In this real-world AI-generated dataset, survival post-osimertinib was poor in patients with cEGFR mutations. Patients with ex20ins in this cohort had improved outcomes, possibly due to ex20ins targeting treatment, highlighting the need for more effective treatments for patients with advanced EGFRm NSCLC.</t>
  </si>
  <si>
    <t>Moulson Ruth,Law Jennifer,Sacher Adrian,Liu Geoffrey,Shepherd Frances A.,Bradbury Penelope,Eng Lawson,Iczkovitz Sandra,Abbie Erica,Elia-Pacitti Julia,Ewara Emmanuel M.,Mokriak Viktoriia,Weiss Jessica,Pettengell Christopher,Leighl Natasha B.</t>
  </si>
  <si>
    <t>https://research.ebsco.com/linkprocessor/plink?id=70abd80a-669b-3a07-a4f5-d441ba2a0494</t>
  </si>
  <si>
    <t>Non-small-cell lung carcinoma,Epidermal growth factor,Artificial intelligence,Artificial languages,Canada</t>
  </si>
  <si>
    <t>Survival by first‐line therapy and prognostic group among men with metastatic castration‐resistant prostate cancer.</t>
  </si>
  <si>
    <t>Introduction: Metastatic castration‐resistant prostate cancer (mCRPC) is a heterogeneous disease with prognoses varying from months to years at time of castration‐resistant diagnosis. Optimal first‐line therapy for those with different prognoses is unknown. Methods: We conducted a retrospective cohort study of men in a national healthcare delivery system receiving first‐line therapy for mCRPC (abiraterone, enzalutamide, docetaxel, or ketoconazole) from 2010 to 2017, with follow‐up through 2019. Using commonly drawn prognostic labs at start of mCRPC therapy (hemoglobin, albumin, and alkaline phosphatase), we categorized men into favorable, intermediate, or poor prognostic groups depending on whether they had none, one to two, or all three laboratory values worse than designated laboratory cutoffs. We used Kaplan–Meier methods to examine prostate specific antigen (PSA) progression‐free and overall survival (OS) according to prognostic group and first‐line therapy, and multivariable cox regression to determine variables associated with survival outcomes. Results: Among 4135 patients, median PSA progression‐free survival (PFS) was 6.9 months (95% confidence interval [CI] 6.6–7.3), and median OS 18.8 months (95% CI 18.0–19.6), ranging from 5.7 months (95% CI 4.8–7.0) in the poor prognosis group to 31.3 months (95% CI 29.7–32.9) in the favorable group. OS was similar regardless of initial treatment received for favorable and intermediate groups, but worse for those in the poor prognostic group who received ketoconazole (adjusted hazard ratio 2.07, 95% CI 1.2–3.6). PSA PFS was worse for those who received ketoconazole compared to abiraterone across all prognostic groups (favorable HR 1.76, 95% CI 1.34–2.31; intermediate HR 1.78, 95% CI 1.41–2.25; poor HR 8.01, 95% CI 2.93–21.9). Conclusion: Commonly drawn labs at mCRPC treatment start may aid in predicting survival and response to therapies, potentially informing discussions with care teams. First‐line treatment selection impacts disease progression for all men with mCRPC regardless of prognostic group, but impacted OS only for men with poor prognosis at treatment start.</t>
  </si>
  <si>
    <t>Caram Megan E. V.,Kumbier Kyle,Tsao Phoebe A.,Burns Jennifer,Sparks Jordan B.,Stensland Kristian D.,Reichert Zachery R.,Alumkal Joshi J.,Hollenbeck Brent K.,Shahinian Vahakn,Tsodikov Alexander,Skolarus Ted A.</t>
  </si>
  <si>
    <t>https://research.ebsco.com/linkprocessor/plink?id=16563065-d811-3640-8f70-977bf57af345</t>
  </si>
  <si>
    <t>Castration-resistant prostate cancer,Medical care,Group psychotherapy,Prostate-specific antigen,Progression-free survival,Overall survival</t>
  </si>
  <si>
    <t>The deep learning applications in IoT-based bio- and medical informatics: a systematic literature review.</t>
  </si>
  <si>
    <t>Nowadays, machine learning (ML) has attained a high level of achievement in many contexts. Considering the significance of ML in medical and bioinformatics owing to its accuracy, many investigators discussed multiple solutions for developing the function of medical and bioinformatics challenges using deep learning (DL) techniques. The importance of DL in Internet of Things (IoT)-based bio- and medical informatics lies in its ability to analyze and interpret large amounts of complex and diverse data in real time, providing insights that can improve healthcare outcomes and increase efficiency in the healthcare industry. Several applications of DL in IoT-based bio- and medical informatics include diagnosis, treatment recommendation, clinical decision support, image analysis, wearable monitoring, and drug discovery. The review aims to comprehensively evaluate and synthesize the existing body of the literature on applying deep learning in the intersection of the IoT with bio- and medical informatics. In this paper, we categorized the most cutting-edge DL solutions for medical and bioinformatics issues into five categories based on the DL technique utilized: convolutional neural network, recurrent neural network, generative adversarial network, multilayer perception, and hybrid methods. A systematic literature review was applied to study each one in terms of effective properties, like the main idea, benefits, drawbacks, methods, simulation environment, and datasets. After that, cutting-edge research on DL approaches and applications for bioinformatics concerns was emphasized. In addition, several challenges that contributed to DL implementation for medical and bioinformatics have been addressed, which are predicted to motivate more studies to develop medical and bioinformatics research progressively. According to the findings, most articles are evaluated using features like accuracy, sensitivity, specificity, F-score, latency, adaptability, and scalability.</t>
  </si>
  <si>
    <t>Amiri Zahra,Heidari Arash,Navimipour Nima Jafari,Esmaeilpour Mansour,Yazdani Yalda</t>
  </si>
  <si>
    <t>https://research.ebsco.com/linkprocessor/plink?id=abec5e7b-5877-300d-b86f-676e4a570fc9</t>
  </si>
  <si>
    <t>Medical informatics,Deep learning,Convolutional neural networks,Clinical decision support systems,Generative adversarial networks,Recurrent neural networks,Drug discovery</t>
  </si>
  <si>
    <t>Neural Computing &amp; Applications</t>
  </si>
  <si>
    <t>The performance status gap in immunotherapy for frail patients with advanced non-small cell lung cancer.</t>
  </si>
  <si>
    <t>In advanced non-small cell lung cancer (NSCLC), immune checkpoint inhibitor (ICI) monotherapy is often preferred over intensive ICI treatment for frail patients and those with poor performance status (PS). Among those with poor PS, the additional effect of frailty on treatment selection and mortality is unknown.</t>
  </si>
  <si>
    <t>Wu Julie Tsu-Yu,Corrigan June,Su Chloe,Dumontier Clark,La Jennifer,Khan Aparjita,Arya Shipra,Harris Alex H S,Backhus Leah,Das Millie,Do Nhan V,Brophy Mary T,Han Summer S,Kelley Michael,Fillmore Nathanael R</t>
  </si>
  <si>
    <t>https://research.ebsco.com/linkprocessor/plink?id=224a42fc-e10e-31a2-b00d-6d9562142d3d</t>
  </si>
  <si>
    <t>Carcinoma, Non-Small-Cell Lung drug therapy,Carcinoma, Non-Small-Cell Lung mortality,Carcinoma, Non-Small-Cell Lung therapy,Lung Neoplasms drug therapy,Lung Neoplasms mortality,Lung Neoplasms therapy,Immunotherapy methods,Immune Checkpoint Inhibitors therapeutic use,Humans,Male,Female,Aged,Middle Aged,Frailty,Aged, 80 and over</t>
  </si>
  <si>
    <t>Cancer immunology, immunotherapy : CII</t>
  </si>
  <si>
    <t>The Use of Natural Language Processing Elements for Computer-Aided Diagnostics and Monitoring of Body Image Perception in Enterally Fed Patients with Head and Neck or Upper Gastrointestinal Tract Cancers.</t>
  </si>
  <si>
    <t>Simple Summary: Cancer stands as a leading cause of death globally and remains a significant threat to public health in developed nations. With an anticipated rise in cancer cases, the number of survivors is also expected to increase, many of whom grapple with distorted body image perception. Addressing the common poor quality of life among cancer patients and survivors necessitates monitoring emotions and body perception to mitigate psychological burdens. Given the strain on healthcare resources, exploring automated screening methods for cancer patients is crucial. This article proposes leveraging Natural Language Processing for monitoring body image perception in enterally fed patients with head and neck or upper gastrointestinal tract cancers, offering potential advancements in care delivery and patient support within oncology settings. Background: Psycho-oncology care has emerged as a significant concern in contemporary oncology practice, given its profound impact on patient psychological well-being. Patients undergoing treatment for head–neck or upper gastrointestinal tract cancers often experience complex emotional and psychological challenges, necessitating specialized support and intervention. Traditional approaches to psycho-oncological care may be limited in their ability to comprehensively assess and address patients' needs. Therefore, exploring innovative methodologies, such as leveraging natural language processing (NLP) elements, is crucial to enhancing the effectiveness of psycho-oncological interventions. Methods: In this study, we developed a method utilizing natural language processing (NLP) elements to augment psycho-oncological care for patients with head–neck or upper gastrointestinal tract cancers. The method aimed to facilitate vocabulary, sentiment, and intensity analysis of five basic emotions (happiness, sadness, anger, disgust, and fear), as well as to explore potential areas of difficulty such as body image, pain, and self-esteem. We conducted research involving 50 patients across three treatment stages. Results: Our method facilitated the identification of characteristic features at each treatment stage, aiding in the tailoring of appropriate therapies to individual patient needs. The results offer insights valuable to psychologists and psychiatrists for expedited diagnosis and intervention, potentially influencing therapy outcomes. Additionally, the data may inform treatment decisions by addressing patient-specific concerns. Furthermore, our method holds promise for optimizing the allocation of psychological care resources, particularly at the initial stages of patient contact. Limitations: The main problem in the research was the fairly wide age range of participants, which explains the potential diversity of vocabulary. Conclusion: In conclusion, our study demonstrates the potential utility of integrating natural language processing (NLP) elements into psycho-oncological care for patients with head–neck or upper gastrointestinal tract cancers. The developed method offers a novel approach to comprehensively assessing patients' emotional states and areas of difficulty, thereby facilitating tailored interventions and treatment planning. These findings underscore the importance of continued research and innovation in psycho-oncology to enhance patient care and outcomes.</t>
  </si>
  <si>
    <t>Różańska Agnieszka,Gliwska Elwira,Barańska Klaudia,Maćkowska Stella,Sobol Adrianna,Spinczyk Dominik</t>
  </si>
  <si>
    <t>https://research.ebsco.com/linkprocessor/plink?id=f1e7dc9d-7c6b-3dec-87e6-561da24b4483</t>
  </si>
  <si>
    <t>Gastrointestinal tumors,Head &amp; neck cancer,Medical care,Natural language processing,Body image,Cancer patients,Emotions,Enteral feeding,Computer-aided diagnosis,Quality of life,Patient monitoring,Public health,Social support,Health and Welfare Funds,Other Individual and Family Services</t>
  </si>
  <si>
    <t>The Utility of Pathology Reports to Identify Persons With Cancer Recurrence.</t>
  </si>
  <si>
    <t>The authors declare no conflict of interest.</t>
  </si>
  <si>
    <t>Warren Joan L,Noone Anne-Michelle,Stevens Jennifer,Wu Xiao-Cheng,Hsieh Mei-Chin,Mumphrey Brent J,Schmidt Rodney,Coyle Linda,Shields Rusty,Mariotto Angela B</t>
  </si>
  <si>
    <t>https://research.ebsco.com/linkprocessor/plink?id=b270752c-448c-344b-aa47-8a2cf4987199</t>
  </si>
  <si>
    <t>Documentation standards,Neoplasms diagnosis,Neoplasms pathology,Recurrence,Breast Neoplasms diagnosis,Breast Neoplasms epidemiology,Breast Neoplasms pathology,Colorectal Neoplasms diagnosis,Colorectal Neoplasms epidemiology,Colorectal Neoplasms pathology,Documentation methods,Documentation statistics &amp; numerical data,Female,Humans,Male,Middle Aged,Neoplasms epidemiology,Retrospective Studies</t>
  </si>
  <si>
    <t>Medical care</t>
  </si>
  <si>
    <t>The validity of electronic health data for measuring smoking status: a systematic review and meta-analysis.</t>
  </si>
  <si>
    <t>Smoking is a risk factor for many chronic diseases. Multiple smoking status ascertainment algorithms have been developed for population-based electronic health databases such as administrative databases and electronic medical records (EMRs). Evidence syntheses of algorithm validation studies have often focused on chronic diseases rather than risk factors. We conducted a systematic review and meta-analysis of smoking status ascertainment algorithms to describe the characteristics and validity of these algorithms.</t>
  </si>
  <si>
    <t>Haque Md Ashiqul,Gedara Muditha Lakmali Bodawatte,Nickel Nathan,Turgeon Maxime,Lix Lisa M</t>
  </si>
  <si>
    <t>https://research.ebsco.com/linkprocessor/plink?id=b7bccfa3-3ca6-3f2f-b394-98214070bb23</t>
  </si>
  <si>
    <t>Electronic Health Records standards,Algorithms,Smoking epidemiology,Humans,Reproducibility of Results</t>
  </si>
  <si>
    <t>Using Primary Care and Emergency Department Datasets for Researching Violence Victimisation in the UK: A Methodological Review of Four Sources.</t>
  </si>
  <si>
    <t>Violence is recognised as a cause of health harm, but it is not consistently or adequately captured in healthcare data systems. While administrative health records could be valuable sources of information for measuring violence, they remain underutilised in violence-related research. The present research aims to examine the suitability of violence indicators in emergency care, primary care, and linked healthcare datasets. Descriptive analyses were conducted with the 2015/16 Hospital Episode Statistics Accident and Emergency (HES A&amp;E) and the 2021/22 Emergency Care Data Set (ECDS). The potential of the Clinical Practice Research Datalink (CPRD) and the South Wales Violence Surveillance dataset (a police and emergency department (ED) dataset linked by Public Health Wales) were shown using available evidence. Among the discussed datasets, the South Wales Violence Surveillance dataset has the most detail about violent acts and their contexts, while the CPRD includes a more extensive range of socioeconomic factors about patients and extensive linkage with other datasets. Currently, detailed safeguarding information is routinely removed from the ECDS extracts provided to researchers, limiting its utility for violence research. In the HES A&amp;E, only physical violence was consistently recorded. Addressing these issues has the potential to improve the use of health administrative data in research on violence.</t>
  </si>
  <si>
    <t>Fadeeva Anastasia,Barbosa Estela Capelas,Walker Alex,McManus Sally</t>
  </si>
  <si>
    <t>https://research.ebsco.com/linkprocessor/plink?id=046a00ee-8881-3ca0-bac3-3c523546d1aa</t>
  </si>
  <si>
    <t>Primary care,Hospital emergency services,Violence in the workplace,Violence,Hospital statistics,Medical records,Socioeconomic factors,Wales,United Kingdom</t>
  </si>
  <si>
    <t>Social Sciences (2076-0760)</t>
  </si>
  <si>
    <t>What is the economic and social return on investment for telephone cancer information and support services in Australia? An evaluative social return on investment study protocol.</t>
  </si>
  <si>
    <t>Competing interests: NM leads the Economics of Cancer Collaboration between Deakin University and CCV and she holds an honorary position with CCV. JB holds an honorary position with CCV. TH is the Chief Executive Officer, CCV. DSS is the Head of Strategy &amp; Support, CCV. KL was the Head of Cancer Information Support Services, CCV during Steps 1 and 2. SA was CEO of Cancer Council Australia from 2015 to 2020 and currently chairs the Advisory Committee to the Victoria Cancer Registry. All other authors declare that they have no competing interests.</t>
  </si>
  <si>
    <t>McCaffrey Nikki,White Victoria,Engel Lidia,Mihalopoulos Cathrine,Orellana Liliana,Livingston Patricia M,Paul Christine L,Aranda Sanchia,De Silva Daswin,Bucholc Jessica,Hutchinson Alison M,Steiner Anna,Ratcliffe Julie,Lane Katherine,Spence Danielle,Harper Todd,Livingstone Ann,Fradgley Elizabeth,Hutchinson Claire Louise</t>
  </si>
  <si>
    <t>https://research.ebsco.com/linkprocessor/plink?id=38ea3416-538b-3439-b22c-84e230d767ce</t>
  </si>
  <si>
    <t>Australia,Neoplasms therapy,Neoplasms economics,Cost-Benefit Analysis,Humans,Australia,Telephone,Research Design,Social Support</t>
  </si>
  <si>
    <t>BMJ open</t>
  </si>
  <si>
    <t>"Currently flying blind" Stakeholders' perceptions of implementing statewide population-based cancer staging at diagnosis into the Western Australian Cancer Registry: a rapid qualitative process evaluation of the WA Cancer Staging Project.</t>
  </si>
  <si>
    <t>Cancer stage at diagnosis is essential for understanding cancer outcomes, guiding cancer control activities and healthcare services, and enabling benchmarking nationally and internationally. Yet, most cancer registries in Australia do not routinely collect this data. This study explored key stakeholders' perceptions of implementing cancer staging utilising Natural Language Processing and Machine Learning algorithms within the Western Australian Cancer Registry.</t>
  </si>
  <si>
    <t>Smith Stephanie,Trevithick Richard W,Smith James,Pung Li,Taylor Karen,Ha Ninh,Chai Kevin E K,Gewerc Cristiana Garcia,Moorin Rachael</t>
  </si>
  <si>
    <t>https://research.ebsco.com/linkprocessor/plink?id=c65e0c80-63a4-3a31-b734-db114d902a80</t>
  </si>
  <si>
    <t>Australia,Data Management,Neoplasms diagnosis,Neoplasms epidemiology,Neoplasms therapy,Humans,Australia epidemiology,Neoplasm Staging,Prospective Studies,Retrospective Studies,Registries</t>
  </si>
  <si>
    <t>no</t>
  </si>
  <si>
    <t>1D U-NET++: AN EFFECTIVE METHOD FOR BALLISTOCARDIOGRAM J-PEAK DETECTION.</t>
  </si>
  <si>
    <t>Heart rate measurement through Ballistocardiogram (BCG) signal is an efficient method for long-term cardiac activity monitoring in real-time, especially for patients with cardiovascular and cerebrovascular disease. In this study, we propose a one-dimensional (1D) U-net++ to identify the position of J-peak in BCG signals automatically. The proposed 1D U-net++ is based on a 1D convolution neural network through dense skip connection backward transfer data features. The low-level and high-level data features of the BCG signals are combined with the last layer features of 1D U-net++ to shorten the semantic gap when the encoder and decoder feature skip connection. The BCG signals of eight healthy subjects were collected for experimental verification, and the accuracy and precision of J-peak detection reached 99.4% and 99.3%, respectively. The experimental results demonstrate that our proposed method can effectively identify J-peak in BCG signal.</t>
  </si>
  <si>
    <t>ZHOU TENGDA,MEN SHAOYANG,LIANG JINGXIAN,YU BAOXIAN,ZHANG HAN,LUO XIAOMU</t>
  </si>
  <si>
    <t>https://research.ebsco.com/linkprocessor/plink?id=8f3db7e1-622c-3f53-a45c-2390aece65d0</t>
  </si>
  <si>
    <t>Convolutional neural networks,Heart beat measurement,Cerebrovascular disease</t>
  </si>
  <si>
    <t>Journal of Mechanics in Medicine &amp; Biology</t>
  </si>
  <si>
    <t>2013 HIPAA Changes Provide Opportunities and Challenges for Researchers: Perspectives from a Cancer Center</t>
  </si>
  <si>
    <t>In 2013, the U.S. Department of Health and Human Services modified the Health Insurance Portability and Accountability Act Privacy Rule to "strengthen privacy and security protections" while "improving workability and effectiveness to increase flexibility for and decrease burden on regulated entities." In this article, we attempt to translate these generalized goals into the real-world implications of these changes. Under the new rules, researchers can obtain participants' permission to use their protected health information for more research activities with a single, upfront authorization (thereby reducing paperwork for participants, researchers, and institutional review boards) while providing potential participants with more information upon which to base their decisions about participation. The combined authorizations can be used in clinical trials and their optional substudies and in stand-alone biospecimen-banking research that includes authorization to permit future research use. We also suggest best practices for taking advantage of the flexibility offered by the new rules while maintaining strong privacy protections for human subjects.</t>
  </si>
  <si>
    <t>Freedman,R.S.,Cantor,S.B.,Merriman,K.W.,Edgerton,M.E.</t>
  </si>
  <si>
    <t>https://www.scopus.com/inward/record.uri?eid=2-s2.0-84958976827&amp;doi=10.1158%2F1078-0432.CCR-15-2155&amp;partnerID=40&amp;md5=51d1c2027b5d319ee5efaf73a1fdc606</t>
  </si>
  <si>
    <t>Clinical Cancer Research</t>
  </si>
  <si>
    <t>2019 International Conference and Exhibition on Computational Biology and Bioinformatics (ICECBB 2019), December 1-2, 2019, Taipei, Taiwan.</t>
  </si>
  <si>
    <t>https://research.ebsco.com/linkprocessor/plink?id=9cde9ab7-ddbd-39a5-853e-51957a219bf1</t>
  </si>
  <si>
    <t>Basic &amp; clinical pharmacology &amp; toxicology</t>
  </si>
  <si>
    <t>24th Annual Conference of the International Society for Quality of Life Research.</t>
  </si>
  <si>
    <t>https://research.ebsco.com/linkprocessor/plink?id=94905883-e702-32e1-ad7b-5d2914f1251b</t>
  </si>
  <si>
    <t>Quality of life,Palliative treatment,Mental health,Oncology,Electronic health records,Conferences &amp; conventions,Medical research,Pennsylvania,Convention and Trade Show Organizers,Research and Development in the Physical, Engineering, and Life Sciences (except Biotechnology),Offices of Mental Health Practitioners (except Physicians)</t>
  </si>
  <si>
    <t>Quality of Life Research</t>
  </si>
  <si>
    <t>25th Annual Conference of the International Society for Quality of Life Research.</t>
  </si>
  <si>
    <t>https://research.ebsco.com/linkprocessor/plink?id=97f3bb40-9eb7-35cf-88ac-7b9dcb7c2ca1</t>
  </si>
  <si>
    <t>Data analysis,Big data,Bladder cancer,Oncologic surgery,Burden of care,Childhood cancer,Lung cancer</t>
  </si>
  <si>
    <t>26th Annual Conference of the International Society for Quality of Life Research.</t>
  </si>
  <si>
    <t>https://research.ebsco.com/linkprocessor/plink?id=7630e94a-ce00-37fd-80ef-d8ed4d8e7bf8</t>
  </si>
  <si>
    <t>Conferences &amp; conventions,Quality of life,Computer adaptive testing,Convention and Trade Show Organizers</t>
  </si>
  <si>
    <t>29th Annual Conference of the International Society for Quality of Life Research.</t>
  </si>
  <si>
    <t>https://research.ebsco.com/linkprocessor/plink?id=f4a253cc-1240-3f07-8c6b-1a125c484b79</t>
  </si>
  <si>
    <t>Quality of life,Patient-centered care,Medical care,Electronic health records,Quality of Life Research (Periodical)</t>
  </si>
  <si>
    <t>47th Annual Meeting of the Arbeitsgemeinschaft Dermatologische Forschung (ADF): Virtual, March 04-06, 2021.</t>
  </si>
  <si>
    <t>https://research.ebsco.com/linkprocessor/plink?id=734c63ac-6a66-3704-8fd5-7fa8ffaa11f9</t>
  </si>
  <si>
    <t>Experimental dermatology</t>
  </si>
  <si>
    <t>53 &lt;sup&gt;rd&lt;/sup&gt; EASD Annual Meeting of the European Association for the Study of Diabetes : Lisbon, Portugal, 11 - 15 September 2017.</t>
  </si>
  <si>
    <t>https://research.ebsco.com/linkprocessor/plink?id=00715853-98ba-36d6-967d-0b9656a5af8f</t>
  </si>
  <si>
    <t>Diabetologia</t>
  </si>
  <si>
    <t>60 &lt;sup&gt;th&lt;/sup&gt; EASD Annual Meeting of the European Association for the Study of Diabetes : Madrid, Spain, 9 - 13 September 2024.</t>
  </si>
  <si>
    <t>https://research.ebsco.com/linkprocessor/plink?id=b2e27664-5bc1-3524-9a76-88bda71fc0c6</t>
  </si>
  <si>
    <t>A canadian prospective study of linkage of randomized clinical trial to cancer and mortality registry data</t>
  </si>
  <si>
    <t>In a prospective study, we sought to determine acceptability of linkage of administrative and clinical trial data among Canadian patients and Research Ethics Boards (REBs). The goal is to develop a more harmonized approach to data, with potential to improve clinical trial conduct through enhanced data quality collected at reduced cost and inconvenience for patients. On completion of the original LY.12 randomized clinical trial in lymphoma (NCT00078949), participants were invited to enrol in the Long-term Innovative Follow-up Extension (LIFE) component. Those consenting to do so provided comprehensive identifying information to facilitate linkage with their administrative data. We prospectively designed a global assessment of this innovative approach to clinical trial follow-up including rates of REB approval and patient consent. The pre-specified benchmark for patient acceptability was 80%. Of 16 REBs who reviewed the research protocol, 14 (89%) provided approval; two in Quebec declined due to small patient numbers. Of 140 patients invited to participate, 115 (82%, 95% CI 76 to 88%) from across 9 Canadian provinces provided consent and their full name, date of birth, health insurance number and postal code to facilitate linkage with their administrative data for long-term follow-up. Linkage of clinical trial and administrative data is feasible and acceptable. Further collaborative work including many stakeholders is required to develop an optimized secure approach to research. A more coordinated national approach to health data could facilitate more rapid testing and identification of new effective treatments across multiple jurisdictions and diseases from diabetes to COVID-19. © 2021 by the authors. Licensee MDPI, Basel, Switzerland.</t>
  </si>
  <si>
    <t>Hay,A.E.,Mittmann,N.,Crump,M.,Cheung,M.C.,Sleeth,J.,Needham,J.,Broekhoven,M.,Djurfeldt,M.,Shepherd,L.E.,Meyer,R.M.,Chen,B.E.,Pater,J.L.</t>
  </si>
  <si>
    <t>https://www.scopus.com/inward/record.uri?eid=2-s2.0-85103254689&amp;doi=10.3390%2Fcurroncol28020111&amp;partnerID=40&amp;md5=0b3f3a74e76a502d7d8299cbf0d8af79</t>
  </si>
  <si>
    <t>Clinical trial,Data linkage,Lymphoma</t>
  </si>
  <si>
    <t>A CDE-based data structure for radiotherapeutic decision-making in breast cancer.</t>
  </si>
  <si>
    <t>Declarations. Ethics approval and consent to participate: Not applicable. This study did not involve any human participants, biological material, or personal data. Consequently, it does not fall under the jurisdiction of the Human Research Act, and no ethics committee approval was required ( https://www.fedlex.admin.ch/eli/cc/2013/617/de ). Consent for publication: Not applicable. Competing interests: Dr. Cihoric is a technical lead for the SmartOncology© project and medical advisor for Wemedoo AG, Steinhausen AG, Switzerland. Prof. Putora is Editorial Board member of BMC Medical Informatics and Decision Making. The authors declare no other conflicts of interest.</t>
  </si>
  <si>
    <t>Dennstädt Fabio,Schmalfuss Maximilian,Zink Johannes,Hastings Janna,Gaio Roberto,Schmerder Max,Cihoric Nikola,Putora Paul Martin</t>
  </si>
  <si>
    <t>https://research.ebsco.com/linkprocessor/plink?id=920067cf-cb5d-3bfd-8f3b-e2d1e0c94e8d</t>
  </si>
  <si>
    <t>Breast Neoplasms radiotherapy,Clinical Decision-Making methods,Radiation Oncology standards,Humans,Female</t>
  </si>
  <si>
    <t>A classification model of homelessness using integrated administrative data: Implications for targeting interventions to improve the housing status, health and well-being of a highly vulnerable population.</t>
  </si>
  <si>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</si>
  <si>
    <t>Byrne Thomas,Baggett Travis,Land Thomas,Bernson Dana,Hood Maria-Elena,Kennedy-Perez Cheryl,Monterrey Rodrigo,Smelson David,Dones Marc,Bharel Monica</t>
  </si>
  <si>
    <t>https://research.ebsco.com/linkprocessor/plink?id=e426fce7-bc1d-3bdd-a26c-b51584adcc9f</t>
  </si>
  <si>
    <t>Homeless families,Homelessness,System identification,Classification,Government programs,Well-being,Massachusetts</t>
  </si>
  <si>
    <t>PLoS ONE</t>
  </si>
  <si>
    <t>A comparative analysis of cancer stage classification systems for registries.</t>
  </si>
  <si>
    <t>The authors report no conflicts of interest.</t>
  </si>
  <si>
    <t>Ramraj Abhinav,Saravanan Hariharasudhan</t>
  </si>
  <si>
    <t>https://research.ebsco.com/linkprocessor/plink?id=9751af49-b1f0-3959-b165-396ac9ab9dbf</t>
  </si>
  <si>
    <t>Ecancermedicalscience</t>
  </si>
  <si>
    <t>A comprehensive review on knowledge graphs for complex diseases.</t>
  </si>
  <si>
    <t>In recent years, knowledge graphs (KGs) have gained a great deal of popularity as a tool for storing relationships between entities and for performing higher level reasoning. KGs in biomedicine and clinical practice aim to provide an elegant solution for diagnosing and treating complex diseases more efficiently and flexibly. Here, we provide a systematic review to characterize the state-of-the-art of KGs in the area of complex disease research. We cover the following topics: (1) knowledge sources, (2) entity extraction methods, (3) relation extraction methods and (4) the application of KGs in complex diseases. As a result, we offer a complete picture of the domain. Finally, we discuss the challenges in the field by identifying gaps and opportunities for further research and propose potential research directions of KGs for complex disease diagnosis and treatment.</t>
  </si>
  <si>
    <t>Yang Yang,Lu Yuwei,Yan Wenying</t>
  </si>
  <si>
    <t>https://research.ebsco.com/linkprocessor/plink?id=ab64b969-af2d-32fe-bd0f-df759a993292</t>
  </si>
  <si>
    <t>Pattern Recognition, Automated</t>
  </si>
  <si>
    <t>Briefings in bioinformatics</t>
  </si>
  <si>
    <t>A Discussion Regarding The Function Of Computers In Online Criminal Investigation For Companies During Disasters And Cyber Crises: An Exhaustive Research.</t>
  </si>
  <si>
    <t>When looking at technology-based evidence of wrongdoing, the area of digital forensics is crucial. Computers are now essential in digital forensics because of the massive and complicated nature of digital data. This article will explore the many ways computers have helped digital forensics, with a focus on evidence gathering, processing, and presentation. Improvements in computing power have made it easier for forensic investigators to gather, store, and evaluate digital evidence. Opportunities and difficulties have arisen for digital forensics professionals due to the proliferation of networked devices and developments in data storage and retrieval. Data recovery, forensic analysis tools, and machine learning are some of the computing technologies that this study emphasizes as crucial for improving the efficiency and precision of investigations. In addition, it delves into the ethical and legal aspects of digital forensics and the part computers play in this field. By clarifying the mutually advantageous link between computers and digital forensics, this study highlights the importance of multidisciplinary collaboration and continued technical improvements in combating cyber threats and guaranteeing the accuracy of digital investigations. The hypothesis that computers may have a place in digital forensics is the foundation of the research. In order to stay competitive in today's digital economy, all of these sectors are adopting digitization. As a result of digitization, corporate operations are now more faster and more efficient. All that is required to benefit from digitization is a technological device, such as a computer.</t>
  </si>
  <si>
    <t>Peng Jiny,Midhunchakkaravarthy Divya</t>
  </si>
  <si>
    <t>https://research.ebsco.com/linkprocessor/plink?id=b0c9c02e-3edb-3101-b7ee-71e09f8875ac</t>
  </si>
  <si>
    <t>Digital forensics,Criminal investigation,Data recovery,Corporate governance,Cyberterrorism</t>
  </si>
  <si>
    <t>Frontiers in Health Informatics</t>
  </si>
  <si>
    <t>A feasibility study to assess the validity of administrative data sources and self-reported information of breast cancer survivors</t>
  </si>
  <si>
    <t>Background: Cancer survivorship has increasingly become the focus of research due to progress in early detection and advancements in the therapeutic approach, but high-quality information sources for outcomes, potential confounders and personal characteristics present a challenge. Few studies have collected breast cancer care data from mixed data sources and validated them, and to the best of our knowledge, none so far have been conducted in Israel, where National Health Insurance Law assures universal health care, delivered through four health care funds with computerized administrative, pharmaceutical and medical databases. This validation study is aimed to assess the accuracy and completeness of information on cancer care and health outcomes using several research tools, before embarking on a full-scale study aimed to evaluate the long-term treatment-related health adverse outcomes in a cohort of breast cancer survivors. Methods: One hundred twenty randomly sampled female patients diagnosed with primary breast cancer in years 2000-2010 in northern Israel, who are members of the "Leumit" healthcare fund, were included. Data sources included "Leumit" medical records, the National Cancer Registry and a self-report questionnaire. The questionnaire was completed by 99 % of the women contacted. The accuracy of the information regarding cancer care was assessed with the reference standard set as one of the research tools, varying per the characteristic being under investigation. For example: health outcomes and medical history were validated against "Leumit" medical records, while construct validity of the self-reported questionnaire served to assess the prevalence of chronic pain. Agreement, predictive values, correlations, and internal consistency were calculated. Logistic regression models were constructed to assess potential predictors of correct responses. Results: The overall level of agreement (Kappa) was almost perfect for demographics and outcomes, above 0.8 for treatments and chronic pain, while only fair to moderate for most of the self-reported medical history. Correct responses of medical history were associated with Jewish ethnicity, recency of breast cancer diagnosis, and family history of cardiovascular disease. The internal consistency of the quality-of-life scale was above 0.9. Conclusion: In the absence of a national registry for cancer care, a mixed methodology for data collection is the most complete source. Trial registration: Trial registration number Not available. This is an observational study with prospective data collection and no intervention; therefore, trial registration number is not required. © 2016 The Author(s).</t>
  </si>
  <si>
    <t>Hamood,R.,Hamood,H.,Merhasin,I.,Keinan-Boker,L.</t>
  </si>
  <si>
    <t>https://www.scopus.com/inward/record.uri?eid=2-s2.0-84999816165&amp;doi=10.1186%2Fs13584-016-0111-6&amp;partnerID=40&amp;md5=5918c4164ab366304921896724ac26be</t>
  </si>
  <si>
    <t>Administrative data,Agreement,Breast cancer,Medical record,Self-report,Validity</t>
  </si>
  <si>
    <t>Israel Journal of Health Policy Research</t>
  </si>
  <si>
    <t>A Framework for Leveraging "Big Data" to Advance Epidemiology and Improve Quality: Design of the VA A Framework for Leveraging "Big Data" to Advance Epidemiology and Improve Quality: Design of the VA Colonoscopy Collaborative.</t>
  </si>
  <si>
    <t>Objective: To describe a framework for leveraging big data for research and quality improvement purposes and demonstrate implementation of the framework for design of the Department of Veterans Affairs (VA) Colonoscopy Collaborative. Methods: We propose that research utilizing large-scale electronic health records (EHRs) can be approached in a 4 step framework: 1) Identify data sources required to answer research question; 2) Determine whether variables are available as structured or free-text data; 3) Utilize a rigorous approach to refine variables and assess data quality; 4) Create the analytic dataset and perform analyses. We describe implementation of the framework as part of the VA Colonoscopy Collaborative, which aims to leverage big data to 1) prospectively measure and report colonoscopy quality and 2) develop and validate a risk prediction model for colorectal cancer (CRC) and high-risk polyps. Results: Examples of implementation of the 4 step framework are provided. To date, we have identified 2,337,171 Veterans who have undergone colonoscopy between 1999 and 2014. Median age was 62 years, and 4.6 percent (n = 106,860) were female. We estimated that 2.6 percent (n = 60,517) had CRC diagnosed at baseline. An additional 1 percent (n = 24,483) had a new ICD-9 code-based diagnosis of CRC on follow up. Conclusion: We hope our framework may contribute to the dialogue on best practices to ensure high quality epidemiologic and quality improvement work. As a result of implementation of the framework, the VA Colonoscopy Collaborative holds great promise for 1) quantifying and providing novel understandings of colonoscopy outcomes, and 2) building a robust approach for nationwide VA colonoscopy quality reporting.</t>
  </si>
  <si>
    <t>Gupta Samir,Lin Liu,Patterson Olga V.,Earles Ashley,Bustamante Ranier,Gawron Andrew J.,Thompson William K.,Scuba William,Denhalter Daniel,Martinez M. Elena,Messer Karen,Fisher Deborah A.,Saini Sameer D.,DuVall Scott L.,Chapman Wendy W.,Whooley Mary A.,Kaltenbach Tonya</t>
  </si>
  <si>
    <t>https://research.ebsco.com/linkprocessor/plink?id=e2d81f3d-1bfb-3792-9a8b-5b641f51913b</t>
  </si>
  <si>
    <t>Epidemiology,United States. Dept. of Veterans Affairs,Administration of Veterans' Affairs</t>
  </si>
  <si>
    <t>eGEMS (Generating Evidence &amp; Methods to Improve Patient Outcomes)</t>
  </si>
  <si>
    <t>A Multilabel Text Classifier of Cancer Literature at the Publication Level: Methods Study of Medical Text Classification</t>
  </si>
  <si>
    <t>Background: Given the threat posed by cancer to human health, there is a rapid growth in the volume of data in the cancer field and interdisciplinary and collaborative research is becoming increasingly important for fine-grained classification. The low-resolution classifier of reported studies at the journal level fails to satisfy advanced searching demands, and a single label does not adequately characterize the literature originated from interdisciplinary research results. There is thus a need to establish a multilabel classifier with higher resolution to support literature retrieval for cancer research and reduce the burden of screening papers for clinical relevance.Objective: The primary objective of this research was to address the low-resolution issue of cancer literature classification due to the ambiguity of the existing journal-level classifier in order to support gaining high-relevance evidence for clinical consideration and all-sided results for literature retrieval. Methods: We trained a multilabel classifier with scalability for classifying the literature on cancer research directly at the publication level to assign proper content-derived labels based on the Bidirectional Encoder Representation from Transformers (BERT) + X model and obtain the best option for X. First, a corpus of 70,599 cancer publications retrieved from the Dimensions database was divided into a training and a testing set in a ratio of 7:3. Second, using the classification terminology of International Cancer Research Partnership cancer types, we compared the performance of classifiers developed using BERT and 5 classical deep learning models, such as the text recurrent neural network (TextRNN) and FastText, followed by metrics analysis.Results: After comparing various combined deep learning models, we obtained a classifier based on the optimal combination BERT + TextRNN, with a precision of 93.09%, a recall of 87.75%, and an F1-score of 90.34%. Moreover, we quantified the distinctive characteristics in the text structure and multilabel distribution in order to generalize the model to other fields with similar characteristics.Conclusions: The BERT + TextRNN model was trained for high-resolution classification of cancer literature at the publication level to support accurate retrieval and academic statistics. The model automatically assigns 1 or more labels to each cancer paper, as required. Quantitative comparison verified that the BERT + TextRNN model is the best fit for multilabel classification of cancer literature compared to other models. More data from diverse fields will be collected to testify the scalability and extensibility of the proposed model in the future.</t>
  </si>
  <si>
    <t>Zhang Y,Li XY,Liu Y,Li AH,Yang XM,Tang XL</t>
  </si>
  <si>
    <t>https://www.webofscience.com/wos/woscc/full-record/WOS:001086126200001</t>
  </si>
  <si>
    <t>text classification; publication-level classifier; cancer literature; deep learning</t>
  </si>
  <si>
    <t>JMIR MEDICAL INFORMATICS</t>
  </si>
  <si>
    <t>A National Network of Safe Havens: Scottish Perspective.</t>
  </si>
  <si>
    <t>For over a decade, Scotland has implemented and operationalized a system of Safe Havens, which provides secure analytics platforms for researchers to access linked, deidentified electronic health records (EHRs) while managing the risk of unauthorized reidentification. In this paper, a perspective is provided on the state-of-the-art Scottish Safe Haven network, including its evolution, to define the key activities required to scale the Scottish Safe Haven network's capability to facilitate research and health care improvement initiatives. A set of processes related to EHR data and their delivery in Scotland have been discussed. An interview with each Safe Haven was conducted to understand their services in detail, as well as their commonalities. The results show how Safe Havens in Scotland have protected privacy while facilitating the reuse of the EHR data. This study provides a common definition of a Safe Haven and promotes a consistent understanding among the Scottish Safe Haven network and the clinical and academic research community. We conclude by identifying areas where efficiencies across the network can be made to meet the needs of population-level studies at scale.</t>
  </si>
  <si>
    <t>Gao Chuang,McGilchrist Mark,Mumtaz Shahzad,Hall Christopher,Anderson Lesley Ann,Zurowski John,Gordon Sharon,Lumsden Joanne,Munro Vicky,Wozniak Artur,Sibley Michael,Banks Christopher,Duncan Chris,Linksted Pamela,Hume Alastair,Stables Catherine L,Mayor Charlie,Caldwell Jacqueline,Wilde Katie,Cole Christian,Jefferson Emily</t>
  </si>
  <si>
    <t>https://research.ebsco.com/linkprocessor/plink?id=0dd0c922-9453-3677-9195-3c070935a5b3</t>
  </si>
  <si>
    <t>Scotland,Electronic Health Records,Privacy,Humans,Scotland</t>
  </si>
  <si>
    <t>Journal of medical Internet research</t>
  </si>
  <si>
    <t>A New Era, New Risks: The Cardio-Oncology Perspective on Immunotherapy in Non-Small Cell Lung Cancer.</t>
  </si>
  <si>
    <t>Simple Summary: Lung cancer (LC) remains the leading cause of cancer-related mortality worldwide. Mortality has recently declined, particularly for non-small cell lung cancer (NSCLC), which accounts for 85% of cases. This improvement reflects not only antismoking policies and earlier detection, but also the pivotal role of targeted therapies and immune checkpoint inhibitors in modern LC management. However, real-world observational studies in multimorbid populations have revealed emerging cardiovascular implications of immunotherapy, including potential effects on atherosclerosis, highlighting their increasing clinical significance. These findings emphasize the importance of comprehensive baseline cardiovascular risk assessment, identification of modifiable risk factors, and proactive management, particularly in the adjuvant and neoadjuvant settings where survival is longer. Furthermore, they support the implementation of structured, long-term monitoring strategies, leveraging multiparametric approaches that integrate advanced imaging modalities with prognostic biomarkers, to optimize cardiovascular outcomes and guide personalized care in this vulnerable patient population. Lung cancer (LC) remains the leading cause of cancer-related mortality worldwide. In recent years, mortality rates have declined due to antismoking policies, earlier detection, and the advent of targeted therapies and immunotherapy, particularly for non-small cell lung cancer (NSCLC), which accounts for 85% of all cases. With improved survival, however, LC patients are increasingly exposed to competing causes of mortality, among which cardiovascular disease (CVD) is highly prevalent, affecting 30–50% of patients and contributing to nearly 30% of deaths. This burden reflects both shared risk factors and the cardiotoxic potential of radiotherapy, chemotherapy, and immunotherapy. Beyond acute adverse cardiovascular events during treatment, real-world data indicate that immune checkpoint inhibitors (ICIs) may also exert chronic cardiovascular effects, significantly accelerating the atherosclerotic process in multimorbid patients. These findings underscore the importance of accurate baseline assessment and aggressive management of cardiovascular risk factors in LC patients—particularly in the adjuvant and neoadjuvant settings, where longer survival is anticipated. Moreover, long-term monitoring should be implemented through a tailored, multiparametric strategy that integrates novel biomarkers and advanced artificial intelligence–assisted imaging techniques. Achieving this ambitious goal requires the close collaboration of a multidisciplinary team, with cardiologists playing a pivotal role. This review will address the complexity of LC patients, focusing on the interplay of cardio-immuno-metabolic factors, summarizing the cardiovascular impact of immunotherapy across metastatic, locally advanced, and perioperative settings, and outlining practical strategies for the management of these vulnerable patients.</t>
  </si>
  <si>
    <t>Tarantini Luigi,Gallucci Giuseppina,Inno Alessandro,Camerini Andrea,Canale Maria Laura,Larocca Mario,Zanelli Francesca,Pagano Maria,Alberti Giulia,Ciammella Patrizia,Maurea Nicola,Gori Stefania,Navazio Alessandro,Pinto Carmine</t>
  </si>
  <si>
    <t>https://research.ebsco.com/linkprocessor/plink?id=a9f4c88d-69fc-3f2a-8c0d-722879e52982</t>
  </si>
  <si>
    <t>A Novel Machine-Learning-Based Hybrid CNN Model for Tumor Identification in Medical Image Processing</t>
  </si>
  <si>
    <t>The popularization of electronic clinical medical records makes it possible to use automated methods to extract high-value information from medical records quickly. As essential medical information, oncology medical events are composed of attributes that describe malignant tumors. In recent years, oncology medicine event extraction has become a research hotspot in academia. Many academic conferences publish it as an evaluation task and provide a series of high-quality annotation data. This article aims at the characteristics of discrete attributes of tumor-related medical events and proposes a medical event. The standard extraction method realizes the combined extraction of the primary tumor site and primary tumor size characteristics, as well as the extraction of tumor metastasis sites. In addition, given the problems of the small number and types of annotation texts for tumor-related medical events, a key-based approach is proposed. A pseudo-data-generation algorithm that randomly replaces information in the whole domain improves the transfer learning ability of the standard extraction method for different types of tumor-related medical event extractions. The proposed method won third place in the clinical medical event extraction and evaluation task of the CCKS2020 electronic medical record. A large number of experiments on the CCKS2020 dataset verify the effectiveness of the proposed method.</t>
  </si>
  <si>
    <t>Dhiman G,Juneja S,Viriyasitavat W,Mohafez H,Hadizadeh M,Islam MA,El Bayoumy I,Gulati K</t>
  </si>
  <si>
    <t>https://www.webofscience.com/wos/woscc/full-record/WOS:000757405800001</t>
  </si>
  <si>
    <t>electronic medical records; medical event extraction; migration learning; joint extraction</t>
  </si>
  <si>
    <t>SUSTAINABILITY</t>
  </si>
  <si>
    <t>A novel technology for harmonizing and analyzing cancer data. Observations from integrating health connect in Newfoundland and Labrador, Canada</t>
  </si>
  <si>
    <t>Objective: This article aims to describe the implementation of a new health information technology system called Health Connect that is harmonizing cancer data in the Canadian province of Newfoundland and Labrador; explain high-level technical details of this technology; provide concrete examples of how this technology is helping to improve cancer care in the province, and to discuss its future expansion and implications. Methods: We give a technical description of the Health Connect architecture, how it integrated numerous data sources into a single, scalable health information system for cancer data and highlight its artificial intelligence and analytics capacity. Results: We illustrated two practical achievements of Health Connect. First, an analytical dashboard that was used to pinpoint variations in colon cancer screening uptake in small defined geographic regions of the province; and second, a natural language processing algorithm that provided AI-assisted decision support in interpreting appropriate follow-up action based on assessments of breast mammography reports. Conclusion: Health Connect is a cutting-edge, health systems solution for harmonizing cancer screening data for practical decision-making. The long term goal is to integrate all cancer care data holdings into Health Connect to build a comprehensive health information system for cancer care in the province. © The Author(s) 2024.</t>
  </si>
  <si>
    <t>Dowden,J.J.,Pretty,R.W.,Shea,J.M.,Dermody,M.,Doyle,G.,Antle,S.,Bond,D.</t>
  </si>
  <si>
    <t>https://www.scopus.com/inward/record.uri?eid=2-s2.0-85199603021&amp;doi=10.1177%2F14604582241267792&amp;partnerID=40&amp;md5=f34c472c099ed4a5b7acc2c8fabb525a</t>
  </si>
  <si>
    <t>cancer registry,cancer screening,dashboard,data harmonization,data integration,databases and data mining,electronic health record,machine learning</t>
  </si>
  <si>
    <t>Health Informatics Journal</t>
  </si>
  <si>
    <t>A novel web informatics approach for automated surveillance of cancer mortality trends</t>
  </si>
  <si>
    <t>Cancer surveillance data are collected every year in the United States via the National Program of Cancer Registries (NPCR) and the Surveillance, Epidemiology and End Results (SEER) Program of the National Cancer Institute (NCI). General trends are closely monitored to measure the nation's progress against cancer. The objective of this study was to apply a novel web informatics approach for enabling fully automated monitoring of cancer mortality trends. The approach involves automated collection and text mining of online obituaries to derive the age distribution, geospatial, and temporal trends of cancer deaths in the US. Using breast and lung cancer as examples, we mined 23,850 cancer-related and 413,024 general online obituaries spanning the timeframe 2008-2012. There was high correlation between the web-derived mortality trends and the official surveillance statistics reported by NCI with respect to the age distribution (ρ = 0.981 for breast; ρ = 0.994 for lung), the geospatial distribution (ρ = 0.939 for breast; ρ = 0.881 for lung), and the annual rates of cancer deaths (ρ = 0.661 for breast; ρ = 0.839 for lung). Additional experiments investigated the effect of sample size on the consistency of the web-based findings. Overall, our study findings support web informatics as a promising, cost-effective way to dynamically monitor spatiotemporal cancer mortality trends. © 2016 Elsevier Inc.</t>
  </si>
  <si>
    <t>Tourassi,G.D.,Yoon,H.-J.,Xu,S.</t>
  </si>
  <si>
    <t>https://www.scopus.com/inward/record.uri?eid=2-s2.0-84962701015&amp;doi=10.1016%2Fj.jbi.2016.03.027&amp;partnerID=40&amp;md5=e038a0848d938562408a4230d27ee728</t>
  </si>
  <si>
    <t>Breast cancer,Cancer mortality,Digital epidemiology,Lung cancer,Web informatics,Web mining</t>
  </si>
  <si>
    <t>A population-based analysis of attributable hospitalisation costs of invasive fungal diseases in haematological malignancy patients using data linkage of state-wide registry and costing databases: 2009-2015.</t>
  </si>
  <si>
    <t>Invasive fungal diseases (IFD) are associated with significant treatment-related costs in patients with haematological malignancies (HM).</t>
  </si>
  <si>
    <t>Valentine Jake C,Morrissey C Orla,Tacey Mark A,Liew Danny,Patil Sushrut,Ananda-Rajah Michelle</t>
  </si>
  <si>
    <t>https://research.ebsco.com/linkprocessor/plink?id=5fe0da31-e81b-3e53-bd90-85667219d740</t>
  </si>
  <si>
    <t>Victoria,Hematologic Neoplasms complications,Hospitalization economics,Mycoses economics,Adolescent,Adult,Aged,Aspergillosis economics,Case-Control Studies,Cohort Studies,Databases, Factual,Female,Health Care Costs,Humans,Male,Middle Aged,Mucormycosis economics,Mycoses complications,Mycoses therapy,Registries,Retrospective Studies,Victoria,Young Adult</t>
  </si>
  <si>
    <t>Mycoses</t>
  </si>
  <si>
    <t>No usa PLN sobre texto</t>
  </si>
  <si>
    <t>A population-based analysis of invasive fungal disease in haematology-oncology patients using data linkage of state-wide registries and administrative databases: 2005 - 2016</t>
  </si>
  <si>
    <t>Background: Little is known about the morbidity and mortality of invasive fungal disease (IFD) at a population level. The aim of this study was to determine the incidence, trends and outcomes of IFD in all haematology-oncology patients by linking Victorian hospital data to state-based registries. Methods: Episodes of IFD complicating adult haematological malignancy (HM) and haematopoietic stem cell transplantation (HSCT) patients admitted to Victorian hospitals from 1 st July 2005 to 30 th June 2016 were extracted from the Victorian Admitted Episodes Dataset and linked to the date of HM diagnosis from the Victorian Cancer Registry and mortality from the Victorian Death Index. Descriptive analyses and regression modelling were used. Results: There were 619,702 inpatient-episodes among 32,815 HM and 1,765 HSCT-patients. IFD occurring twelve-months from HM-diagnosis was detected in 669 (2.04%) HM-patients and 111 (6.29%) HSCT-recipients, respectively. Median time to IFD-diagnosis was 3, 5, 15 and 22 months in acute myeloid leukaemia, acute lymphoblastic leukaemia, Hodgkin lymphoma and multiple myeloma, respectively. Median survival from IFD-diagnosis was 7, 7 and 3 months for invasive aspergillosis, invasive candidiasis and mucormycosis, respectively. From 2005-2016, IFD incidence decreased 0.28% per 1,000 bed-days. Fungal incidence coincided with spring peaks on time-series analysis. Conclusions: Data linkage is an efficient means of evaluating the epidemiology of a rare disease, however the burden of IFD is likely underestimated, arguing for better quality hospital level surveillance data to improve management strategies. © 2019 The Author(s).</t>
  </si>
  <si>
    <t>Valentine,J.C.,Morrissey,C.O.,Tacey,M.A.,Liew,D.,Patil,S.,Peleg,A.Y.,Ananda-Rajah,M.R.</t>
  </si>
  <si>
    <t>https://www.scopus.com/inward/record.uri?eid=2-s2.0-85063326881&amp;doi=10.1186%2Fs12879-019-3901-y&amp;partnerID=40&amp;md5=5f30a9b2302c74a5276e13d2ebc84f21</t>
  </si>
  <si>
    <t>data linkage,epidemiology,haematological malignancy,haematopoietic stem cell transplantation,Invasive fungal disease</t>
  </si>
  <si>
    <t>BMC Infectious Diseases</t>
  </si>
  <si>
    <t>A population-based study of administrative data linkage to measure melanoma surgical and pathology quality</t>
  </si>
  <si>
    <t>Background Continuous quality improvement is important for cancer systems. However, collecting and compiling quality indicator data can be time-consuming and resource-intensive. Here we explore the utility and feasibility of linked routinely collected health data to capture key elements of quality of care for melanoma in a single-payer, universal health care setting. Method This pilot study utilized a retrospective population-based cohort from a previously developed linked administrative data set, with a 65% random sample of all invasive cutaneous melanoma cases diagnosed 2007-2012 in the province of Ontario. Data from the Ontario Cancer Registry was utilized, supplemented with linked pathology report data from Cancer Care Ontario, and other linked administrative data describing health care utilization. Quality indicators identified through provincial guidelines and international consensus were evaluated for potential collection with administrative data and measured where possible. Results A total of 7,654 cases of melanoma were evaluated. Ten of 25 (40%) candidate quality indicators were feasible to be collected with the available administrative data. Many indicators (8/25) could not be measured due to unavailable clinical information (e.g. width of clinical margins). Insufficient pathology information (6/25) or health structure information (1/25) were less common reasons. Reporting of recommended variables in pathology reports varied from 65.2% (satellitosis) to 99.6% (body location). For stage IB-II or T1b-T4a melanoma patients where SLNB should be discussed, approximately two-thirds met with a surgeon experienced in SLNB. Of patients undergoing full lymph node dissection, 76.2% had adequate evaluation of the basin. Conclusions We found that use of linked administrative data sources is feasible for measurement of melanoma quality in some cases. In those cases, findings suggest opportunities for quality improvement. Consultation with surgeons offering SLNB was limited, and pathology report completeness was sub-optimal, but was prior to routine synoptic reporting. However, to measure more quality indicators, text-based data sources will require alternative approaches to manual collection such as natural language processing or standardized collection. We recommend development of robust data platforms to support continuous reevaluation of melanoma quality indicators, with the goal of optimizing quality of care for melanoma patients on an ongoing basis. © 2022 McKay et al. This is an open access article distributed under the terms of the Creative Commons Attribution License, which permits unrestricted use, distribution, and reproduction in any medium, provided the original author and source are credited.</t>
  </si>
  <si>
    <t>McKay,D.R.,Nguyen,P.,Wang,A.,Hanna,T.P.</t>
  </si>
  <si>
    <t>https://www.scopus.com/inward/record.uri?eid=2-s2.0-85124918432&amp;doi=10.1371%2Fjournal.pone.0263713&amp;partnerID=40&amp;md5=e40f81743d99bbb3149c2b256fee0715</t>
  </si>
  <si>
    <t>A population-based study of administrative data linkage to measure melanoma surgical and pathology quality.</t>
  </si>
  <si>
    <t>The authors have declared that no competing interests exist.</t>
  </si>
  <si>
    <t>McKay Douglas R,Nguyen Paul,Wang Ami,Hanna Timothy P</t>
  </si>
  <si>
    <t>https://research.ebsco.com/linkprocessor/plink?id=733b4f3c-65f1-3d53-97a2-52f08d2b4f2e</t>
  </si>
  <si>
    <t>Melanoma pathology,Population,Quality Assurance, Health Care methods,Adult,Aged,Aged, 80 and over,Facilities and Services Utilization statistics &amp; numerical data,Female,Humans,Male,Medical Records statistics &amp; numerical data,Melanoma surgery,Middle Aged,Quality Indicators, Health Care statistics &amp; numerical data</t>
  </si>
  <si>
    <t>PloS one</t>
  </si>
  <si>
    <t>A Primer into the Current State of Artificial Intelligence in Gastroenterology.</t>
  </si>
  <si>
    <t>Artificial intelligence (AI) is not a new idea or field of research. However, recent advancements in computing technology as well as increasing worldwide experience in applying AI to various fields have enabled us to hope that applying it to the medical practice could improve outcomes. The aim of the article was to evaluate potential applications of AI in the clinical practice of gastroenterology. Artificial intelligence algorithms can offer many benefits over the traditional diagnostic, prognostic, therapeutic scores, or non-AI enhanced procedures that we perform today. It can very easily process complex mathematical data, allow using many parameters and highly sophisticated formulas to determine a conclusion, to a degree that would be impractical or impossible for an unaided human to do alone in the clinical practice. This could permit creating significantly more individualized treatments for each patient. As more data becomes available, it can be fed into the algorithm, changing it based on the new data. However, we must be aware that most studies performed today are still early studies, and that their utility still needs to be evaluated in future large-scale studies. Apart from the medical challenges, it must be noted that the large-scale implementation of AI will have challenges related to ethical and financial aspects as well.</t>
  </si>
  <si>
    <t>Moldoveanu Alexandru Constantin,Fierbințeanu-Braticevici Carmen</t>
  </si>
  <si>
    <t>https://research.ebsco.com/linkprocessor/plink?id=5e5b382f-6f72-346e-b83c-95f898f3bdb1</t>
  </si>
  <si>
    <t>Artificial intelligence,Medical practice,Gastroenterology,Pediatric gastroenterology,Machine learning,Deep learning</t>
  </si>
  <si>
    <t>Journal of Gastrointestinal &amp; Liver Diseases</t>
  </si>
  <si>
    <t>A Question Answering Chatbot for Gastric Cancer Patients After Curative Gastrectomy: Development and Evaluation of User Experience and Performance.</t>
  </si>
  <si>
    <t>Postoperative gastric cancer patients have many questions about managing their daily lives with various symptoms and discomfort. This study aimed to develop a knowledge-based question answering (QA) chatbot for their self-management and to evaluate the user experience and performance of the chatbot. To support the chatbot's natural language processing, we analyzed QA texts from an online self-help group, clinical guidelines, and refined frequently asked questions related to gastric cancer. We developed a named entity classification with seven superconcepts, 4544 subconcepts, and 1415 synonyms. We also developed a knowledge base by linking the users' classified question intents with the experts' answers and knowledge resources, including 677 question intents and scripts with standard QA pairs and similar question phrases. A chatbot called "GastricFAQ" was built, reflecting the question topics of the named entity classification and QA pairs of the knowledge base. User experience evaluation (N = 56) revealed the highest mean score for usefulness (4.41/5.00), with all other items rated 4.00 or higher, except desirability (3.85/5.00). The chatbot's accuracy, precision, recall, and F score ratings were 85.2%, 87.6%, 96.8%, and 92.0%, respectively, with immediate answers. GastricFAQ could be provided as one option to obtain immediate information with relatively high accuracy for postoperative gastric cancer patients.</t>
  </si>
  <si>
    <t>Kim Ae Ran,Park Hyeoun-Ae</t>
  </si>
  <si>
    <t>https://research.ebsco.com/linkprocessor/plink?id=2c9743b6-efdf-37bf-913c-d8c0c663d7d1</t>
  </si>
  <si>
    <t>Stomach Neoplasms surgery,Stomach Neoplasms psychology,Gastrectomy,Humans,Natural Language Processing,Self Care,Surveys and Questionnaires,Female,Patient Education as Topic methods,Self-Help Groups,Knowledge Bases,Male</t>
  </si>
  <si>
    <t>Computers, informatics, nursing : CIN</t>
  </si>
  <si>
    <t>A Question-and-Answer System to Extract Data From Free-Text Oncological Pathology Reports (CancerBERT Network): Development Study</t>
  </si>
  <si>
    <t>Background: Information in pathology reports is critical for cancer care. Natural language processing (NLP) systems used to extract information from pathology reports are often narrow in scope or require extensive tuning. Consequently, there is growing interest in automated deep learning approaches. A powerful new NLP algorithm, bidirectional encoder representations from transformers (BERT), was published in late 2018. BERT set new performance standards on tasks as diverse as question answering, named entity recognition, speech recognition, and more. Objective: The aim of this study is to develop a BERT-based system to automatically extract detailed tumor site and histology information from free-text oncological pathology reports. Methods: We pursued three specific aims: extract accurate tumor site and histology descriptions from free-text pathology reports, accommodate the diverse terminology used to indicate the same pathology, and provide accurate standardized tumor site and histology codes for use by downstream applications. We first trained a base language model to comprehend the technical language in pathology reports. This involved unsupervised learning on a training corpus of 275,605 electronic pathology reports from 164,531 unique patients that included 121 million words. Next, we trained a question-and-answer (Q&amp;A) model that connects a Q&amp;A layer to the base pathology language model to answer pathology questions. Our Q&amp;A system was designed to search for the answers to two predefined questions in each pathology report: What organ contains the tumor? and What is the kind of tumor or carcinoma? This involved supervised training on 8197 pathology reports, each with ground truth answers to these 2 questions determined by certified tumor registrars. The data set included 214 tumor sites and 193 histologies. The tumor site and histology phrases extracted by the Q&amp;A model were used to predict International Classification of Diseases for Oncology, Third Edition (ICD-O-3), site and histology codes. This involved fine-tuning two additional BERT models: one to predict site codes and another to predict histology codes. Our final system includes a network of 3 BERT-based models. We call this CancerBERT network (caBERTnet). We evaluated caBERTnet using a sequestered test data set of 2050 pathology reports with ground truth answers determined by certified tumor registrars. Results: caBERTnet's accuracies for predicting group-level site and histology codes were 93.53% (1895/2026) and 97.6% (1993/2042), respectively. The top 5 accuracies for predicting fine-grained ICD-O-3 site and histology codes with 5 or more samples each in the training data set were 92.95% (1794/1930) and 96.01% (1853/1930), respectively. Conclusions: We have developed an NLP system that outperforms existing algorithms at predicting ICD-O-3 codes across an extensive range of tumor sites and histologies. Our new system could help reduce treatment delays, increase enrollment in clinical trials of new therapies, and improve patient outcomes. © 2022 Journal of Medical Internet Research. All rights reserved.</t>
  </si>
  <si>
    <t>Mitchell,J.R.,Szepietowski,P.,Howard,R.,Reisman,P.,Jones,J.D.,Lewis,P.,Fridley,B.L.,Rollison,D.E.</t>
  </si>
  <si>
    <t>https://www.scopus.com/inward/record.uri?eid=2-s2.0-85126844804&amp;doi=10.2196%2F27210&amp;partnerID=40&amp;md5=3f959506331958bc07af3cd53cb24c2c</t>
  </si>
  <si>
    <t>BERT,cancer,deep learning,ICD-O-3,natural language processing,NLP,pathology,transformer</t>
  </si>
  <si>
    <t>Journal of Medical Internet Research</t>
  </si>
  <si>
    <t>A Shared Care Model between community and transplant centers facilitates access to allogeneic and autologous transplantation</t>
  </si>
  <si>
    <t>Access to allogeneic and autologous hematopoietic stem cell transplantation (SCT) remains inadequate despite its curative potential across hematologic malignancies. In 2015, Hartford HealthCare (HHC) and the Memorial Sloan Kettering Cancer Center (MSK) established the Shared Care Model (SCM) with a primary aim of enhancing SCT access for HHC patients. The SCM comprises several components: an SCT-dedicated nurse-navigator, a health-information exchange for record sharing, telemedicine, and ongoing training of HHC clinicians in transplant patient selection and management. We evaluated the SCM’s impact on SCT access across 126 patients with acute leukemia, myelodysplastic syndrome, and multiple myeloma from 2016-2020. The SCM facilitated 34 referrals. Socio-economic status of HHC referrals by Area Deprivation Index was significantly inferior (38 vs. 14, p &lt; 0.001) when compared to 3,108 non-SCM referrals to MSK during the same period. Allogeneic recipients spent 68-247 days away from home, and autologous recipients 15-48, both requiring few subsequent visits to MSK. © 2024 Informa UK Limited, trading as Taylor &amp; Francis Group.</t>
  </si>
  <si>
    <t>Fein,J.A.,McAuliffe,A.,Fischer,K.,Brady,O.,Devlin,S.M.,Willumsen,S.,Ozcan,G.,Montanaro,P.,Pristyazhnyuk,Y.,DiGiuseppe,J.,Lahoud,O.B.,Perales,M.-A.,Pfister,D.G.,Giralt,S.,Dailey,M.,Yu,P.,Sauter,C.S.</t>
  </si>
  <si>
    <t>https://www.scopus.com/inward/record.uri?eid=2-s2.0-85210911227&amp;doi=10.1080%2F10428194.2024.2434171&amp;partnerID=40&amp;md5=ee6a5e56021b7b27ac27c4ac01cffba0</t>
  </si>
  <si>
    <t>acute myeloid leukemia,allogeneic stem cell transplantation,Healthcare disparities,multiple myeloma,myelodysplastic syndrome,transplantation access</t>
  </si>
  <si>
    <t>Leukemia and Lymphoma</t>
  </si>
  <si>
    <t>A Shared Care Model between community and transplant centers facilitates access to allogeneic and autologous transplantation.</t>
  </si>
  <si>
    <t>Access to allogeneic and autologous hematopoietic stem cell transplantation (SCT) remains inadequate despite its curative potential across hematologic malignancies. In 2015, Hartford HealthCare (HHC) and the Memorial Sloan Kettering Cancer Center (MSK) established the Shared Care Model (SCM) with a primary aim of enhancing SCT access for HHC patients. The SCM comprises several components: an SCT-dedicated nurse-navigator, a health-information exchange for record sharing, telemedicine, and ongoing training of HHC clinicians in transplant patient selection and management. We evaluated the SCM's impact on SCT access across 126 patients with acute leukemia, myelodysplastic syndrome, and multiple myeloma from 2016-2020. The SCM facilitated 34 referrals. Socio-economic status of HHC referrals by Area Deprivation Index was significantly inferior (38 vs. 14, &lt;i&gt;p&lt;/i&gt; &lt; 0.001) when compared to 3,108 non-SCM referrals to MSK during the same period. Allogeneic recipients spent 68-247 days away from home, and autologous recipients 15-48, both requiring few subsequent visits to MSK.</t>
  </si>
  <si>
    <t>Fein Joshua A,McAuliffe Agnes,Fischer Kimberly,Brady Owen,Devlin Sean M,Willumsen Silvia,Ozcan Gonca,Montanaro Pat,Pristyazhnyuk Yelena,DiGiuseppe Joseph,Lahoud Oscar B,Perales Miguel-Angel,Pfister David G,Giralt Sergio,Dailey Mark,Yu Peter Paul,Sauter Craig Steven</t>
  </si>
  <si>
    <t>https://research.ebsco.com/linkprocessor/plink?id=66da9465-2605-3ebd-8dd5-0766399d7a08</t>
  </si>
  <si>
    <t>Hematopoietic Stem Cell Transplantation methods,Health Services Accessibility,Humans,Male,Transplantation, Autologous,Female,Middle Aged,Transplantation, Homologous,Aged,Adult,Referral and Consultation</t>
  </si>
  <si>
    <t>Leukemia &amp; lymphoma</t>
  </si>
  <si>
    <t>A survey of NLP methods for oncology in the past decade with a focus on cancer registry applications</t>
  </si>
  <si>
    <t>Clinical texts from pathology and radiology reports provide critical information for cancer diagnosis and staging. This study surveys the application of natural language processing (NLP) in cancer registry operations from 2014 to 2024. A total of 156 articles from Scopus and PubMed were reviewed and were categorized by NLP methods, document types, cancer sites, and research aims. NLP approaches were evenly distributed across rule-based (n=70), machine learning (n=66), and traditional deep learning (n=70), with transformer models (n=29) gaining prominence since 2019. Encoder-only models like BERT and its clinical adaptations (e.g., ClinicalBERT, RadBERT) show significant promise, though methods for increasing context length are needed. Decoder-only models (e.g., GPT-3, GPT-4) are less explored due to privacy concerns and computational demands. Notably, pediatric cancers, melanomas, and lymphomas are underrepresented, as are research areas such as disease progression, clinical trial matching, and patient communication. Multi-modal models, important for precision oncology and cancer screening, are also scarce. Our study highlights the potential of NLP to enhance data abstraction efficiency and accuracy in cancer registries, making greater use of cancer registry data for patient benefit. However, further research is needed to fully leverage transformer-based models, particularly for underrepresented cancer types and outcomes. Addressing these gaps can improve the timeliness, completeness, and accuracy of structured data collection from clinical text, ultimately enhancing cancer research and patient outcomes. © The Author(s) 2025.</t>
  </si>
  <si>
    <t>Hands,I.,Kavuluru,R.</t>
  </si>
  <si>
    <t>https://www.scopus.com/inward/record.uri?eid=2-s2.0-105010723386&amp;doi=10.1007%2Fs10462-025-11316-5&amp;partnerID=40&amp;md5=8b6187808440515ddf62719016bfc436</t>
  </si>
  <si>
    <t>Cancer,Cancer registries,Clinical text,Natural language processing,Transformers</t>
  </si>
  <si>
    <t>Artificial Intelligence Review</t>
  </si>
  <si>
    <t>A systematic review of clinical health conditions predicted by machine learning diagnostic and prognostic models trained or validated using real-world primary health care data.</t>
  </si>
  <si>
    <t>With the advances in technology and data science, machine learning (ML) is being rapidly adopted by the health care sector. However, there is a lack of literature addressing the health conditions targeted by the ML prediction models within primary health care (PHC) to date. To fill this gap in knowledge, we conducted a systematic review following the PRISMA guidelines to identify health conditions targeted by ML in PHC. We searched the Cochrane Library, Web of Science, PubMed, Elsevier, BioRxiv, Association of Computing Machinery (ACM), and IEEE Xplore databases for studies published from January 1990 to January 2022. We included primary studies addressing ML diagnostic or prognostic predictive models that were supplied completely or partially by real-world PHC data. Studies selection, data extraction, and risk of bias assessment using the prediction model study risk of bias assessment tool were performed by two investigators. Health conditions were categorized according to international classification of diseases (ICD-10). Extracted data were analyzed quantitatively. We identified 106 studies investigating 42 health conditions. These studies included 207 ML prediction models supplied by the PHC data of 24.2 million participants from 19 countries. We found that 92.4% of the studies were retrospective and 77.3% of the studies reported diagnostic predictive ML models. A majority (76.4%) of all the studies were for models' development without conducting external validation. Risk of bias assessment revealed that 90.8% of the studies were of high or unclear risk of bias. The most frequently reported health conditions were diabetes mellitus (19.8%) and Alzheimer's disease (11.3%). Our study provides a summary on the presently available ML prediction models within PHC. We draw the attention of digital health policy makers, ML models developer, and health care professionals for more future interdisciplinary research collaboration in this regard.</t>
  </si>
  <si>
    <t>Abdulazeem Hebatullah,Whitelaw Sera,Schauberger Gunther,Klug Stefanie J.</t>
  </si>
  <si>
    <t>https://research.ebsco.com/linkprocessor/plink?id=e9f41ca0-845f-35cc-957f-9fe83652e215</t>
  </si>
  <si>
    <t>Prognostic models,Primary health care,Machine learning,Medical personnel,Alzheimer's disease,Nosology,Data extraction</t>
  </si>
  <si>
    <t>A Text Mining Approach in the Classification of Free-Text Cancer Pathology Reports from the South African National Health Laboratory Services.</t>
  </si>
  <si>
    <t>A cancer pathology report is a valuable medical document that provides information for clinical management of the patient and evaluation of health care. However, there are variations in the quality of reporting in free-text style formats, ranging from comprehensive to incomplete reporting. Moreover, the increasing incidence of cancer has generated a high throughput of pathology reports. Hence, manual extraction and classification of information from these reports can be intrinsically complex and resource-intensive. This study aimed to (i) evaluate the quality of over 80,000 breast, colorectal, and prostate cancer free-text pathology reports and (ii) assess the effectiveness of random forest (RF) and variants of support vector machine (SVM) in the classification of reports into benign and malignant classes. The study approach comprises data preprocessing, visualisation, feature selections, text classification, and evaluation of performance metrics. The performance of the classifiers was evaluated across various feature sizes, which were jointly selected by four filter feature selection methods. The feature selection methods identified established clinical terms, which are synonymous with each of the three cancers. Uni-gram tokenisation using the classifiers showed that the predictive power of RF model was consistent across various feature sizes, with overall F-scores of 95.2%, 94.0%, and 95.3% for breast, colorectal, and prostate cancer classification, respectively. The radial SVM achieved better classification performance compared with its linear variant for most of the feature sizes. The classifiers also achieved high precision, recall, and accuracy. This study supports a nationally agreed standard in pathology reporting and the use of text mining for encoding, classifying, and production of high-quality information abstractions for cancer prognosis and research.</t>
  </si>
  <si>
    <t>Achilonu Okechinyere J.,Olago Victor,Singh Elvira,Eijkemans René M. J. C.,Nimako Gideon,Musenge Eustasius</t>
  </si>
  <si>
    <t>https://research.ebsco.com/linkprocessor/plink?id=bb77ffb7-d62e-3998-85b4-8e0a244caf70</t>
  </si>
  <si>
    <t>Tumor classification,Gleason grading system,Feature selection,Support vector machines,Pathology,Random forest algorithms</t>
  </si>
  <si>
    <t>Abstract.</t>
  </si>
  <si>
    <t>This document contains summaries of various studies and articles related to blood transfusion and related topics. The studies cover a range of subjects, including blood supply challenges, transfusion safety, blood component quality control, and transfusion practices. The findings provide valuable insights into current research and developments in the field of blood transfusion, highlighting the importance of improving safety, efficiency, and availability of blood products for transfusion. Further research is needed to fully understand the implications of these findings.</t>
  </si>
  <si>
    <t>https://research.ebsco.com/linkprocessor/plink?id=40ec5ebd-cb57-3f74-9847-08931cf411e2</t>
  </si>
  <si>
    <t>Blood transfusion reaction,HIV seroconversion,Medical personnel,Science museums,Scientific literature,Scientific knowledge,Women in science,Museums,History and science museums</t>
  </si>
  <si>
    <t>Vox Sanguinis</t>
  </si>
  <si>
    <t>Abstracts from 13th Georg Rajka International Symposium on Atopic Dermatitis, Gdańsk, Poland August 31–September 2, 2023.</t>
  </si>
  <si>
    <t>https://research.ebsco.com/linkprocessor/plink?id=660cf57c-d5db-3c15-a046-af5b31bde6f6</t>
  </si>
  <si>
    <t>Acta Dermato-Venereologica</t>
  </si>
  <si>
    <t>Abstracts from the 2020 Annual Meeting of the Society of General Internal Medicine.</t>
  </si>
  <si>
    <t>https://research.ebsco.com/linkprocessor/plink?id=cd5ccfa4-83c4-32f6-b32e-7cd0089c1254</t>
  </si>
  <si>
    <t>Journal of general internal medicine</t>
  </si>
  <si>
    <t>Abstracts from the 2020 Society for Neuro-Oncology’s Virtual Annual Scientific Meeting and Education Day.</t>
  </si>
  <si>
    <t>https://research.ebsco.com/linkprocessor/plink?id=cc231acb-9862-3e14-8680-cd47d2dad77d</t>
  </si>
  <si>
    <t>Neuro-Oncology</t>
  </si>
  <si>
    <t>Abstracts from the 2021 Annual Meeting of the Society of General Internal Medicine.</t>
  </si>
  <si>
    <t>https://research.ebsco.com/linkprocessor/plink?id=022ad827-84fe-3a5c-81b6-3436f5b7e61f</t>
  </si>
  <si>
    <t>Abstracts from the 2022 Annual Meeting of the Society of General Internal Medicine.</t>
  </si>
  <si>
    <t>https://research.ebsco.com/linkprocessor/plink?id=cfd46359-9fdb-32cf-9aa1-602d3a0985d0</t>
  </si>
  <si>
    <t>JGIM: Journal of General Internal Medicine</t>
  </si>
  <si>
    <t>Abstracts from the 2023 Annual Meeting of the Society of General Internal Medicine.</t>
  </si>
  <si>
    <t>https://research.ebsco.com/linkprocessor/plink?id=6669b875-1a20-3f10-861e-e8a710b07d8d</t>
  </si>
  <si>
    <t>Abstracts from the 2024 Society for Neuro-Oncology's 29th Annual Meeting and Education Day.</t>
  </si>
  <si>
    <t>https://research.ebsco.com/linkprocessor/plink?id=9a408b74-3679-328e-ad8e-e16b07311113</t>
  </si>
  <si>
    <t>ABSTRACTS FROM THE 22ND ANNUAL SCIENTIFIC MEETING AND EDUCATION DAY OF THE SOCIETY FOR NEURO-ONCOLOGY, NOVEMBER 16 - 19, 2017, SAN FRANCISCO, CALIFORNIA INCLUDING ABSTRACTS FROM THE SOCIETY FOR NEURO-ONCOLOGY (SNO) AND THE SOCIETY FOR CNS INTERSTITIAL DELIVERY OF THERAPEUTICS (SCIDOT) JOINT CONFERENCE ON THERAPEUTIC DELIVERY TO THE CNS, NOVEMBER 15 - 16, 2017.</t>
  </si>
  <si>
    <t>https://research.ebsco.com/linkprocessor/plink?id=2d93ab5e-f14c-335f-96a7-b586f4706cce</t>
  </si>
  <si>
    <t>Abstracts of the 41st European Congress of Cytopathology, Madrid, Spain, 10 - 13 June 2018.</t>
  </si>
  <si>
    <t>https://research.ebsco.com/linkprocessor/plink?id=ab62be20-a83a-3ec4-87b7-707a19913f59</t>
  </si>
  <si>
    <t>Cytopathology : official journal of the British Society for Clinical Cytology</t>
  </si>
  <si>
    <t>Abstracts of the 79th Annual Meeting of the Japanese Cancer Association; 2020 Oct 1-3; Hiroshima, Japan as Cancer Science, Supplement 1, Vol 112 (2021).</t>
  </si>
  <si>
    <t>https://research.ebsco.com/linkprocessor/plink?id=ccc33161-2cc2-3886-a7c7-e7f98b29f06d</t>
  </si>
  <si>
    <t>Cancer science</t>
  </si>
  <si>
    <t>Abstracts.</t>
  </si>
  <si>
    <t>https://research.ebsco.com/linkprocessor/plink?id=7e896137-1276-3b0c-8f5c-00ed4c33b509</t>
  </si>
  <si>
    <t>Helicobacter</t>
  </si>
  <si>
    <t>Accelerated training of bootstrap aggregation-based deep information extraction systems from cancer pathology reports.</t>
  </si>
  <si>
    <t>In machine learning, it is evident that the classification of the task performance increases if bootstrap aggregation (bagging) is applied. However, the bagging of deep neural networks takes tremendous amounts of computational resources and training time. The research question that we aimed to answer in this research is whether we could achieve higher task performance scores and accelerate the training by dividing a problem into sub-problems.</t>
  </si>
  <si>
    <t>Yoon Hong-Jun,Klasky Hilda B,Gounley John P,Alawad Mohammed,Gao Shang,Durbin Eric B,Wu Xiao-Cheng,Stroup Antoinette,Doherty Jennifer,Coyle Linda,Penberthy Lynne,Blair Christian J,Tourassi Georgia D</t>
  </si>
  <si>
    <t>https://research.ebsco.com/linkprocessor/plink?id=9db67dec-2ece-35cb-af37-36c971d4b80f</t>
  </si>
  <si>
    <t>Neoplasms,Neural Networks, Computer,Computing Methodologies,Humans,Information Storage and Retrieval,Machine Learning</t>
  </si>
  <si>
    <t>Journal of biomedical informatics</t>
  </si>
  <si>
    <t>AcceSS and Equity in Transplantation (ASSET) New Zealand: Protocol for population-wide data linkage platform to investigate equity in access to kidney failure health services in New Zealand</t>
  </si>
  <si>
    <t>Background Kidney transplantation is considered the ideal treatment for most people with kidney failure, conferring both survival and quality of life advantages, and is more cost effective than dialysis. Yet, current health systems may serve some people better than others, creating inequities in access to kidney failure treatments and health outcomes. AcceSS and Equity in Transplantation (ASSET) investigators aim to create a linked data platform to facilitate research enquiry into equity of health service delivery for people with kidney failure in New Zealand. Methods The New Zealand Ministry of Health will use patients' National Health Index (NHI) numbers to deterministically link individual records held in existing registry and administrative health databases in New Zealand to create the data platform. The initial data linkage will include a study population of incident patients captured in the Australia and New Zealand Dialysis and Transplant Registry (ANZDATA), New Zealand Blood Service Database and the Australia and New Zealand Living Kidney Donor Registry (ANZLKD) from 2006 to 2019 and their linked health data. Health data sources will include National Non-Admitted Patient Collection Data, National Minimum Dataset, Cancer Registry, Programme for the Integration of Mental Health Data (PRIMHD), Pharmaceutical Claims Database and Mortality Collection Database. Initial exemplar studies include 1) kidney waitlist dynamics and pathway to transplantation; 2) impact of mental illness on accessing kidney waitlist and transplantation; 3) health service use of living donors following donation. Conclusion The AcceSS and Equity in Transplantation (ASSET) linked data platform will provide opportunity for population-based health services research to examine equity in health care delivery and health outcomes in New Zealand. It also offers potential to inform future service planning by identifying where improvements can be made in the current health system to promote equity in access to health services for those in New Zealand. © 2022 Cutting et al. This is an open access article distributed under the terms of the Creative Commons Attribution License, which permits unrestricted use, distribution, and reproduction in any medium, provided the original author and source are credited.</t>
  </si>
  <si>
    <t>Cutting,R.B.,Webster,A.C.,Cross,N.B.,Dunckley,H.,Beaglehole,B.,Dittmer,I.,Irvine,J.,Walker,C.,Jones,M.,Wyld,M.,Kelly,P.J.,Wyburn,K.,De La Mata,N.L.</t>
  </si>
  <si>
    <t>https://www.scopus.com/inward/record.uri?eid=2-s2.0-85136978423&amp;doi=10.1371%2Fjournal.pone.0273371&amp;partnerID=40&amp;md5=570a7b10d8ced2c6171bfcb9dd60eb25</t>
  </si>
  <si>
    <t>Accurate pattern-based extraction of complex Gleason score expressions from pathology reports.</t>
  </si>
  <si>
    <t>The Gleason score is an important grading factor of prostate cancer. Gleason scores can be extracted from pathology report texts using regular expressions, but previously developed programmes have targeted only relatively simple Gleason score expressions. We developed a programme capable of extracting also complex expressions. The programme is relatively easy to adapt to other languages and datasets.</t>
  </si>
  <si>
    <t>Miettinen Joonas,Tanskanen Tomas,Degerlund Henna,Nevala Aapeli,Malila Nea,Pitkäniemi Janne</t>
  </si>
  <si>
    <t>https://research.ebsco.com/linkprocessor/plink?id=e52c4478-b91d-32a5-a489-297fbcfee56a</t>
  </si>
  <si>
    <t>Finland,Prostatic Neoplasms,Finland,Humans,Male,Neoplasm Grading,Research Report</t>
  </si>
  <si>
    <t>Adaptive RAG-Assisted MRI Platform (ARAMP) for Brain Metastasis Detection and Reporting: A Retrospective Evaluation Using Post-Contrast T1-Weighted Imaging.</t>
  </si>
  <si>
    <t>This study aimed to develop and evaluate an AI-driven platform, the Adaptive RAG Assistant MRI Platform (ARAMP), for assisting in the diagnosis and reporting of brain metastases using post-contrast axial T1-weighted (AX_T1+C) MRI. In this retrospective study, 2447 cancer patients who underwent MRI between 2010 and 2022 were screened. A subset of 100 randomized patients with confirmed brain metastases and 100 matched non-cancer controls were selected for evaluation. ARAMP integrates quantitative radiomic feature extraction with an adaptive Retrieval-Augmented Generation (RAG) framework based on a large language model (LLM, GPT-4o), incorporating five authoritative medical references. Three board-certified neuroradiologists and an independent LLM (Gemini 2.0 Pro) assessed ARAMP performance. Metrics of the assessment included Pre-/Post-Trained Inference Difference, Inter-Inference Agreement, and Sensitivity. Post-training, ARAMP achieved a mean Inference Similarity score of 67.45%. Inter-Inference Agreement among radiologists averaged 30.20% (p = 0.01). Sensitivity for brain metastasis detection improved from 0.84 (pre-training) to 0.98 (post-training). ARAMP also showed improved reliability in identifying brain metastases as the primary diagnosis post-RAG integration. This adaptive RAG-based framework may improve diagnostic efficiency and standardization in radiological workflows.</t>
  </si>
  <si>
    <t>Wu Kuo-Chen,Chew Fatt Yang,Cheng Kang-Lun,Shen Wu-Chung,Yeh Pei-Chun,Kao Chia-Hung,Guo Wan-Yuo,Chang Shih-Sheng</t>
  </si>
  <si>
    <t>https://research.ebsco.com/linkprocessor/plink?id=c16f8a3a-e286-32ca-8828-051145b50ac3</t>
  </si>
  <si>
    <t>Brain metastasis,Magnetic resonance imaging,Cancer patients,Neuroradiology,Diagnosis,Artificial intelligence,Computer-assisted image analysis (Medicine),Diagnostic Imaging Centers</t>
  </si>
  <si>
    <t>Adequate effectiveness of ribociclib plus letrozole or fulvestrant in patients with advanced or metastatic hormone receptor-positive, human epidermal growth factor receptor 2-negative breast cancer treated in routine Bulgarian clinical practice.</t>
  </si>
  <si>
    <t>Randomized controlled trials (RCTs) are typically conducted in highly selected patient populations to ideally demonstrate unconfounded clinical efficacy of a drug. In the real world, there may be confounding factors, such as comorbidities or less frequent monitoring. It has therefore become standard practice in many countries to validate findings from RCTs against available real-world datasets. The present analysis investigated a real-world evidence (RWE) cohort of Bulgarian patients treated with ribociclib in combination with letrozole or fulvestrant and compared the clinical benefit rate (CBR, defined as complete remission [CR] or partial remission [PR] or stable disease [SD]) and progression-free survival (PFS) and overall survival (OS) with pivotal RCTs. Data from 812 patients treated between 2018 and 2022 were used. The number of patients at risk was statistically robust to compare PFS and OS during the earlier periods of the real-world data analysis with the corresponding RCTs. Baseline characteristics (age, hormone receptor status, status of newly diagnosed vs. existing, previous treatments, performance status and tumor stage) were largely comparable between the RWE cohort and the RCTs. The RWE cohorts corroborated RCT findings of a CBR benefit of the ribociclib plus letrozole or fulvestrant combination compared to letrozole or fulvestrant alone. In the periods of adequate statistical robustness, PFS and OS were comparable within 95% confidence intervals (CIs) with RCT findings. This analysis found that patients with comparable characteristics use ribociclib in the real-world similarly to what has been investigated in the RCTs. Real-world effectiveness and outcomes of ribociclib combination therapy were comparable with observations from RCTs.</t>
  </si>
  <si>
    <t>Manova Manoela,Arabadjiev Jeliazko,Mangaldzhiev Radoslav,Dudov Assen,Penchev Daniel,Hemetsberger Margit,Sharkov Arkadi,Zidarova Boryana,Apostolova Dimitrina,Vasileva Maria,Terezova Silvia,Vlaskovska Mila,Savova Alexandra</t>
  </si>
  <si>
    <t>https://research.ebsco.com/linkprocessor/plink?id=e40b92f1-3683-3adb-a391-b9cfeb43b6aa</t>
  </si>
  <si>
    <t>Epidermal growth factor receptors,Hormone receptors,Fulvestrant,Breast cancer,Letrozole,Bulgaria</t>
  </si>
  <si>
    <t>Biotechnology &amp; Biotechnological Equipment</t>
  </si>
  <si>
    <t>Adjuvant chemotherapy for low-clinical-risk breast cancer defined by modified version of adjuvant! Online: A propensity score matched seer analysis</t>
  </si>
  <si>
    <t>Background: The purpose of this research was to investigate whether the modified version of Adjuvant! Online was able to omit chemotherapy (CT) for patients with hormone receptor (HR)-positive, human epidermal growth factor receptor 2 (HER2)-negative, and axillary node-negative breast cancer, who are defined as low clinical risk. Methods: From 2010 to 2014, HR-positive, HER2-negative, and node-negative breast cancer patients aged 50 years and older were retrieved from the Surveillance, Epidemiology, and End Results (SEER) 18 database. The propensity score matching method was applied between the no-CT and CT groups. Overall survival (OS) was evaluated using Kaplan-Meier analysis and compared across groups using a log-rank test. Results: A total of 48,857 patients were enrolled. After propensity score matching, the numbers of patients in the no-CT and CT groups were both 3,102. The median follow-up period was 37 months. The 5-year OS rates in the no-CT and CT groups were 92 and 91%, respectively (p = 0.066). In the subgroup with a tumor score (tumor size added to tumor grade) of 2-3, OS was significantly higher in the no-CT group than in the CT group (93 vs. 90%, p &lt; 0.001). In the subgroup with a tumor score of 4, OS was not different between these 2 groups (92 vs. 93%, p = 0.47). Conclusion: This retrospective study provides evidence that CT may not be beneficial to patients 50 years of age or older with HR-positive, HER2-negative, axillary node-negative breast cancer and additionally defined as low clinical risk by a modified version of Adjuvant! Online. © 2020</t>
  </si>
  <si>
    <t>Huang,J.,Wu,Z.,Zhang,Z.,Li,J.,Li,Y.,Ren,G.</t>
  </si>
  <si>
    <t>https://www.scopus.com/inward/record.uri?eid=2-s2.0-85104874637&amp;doi=10.1159%2F000506697&amp;partnerID=40&amp;md5=dea64c8bb973dec76f991f421cd65d9b</t>
  </si>
  <si>
    <t>Adjuvant chemotherapy,Adjuvant! Online,Breast cancer,Risk factors,SEER database</t>
  </si>
  <si>
    <t>Breast Care</t>
  </si>
  <si>
    <t>Adolescent body mass index and risk of colon and rectal cancer in a cohort of 1.79 million Israeli men and women: A population-based study</t>
  </si>
  <si>
    <t>BACKGROUND: This study examined the association between the body mass index (BMI) in late adolescence and the risk of colon and rectal cancer. METHODS: This study analyzed a cohort of 1,087,358 Jewish men and 707,212 Jewish women who underwent health examinations at the ages of 16 to 19 years between 1967 and 2002 and were followed by linkage to the national cancer registry up to 2012. Cox regression was used to estimate hazard ratios (HRs) for cancer according to age- and sex-adjusted BMI percentiles from the US Centers for Disease Control and Prevention (overweight, 85th percentile to &lt;95th percentile; obesity, ≥95th percentile). RESULTS: Over a median follow-up of 23 years, 2967 incidence cases of colorectal cancer, including 1977 among men (1403 in the colon and 574 in the rectum) and 990 among women (764 in the colon and 226 in the rectum), were identified. Overweight and obesity were associated with the risk for colon cancer among both men (HR for overweight, 1.53; 95% confidence interval [CI], 1.28-1.84; HR for obesity, 1.54; 95% CI, 1.15-2.06; statistically significant from a BMI of 23.4 kg/m2 [spline analysis]) and women (HR for overweight, 1.54; 95% CI, 1.22-1.93; HR for obesity, 1.51; 95% CI, 0.89-2.57; significant from a BMI of 23.6 kg/m2). Obesity, but not overweight, was associated with a risk for rectal cancer among men (HR, 1.71; 95% CI, 1.11-2.65; significant from a BMI of 29.6 kg/m2) and women (HR, 2.03; 95% CI, 0.90-4.58; significant from a BMI of 30.6 kg/m2). CONCLUSIONS: Being overweight or obese in adolescence was associated with an increased risk of subsequent colon cancers in men and women, whereas obesity was associated with rectal cancer. Cancer 2017;123:4022-30. © 2017 American Cancer Society. © 2017 American Cancer Society</t>
  </si>
  <si>
    <t>Levi,Z.,Kark,J.D.,Katz,L.H.,Twig,G.,Derazne,E.,Tzur,D.,Leibovici-Weissman,Y.,Leiba,A.,Lipshiez,I.,Keinan-Boker,L.,Afek,A.</t>
  </si>
  <si>
    <t>https://www.scopus.com/inward/record.uri?eid=2-s2.0-85030239934&amp;doi=10.1002%2Fcncr.30819&amp;partnerID=40&amp;md5=5e0d2717b1330321a2bad73161f4819c</t>
  </si>
  <si>
    <t>adolescence,body mass index (BMI),colorectal cancer,obesity,overweight</t>
  </si>
  <si>
    <t>Cancer</t>
  </si>
  <si>
    <t>Advanced deep learning-based brain tumor classification using a novel customized CNN and optimized residual network.</t>
  </si>
  <si>
    <t>The uncontrollable and rapid growth of brain cells can lead to brain tumors. If left untreated, this condition may result in severe health consequences, including death. Accurate detection and classification are the essential steps toward understanding their mechanisms and ensuring effective treatment. Both tasks are challenging, with brain tumor detection being more complex due to variations in tumor size, structure, and location. Many scholars have employed machine learning and deep learning methods for brain tumor detection. Deep learning (DL) methods provide robust solutions for the detection and classification of brain tumors. Large volumes of healthcare imaging data can be analyzed using these techniques to identify and characterize tumors with high accuracy, often surpassing human performance. In this study, we propose two deep learning models, a novel customized Convolutional Neural Network (CNN) and an optimized ResNet101, to classify brain tumor images into four categories: gliomas, pituitary tumors, meningiomas, and no tumor. We used an MRI image dataset from Kaggle, consisting of 3,264 images. We performed five-fold cross-validation on the training and validation set, and a separate test set was used for final evaluation. The average training accuracy across the five-fold was 99.03±0.01% for the novel customized CNN and 99.87±0.03% for optimized ResNet101, and the average validation accuracy was 96.31±0.01% and 97.23±0.03%, respectively. After the cross-validation, the best-performing fold was then selected and evaluated on the test set, achieving training accuracies of 99.05%, 99.91% and testing accuracies of 97.72%, 98.73%, respectively. The optimized ResNet model achieved the highest performance among the two proposed models. Overall, these findings demonstrate the potential of deep learning models in supporting clinical decision-making for brain tumor classification, which may improve survival rates and human health outcomes.</t>
  </si>
  <si>
    <t>Rasheed Mehwish,Iqbal Sajid,Jaffar Arfan,Akram Sheeraz</t>
  </si>
  <si>
    <t>https://research.ebsco.com/linkprocessor/plink?id=c5018bb0-fd6a-36a4-8407-ac7f453db8a4</t>
  </si>
  <si>
    <t>Deep learning,Convolutional neural networks,Brain tumors,Magnetic resonance imaging,Machine learning,Classification,Medical care,Diagnostic Imaging Centers</t>
  </si>
  <si>
    <t>Advancing Brain Tumor Classification through Fine-Tuned Vision Transformers: A Comparative Study of Pre-Trained Models.</t>
  </si>
  <si>
    <t>This paper presents a comprehensive study on the classification of brain tumor images using five pre-trained vision transformer (ViT) models, namely R50-ViT-l16, ViT-l16, ViT-l32, ViT-b16, and ViT-b32, employing a fine-tuning approach. The objective of this study is to advance the state-of-the-art in brain tumor classification by harnessing the power of these advanced models. The dataset utilized for experimentation consists of a total of 4855 images in the training set and 857 images in the testing set, encompassing four distinct tumor classes. The performance evaluation of each model is conducted through an extensive analysis encompassing precision, recall, F1-score, accuracy, and confusion matrix metrics. Among the models assessed, ViT-b32 demonstrates exceptional performance, achieving a high accuracy of 98.24% in accurately classifying brain tumor images. Notably, the obtained results outperform existing methodologies, showcasing the efficacy of the proposed approach. The contributions of this research extend beyond conventional methods, as it not only employs cutting-edge ViT models but also surpasses the performance of existing approaches for brain tumor image classification. This study not only demonstrates the potential of ViT models in medical image analysis but also provides a benchmark for future research in the field of brain tumor classification.</t>
  </si>
  <si>
    <t>Asiri Abdullah A.,Shaf Ahmad,Ali Tariq,Pasha Muhammad Ahmad,Aamir Muhammad,Irfan Muhammad,Alqahtani Saeed,Alghamdi Ahmad Joman,Alghamdi Ali H.,Alshamrani Abdullah Fahad A.,Alelyani Magbool,Alamri Sultan</t>
  </si>
  <si>
    <t>https://research.ebsco.com/linkprocessor/plink?id=afe5b745-01d5-35fc-a395-baaeac912f9f</t>
  </si>
  <si>
    <t>Transformer models,Tumor classification,Brain tumors,Image recognition (Computer vision),Image analysis</t>
  </si>
  <si>
    <t>Agreement and validity of asbestos-related cancers in the hospital information system of the brazilian unified health system; Concordância e validade dos diagnósticos de cânceres associados ao asbesto no sistema de informação hospitalar do sistema único de saúde</t>
  </si>
  <si>
    <t>Objective: To estimate the degree of agreement and validity of diagnoses of asbestos-related malignant neoplasms registered in the Hospital Information System of the Brazilian Unified Health System (SIH/SUS), in comparison to the Hospital Cancer Registries of the State of São Paulo (HCR/SP). Methods: Deaths with records of malignant neoplasms associated with asbestos were identified and extracted from SIH/ SUS between 2007 and 2014. Deaths in cases registered in the HCR/SP were extracted for the same period. The databases were linked using software Link Plus. A single ICD-10-coded diagnosis selected from each system was analyzed. The proportion of agreement, and the sensitivity, specificity and predictive values were estimated. Results: 19,458 pairs were found with records in both bases. The proportion of agreement was high, ranging from 92.4% for the unknown primary site, to 99.7% for cancer of the pleura. The Kappa Index ranged from 0.05 (95%CI 0.04 – 0.07) for cancer of the pleura to 0.85 (95%CI 0.84 – 0.87) for lung cancer. Sensitivity varied from 0.08 (95%CI 0.01 – 0.25) for cancer of the pleura, to 0.90 (95%CI 0.90 – 0.91) for lung cancer. Conclusion: Diagnosis of asbestos-related malignancies reached higher levels of agreement and validity when common. Rare diagnoses showed low accuracy in SIH/SUS. © 2021 Associação Brasileira de Saúde Coletiva.</t>
  </si>
  <si>
    <t>Silva,D.R.M.,Luizaga,C.T.M.,Toporcov,T.N.,Algranti,E.</t>
  </si>
  <si>
    <t>https://www.scopus.com/inward/record.uri?eid=2-s2.0-85114753497&amp;doi=10.1590%2F1980-549720210044&amp;partnerID=40&amp;md5=202e5d389608bc546fecf427e8d017b0</t>
  </si>
  <si>
    <t>Asbestos,Health information interoperability,Information storage and retrieval,Neoplasms</t>
  </si>
  <si>
    <t>Revista Brasileira de Epidemiologia</t>
  </si>
  <si>
    <t>Agreement between the danish cancer registry and the danish lung cancer registry</t>
  </si>
  <si>
    <t>Introduction: The Danish Cancer Registry (DCR) and the Danish Lung Cancer Registry (DLCR) are nation-wide registries recording Danish patients with lung cancer (LC). The aim of this study was to assess data agreement and possible consequences hereof on estimation of survival between patients in the two registries. Methods: Descriptive statistics were used for comparison of registered patients in 2013-2014 in the DCR and the DLCR. Furthermore, the one-year relative survival (1y-RS) and Cox proportional mortality hazard rates (MRR) were calculated. Results: In 2013-2014, a total of 9,111 Danish residents were identified with LC in the DCR and 9,316 were found in the DLCR. Merging the two registries showed an agreement of 87%, whereas 6% were included only in the DCR and 8% only in the DLCR. Including patients only registered in one registry, but who seemed to meet the inclusion criteria of both registries, would increase the agreement to 95%. No differences were seen for 1y-RS. However, MRR for patients in the DLCR was significantly lower than for patients in the DCR: 0.94 (95% confidence interval: 0.91-0.98). Conclusions: Surprisingly, the DCR registered fewer patients in 2013-2014 than the DLCR, even though they employ the same primary data source. The agreement between the DCR and the DLCR was 87%; this may be increased to 95% if patients who seemed to meet the inclusion criteria of the other register were also included. The discrepancies found were mainly due to different definitions of dates of diagnosis, registrations probably missed by the algorithms and possible registration errors. Discrepancies resulted in a significant difference in MRR, but not in 1y-RS. Funding: none. Trial registration: not relevant. © 2020, Danish Medical Association. All rights reserved.</t>
  </si>
  <si>
    <t>Christensen,J.,Kejs,A.M.T.,Schmidt,L.K.H.,Sogaard,J.,Rasted,M.C.,Andersen,O.,Jakobsen,E.</t>
  </si>
  <si>
    <t>https://www.scopus.com/inward/record.uri?eid=2-s2.0-85088907680&amp;partnerID=40&amp;md5=bcd6e6ce3d8dfb753ec383300f9f9335</t>
  </si>
  <si>
    <t>Danish Medical Journal</t>
  </si>
  <si>
    <t>AHD2FHIR: A Tool for Mapping of Natural Language Annotations to Fast Healthcare Interoperability Resources - A Technical Case Report.</t>
  </si>
  <si>
    <t>A significant portion of data in Electronic Health Records is only available as unstructured text, such as surgical or finding reports, clinical notes and discharge summaries. To use this data for secondary purposes, natural language processing (NLP) tools are required to extract structured information. Furthermore, for interoperable use, harmonization of the data is necessary. HL7 Fast Healthcare Interoperability Resources (FHIR), an emerging standard for exchanging healthcare data, defines such a structured format. For German-language medical NLP, the tool Averbis Health Discovery (AHD) represents a comprehensive solution. AHD offers a proprietary REST interface for text analysis pipelines. To build a bridge between FHIR and this interface, we created a service that translates the communication around AHD from and to FHIR. The application is available under an open source license.</t>
  </si>
  <si>
    <t>Scheible Raphael,Caliskan Deniz,Fischer Patrick,Thomczyk Fabian,Zabka Susanne,Schneider Henning,Boeker Martin,Schulz Stefan,Prokosch Hans-Ulrich,Gulden Christian</t>
  </si>
  <si>
    <t>https://research.ebsco.com/linkprocessor/plink?id=6a26642a-eae8-33e4-a2a0-f8a01ae08cf9</t>
  </si>
  <si>
    <t>Electronic Health Records,Natural Language Processing,Delivery of Health Care,Health Level Seven,Humans,Language</t>
  </si>
  <si>
    <t>AML-402 Global Epidemiology and Impact of Genetic Variants in Adult Patients With Newly Diagnosed or Relapsed/Refractory Acute Myeloid Leukemia or Myelodysplastic Syndrome: A Targeted Literature Review</t>
  </si>
  <si>
    <t>Context: AML is an orphan hematological disease. Epidemiology, and data on genetic subgroups that impact prognosis, improves understanding of global disease burden. Objective: Identify and consolidate incidence, prevalence, and mortality data in adult AML/MDS patients through targeted literature review (TLR). Design: TLR of published data from the past 5 years. Sources included PubMed, ISPOR, ASH, ASCO, AACR, EHA, ESMO, and SOHO. Patients: Newly diagnosed (ND), relapsed/refractory (R/R) AML or MDS. Main Outcome Measures: Incidence, prevalence, mortality. Results: Fifty-two publications were identified. Studies reported AML, MDS, or both, including ND and R/R. US 5-year age-adjusted AML incidence was 4.1 per 100,000, with a 2019 prevalence of 69,700. MDS incidence ranged from 2.9 per 100,000 cases in Sweden to 7.81 per 100,000 in US Caucasians; the US age-adjusted prevalence was 58,835 in 2019. SEER reported 5-year age-adjusted mortality for AML of 2.7 per 100,000; MDS was not reported. AML and MDS mortality increase with age: the lowest 5-year relative survival rates were in patients over 75, 3.2% for AML and 30.6% for MDS (all IPSS taken together). OS in patients with MDS was reported per IPSS score. Novel treatments target IDH, FLT3, and NPM1 alterations. Fourteen studies reported genetic variants in AML; 2 in MDS. Genetic mutations impacted OS and relapse risk: IDH2+ve patients had lower OS than wild-type (23 vs. 72 months, P=0.0093), and FLT3-ITD indicated poorer survival in patients &lt;60 years (P=0.00003), whereas IDH2/DNMT3A co-mutation conferred a higher relapse risk (100% vs. 48%, P=0.0063). In AML, 2-year mortality was higher in Black patients (39%) than in White (28%) or Hispanic patients (27%). In MDS, racial differences in mutation rates were NPM1: 1% (White), 3% (Hispanic), 8% (Black) (P=0.004), and IDH2: 3% (Hispanic), 5% (White), 8% (Black) (P=0.013), and there were OS differences: median OS was 35, 31, and 52.5 months for White, Black, and Hispanic patients, respectively (P=0.01). Genetic differences in patients with MDS may link to different OS in racial subgroups. Conclusions: AML and MDS are rare diseases, and clinical outcomes are impacted by cytogenetics that vary with race. There remains a high unmet need for patients with AML and MDS; novel treatments are needed to improve patient outcomes. © 2022 Elsevier Inc.</t>
  </si>
  <si>
    <t>Monga,N.,Carley,L.,McAllister,K.,Nelson,L.,Loefgren,C.</t>
  </si>
  <si>
    <t>https://www.scopus.com/inward/record.uri?eid=2-s2.0-85138219579&amp;doi=10.1016%2FS2152-2650%2822%2901289-7&amp;partnerID=40&amp;md5=8e0a72fbe2e9c72180c914f70ff027eb</t>
  </si>
  <si>
    <t>AML,epidemiology,genetics,MDS</t>
  </si>
  <si>
    <t>Clinical Lymphoma, Myeloma and Leukemia</t>
  </si>
  <si>
    <t>An Association of Cancer Physicians' strategy for improving services and outcomes for cancer patients.</t>
  </si>
  <si>
    <t>The Association of Cancer Physicians in the United Kingdom has developed a strategy to improve outcomes for cancer patients and identified the goals and commitments of the Association and its members.</t>
  </si>
  <si>
    <t>Baird Richard,Banks Ian,Cameron David,Chester John,Earl Helena,Flannagan Mark,Januszewski Adam,Kennedy Richard,Payne Sarah,Samuel Emlyn,Taylor Hannah,Agarwal Roshan,Ahmed Samreen,Archer Caroline,Board Ruth,Carser Judith,Copson Ellen,Cunningham David,Coleman Rob,Dangoor Adam</t>
  </si>
  <si>
    <t>https://research.ebsco.com/linkprocessor/plink?id=b05fcecc-514e-3f5e-932e-2dbc10ca9be6</t>
  </si>
  <si>
    <t>Cancer patient medical care,Cancer treatment,Specialty (except Psychiatric and Substance Abuse) Hospitals</t>
  </si>
  <si>
    <t>An Automated Method for Identifying Individuals with a Lung Nodule Can Be Feasibly Implemented Across Health Systems.</t>
  </si>
  <si>
    <t>Introduction: The incidence of incidentally detected lung nodules is rapidly rising, but little is known about their management or associated patient outcomes. One barrier to studying lung nodule care is the inability to efficiently and reliably identify the cohort of interest (i.e. cases). Investigators at Kaiser Permanente Southern California (KPSC) recently developed an automated method to identify individuals with an incidentally discovered lung nodule, but the feasibility of implementing this method across other health systems is unknown. Methods: A random sample of Group Health (GH) members who had a computed tomography in 2012 underwent chart review to determine if a lung nodule was documented in the radiology report. A previously developed natural language processing (NLP) algorithm was implemented at our site using only knowledge of the key words, qualifiers, excluding terms, and the logic linking these parameters. Results: Among 499 subjects, 156 (31%, 95% confidence interval [CI] 27-36%) had an incidentally detected lung nodule. NLP identified 189 (38%, 95% CI 33-42%) individuals with a nodule. The accuracy of NLP at GH was similar to its accuracy at KPSC: sensitivity 90% (95% CI 85-95%) and specificity 86% (95% CI 82-89%) versus sensitivity 96% (95% CI 88-100%) and specificity 86% (95% CI 75-94%). Conclusion: Automated methods designed to identify individuals with an incidentally detected lung nodule can feasibly and independently be implemented across health systems. Use of these methods will likely facilitate the efficient conduct of multi-site studies evaluating practice patterns and associated outcomes.</t>
  </si>
  <si>
    <t>Farjah Farhood,Halgrim Scott,Buist Diana S. M.,Gould Michael K.,Zeliadt Steven B.,Loggers Elizabeth T.,Carrell David S.</t>
  </si>
  <si>
    <t>https://research.ebsco.com/linkprocessor/plink?id=73e604f3-fc08-3ca1-b240-d941d469d087</t>
  </si>
  <si>
    <t>Pulmonary nodules,Solitary pulmonary nodule,Southern California</t>
  </si>
  <si>
    <t>An extensible big data software architecture managing a research resource of real-world clinical radiology data linked to other health data from the whole Scottish population.</t>
  </si>
  <si>
    <t>Aim To enable a world-leading research dataset of routinely collected clinical images linked to other routinely collected data from the whole Scottish national population. This includes more than 30 million different radiological examinations from a population of 5.4 million and &gt;2 PB of data collected since 2010. Methods Scotland has a central archive of radiological data used to directly provide clinical care to patients. We have developed an architecture and platform to securely extract a copy of those data, link it to other clinical or social datasets, remove personal data to protect privacy, and make the resulting data available to researchers in a controlled Safe Haven environment. Results An extensive software platform has been developed to host, extract, and link data from cohorts to answer research questions. The platform has been tested on 5 different test cases and is currently being further enhanced to support 3 exemplar research projects. Conclusions The data available are from a range of radiological modalities and scanner types and were collected under different environmental conditions. These real-world, heterogenous data are valuable for training algorithms to support clinical decision making, especially for deep learning where large data volumes are required. The resource is now available for international research access. The platform and data can support new health research using artificial intelligence and machine learning technologies, as well as enabling discovery science.</t>
  </si>
  <si>
    <t>Nind Thomas,Sutherland James,McAllister Gordon,Hardy Douglas,Hume Ally,MacLeod Ruairidh,Caldwell Jacqueline,Krueger Susan,Tramma Leandro,Teviotdale Ross,Abdelatif Mohammed,Gillen Kenny,Ward Joe,Scobbie Donald,Baillie Ian,Brooks Andrew,Prodan Bianca,Kerr William,Sloan-Murphy Dominic,Herrera Juan F R</t>
  </si>
  <si>
    <t>https://research.ebsco.com/linkprocessor/plink?id=b1383ca4-4784-3483-9ceb-7bd514097d96</t>
  </si>
  <si>
    <t>Big data,Radiology,Acquisition of data,Software architecture,Deep learning,Artificial intelligence,Patient care,Computer systems design and related services (except video game design and development)</t>
  </si>
  <si>
    <t>GigaScience</t>
  </si>
  <si>
    <t>An information model for computable cancer phenotypes.</t>
  </si>
  <si>
    <t>Standards, methods, and tools supporting the integration of clinical data and genomic information are an area of significant need and rapid growth in biomedical informatics. Integration of cancer clinical data and cancer genomic information poses unique challenges, because of the high volume and complexity of clinical data, as well as the heterogeneity and instability of cancer genome data when compared with germline data. Current information models of clinical and genomic data are not sufficiently expressive to represent individual observations and to aggregate those observations into longitudinal summaries over the course of cancer care. These models are acutely needed to support the development of systems and tools for generating the so called clinical "deep phenotype" of individual cancer patients, a process which remains almost entirely manual in cancer research and precision medicine.</t>
  </si>
  <si>
    <t>Hochheiser Harry,Castine Melissa,Harris David,Savova Guergana,Jacobson Rebecca S</t>
  </si>
  <si>
    <t>https://research.ebsco.com/linkprocessor/plink?id=9c963a77-e090-3202-9ac2-f556db3c86c5</t>
  </si>
  <si>
    <t>Computational Biology methods,Models, Theoretical,Neoplasms classification,Phenotype,Humans</t>
  </si>
  <si>
    <t>An Order-Sensitive Hierarchical Neural Model for Early Lung Cancer Detection Using Dutch Primary Care Notes and Structured Data.</t>
  </si>
  <si>
    <t>Simple Summary: The research aims to improve early detection of lung cancer by developing better prediction models using free-text notes from doctor consultations, which capture the context and order of words and sentences. The authors created two models: one using only text and another combining text with clinical data. These models were tested on a large dataset of patients, with the combined model performing slightly better, accurately identifying high-risk patients who might need further testing. The findings show that these models could help doctors detect lung cancer earlier. The models should be validated in other populations before being adopted into clinical practice. Background: Improving prediction models to timely detect lung cancer is paramount. Our aim is to develop and validate prediction models for early detection of lung cancer in primary care, based on free-text consultation notes, that exploit the order and context among words and sentences. Methods: Data of all patients enlisted in 49 general practices between 2002 and 2021 were assessed, and we included those older than 30 years with at least one free-text note. We developed two models using a hierarchical architecture that relies on attention and bidirectional long short-term memory networks. One model used only text, while the other combined text with clinical variables. The models were trained on data excluding the five months leading up to the diagnosis, using target replication and a tuning set, and were tested on a separate dataset for discrimination, PPV, and calibration. Results: A total of 250,021 patients were enlisted, with 1507 having a lung cancer diagnosis. Included in the analysis were 183,012 patients, of which 712 had the diagnosis. From the two models, the combined model showed slightly better performance, achieving an AUROC on the test set of 0.91, an AUPRC of 0.05, and a PPV of 0.034 (0.024, 0.043), and showed good calibration. To early detect one cancer patient, 29 high-risk patients would require additional diagnostic testing. Conclusions: Our models showed excellent discrimination by leveraging the word and sentence structure. Including clinical variables in addition to text slightly improved performance. The number needed to treat holds promise for clinical practice. Investigating external validation and model suitability in clinical practice is warranted.</t>
  </si>
  <si>
    <t>Vagliano Iacopo,Rios Miguel,Abukmeil Mohanad,Schut Martijn C.,Luik Torec T.,van Asselt Kristel M.,van Weert Henk C. P. M.,Abu-Hanna Ameen</t>
  </si>
  <si>
    <t>https://research.ebsco.com/linkprocessor/plink?id=bb833ba1-f54b-3bec-b402-66825f596577</t>
  </si>
  <si>
    <t>Prediction models,Academic medical centers,Research funding,Family medicine,Receiver operating characteristic curves,Early detection of cancer,Primary health care,Scientific observation,Natural language processing,Retrospective studies,Descriptive statistics,Longitudinal method,Lung tumors,Computer-aided diagnosis,Medical records,Artificial neural networks,Prediction algorithms,Detection algorithms,Vocabulary,Machine learning,Medical referrals,Netherlands</t>
  </si>
  <si>
    <t>Analysis and visualization of disease courses in a semantically-enabled cancer registry.</t>
  </si>
  <si>
    <t>Background: Regional and epidemiological cancer registries are important for cancer research and the quality management of cancer treatment. Many technological solutions are available to collect and analyse data for cancer registries nowadays. However, the lack of a well-defined common semantic model is a problem when user-defined analyses and data linking to external resources are required. The objectives of this study are: (1) design of a semantic model for local cancer registries; (2) development of a semantically-enabled cancer registry based on this model; and (3) semantic exploitation of the cancer registry for analysing and visualising disease courses. Results: Our proposal is based on our previous results and experience working with semantic technologies. Data stored in a cancer registry database were transformed into RDF employing a process driven by OWL ontologies. The semantic representation of the data was then processed to extract semantic patient profiles, which were exploited by means of SPARQL queries to identify groups of similar patients and to analyse the disease timelines of patients. Based on the requirements analysis, we have produced a draft of an ontology that models the semantics of a local cancer registry in a pragmatic extensible way. We have implemented a Semantic Web platform that allows transforming and storing data from cancer registries in RDF. This platform also permits users to formulate incremental user-defined queries through a graphical user interface. The query results can be displayed in several customisable ways. The complex disease timelines of individual patients can be clearly represented. Different events, e.g. different therapies and disease courses, are presented according to their temporal and causal relations. Conclusion: The presented platform is an example of the parallel development of ontologies and applications that take advantage of semantic web technologies in the medical field. The semantic structure of the representation renders it easy to analyse key figures of the patients and their evolution at different granularity levels.</t>
  </si>
  <si>
    <t>Esteban-Gil Angel,Fernández-Breis Jesualdo Tomás,Boeker Martin</t>
  </si>
  <si>
    <t>https://research.ebsco.com/linkprocessor/plink?id=8a1eec3b-deef-3d08-b47a-daab24390584</t>
  </si>
  <si>
    <t>Cancer treatment,Semantic Web</t>
  </si>
  <si>
    <t>Journal of Biomedical Semantics</t>
  </si>
  <si>
    <t>Analysis of 10 years of open, laparoscopic, and robotic rectal surgeries in the community setting</t>
  </si>
  <si>
    <t>Background: Colorectal cancer is the fourth most common cancer in the US. Many of these patients will require operations. Although there is significant data in the literature that supports minimally invasive colorectal operations in the academic setting, few studies have examined their performance in community hospitals. Methods: Data was collected from a high-volume, university-affiliated, community center. Our Cancer Registry Database was queried to include any patients that had rectal surgery at our institution from 2010 to 2020. One hundred-twenty-two patients were identified and reviewed retrospectively. Main outcome measures include estimated blood loss (EBL), blood transfusion, time to first bowel movement, oncologic resection, length of stay (LOS), survival, and cost analysis. Results: Both robotic and laparoscopic operations resulted in lower average EBL, less blood transfusions, and less time to first bowel movement (p = 0.003, 0.006, 0.003, respectively). There was no significant difference in ability to achieve R0 resection, adequate lymph node retrieval, and adequate total mesorectal excision (TME, p = 0.856, 0.489, 0.500, respectively). LOS was significantly shorter for minimally invasive operations, 4.35 vs 8.48 days, and average survival was longest for laparoscopic operations at 7.19 years as compared to 5.55 years for open operations (p &lt; 0.001, 0.026, respectively). Cost was lowest for robotic operations (0.003). Conclusions: Minimally invasive rectal operations, especially robotic, lead to better short- and long-term outcomes, equivalent oncologic resection, and are more cost-effective as compared to open operations even in the community setting, supporting continued performance and growth of robotic colorectal operations in the community setting. Key message: Although there is significant data in the literature that supports minimally invasive colorectal operations in the academic setting, few studies have examined their performance in community hospitals as this study does. This study found that minimally invasive rectal operations, especially robotic, lead to better short- and long-term outcomes, equivalent oncologic resection, and are more cost-effective as compared to open operations even in the community setting, supporting continued performance and growth of robotic colorectal operations in the community setting. © 2023</t>
  </si>
  <si>
    <t>Cooper,L.E.,Morant,L.,Anderson,M.,Bedra,M.,Boutros,C.N.</t>
  </si>
  <si>
    <t>https://www.scopus.com/inward/record.uri?eid=2-s2.0-85176441744&amp;doi=10.1016%2Fj.sopen.2023.10.011&amp;partnerID=40&amp;md5=310a01fb911a2e45d809e1be1120213b</t>
  </si>
  <si>
    <t>Colorectal,Community,Laparoscopic surgery,Minimally invasive surgery,Rectal cancer,Robotic surgery</t>
  </si>
  <si>
    <t>Surgery Open Science</t>
  </si>
  <si>
    <t>Analyzing discrete competing risks data with partially overlapping or independent data sources and nonstandard sampling schemes, with application to cancer registries</t>
  </si>
  <si>
    <t>This paper demonstrates the flexibility of a general approach for the analysis of discrete time competing risks data that can accommodate complex data structures, different time scales for different causes, and nonstandard sampling schemes. The data may involve a single data source where all individuals contribute to analyses of both cause-specific hazard functions, overlapping datasets where some individuals contribute to the analysis of the cause-specific hazard function of only one cause while other individuals contribute to analyses of both cause-specific hazard functions, or separate data sources where each individual contributes to the analysis of the cause-specific hazard function of only a single cause. The approach is modularized into estimation and prediction. For the estimation step, the parameters and the variance-covariance matrix can be estimated using widely available software. The prediction step utilizes a generic program with plug-in estimates from the estimation step. The approach is illustrated with three prognostic models for stage IV male oral cancer using different data structures. The first model uses only men with stage IV oral cancer from population-based registry data. The second model strategically extends the cohort to improve the efficiency of the estimates. The third model improves the accuracy for those with a lower risk of other causes of death, by bringing in an independent data source collected under a complex sampling design with additional other-cause covariates. These analyses represent novel extensions of existing methodology, broadly applicable for the development of prognostic models capturing both the cancer and noncancer aspects of a patient's health. © 2019 John Wiley &amp; Sons, Ltd.</t>
  </si>
  <si>
    <t>Lee,M.,Feuer,E.J.,Wang,Z.,Cho,H.,Zou,Z.,Hankey,B.F.,Mariotto,A.B.,Fine,J.P.</t>
  </si>
  <si>
    <t>https://www.scopus.com/inward/record.uri?eid=2-s2.0-85074609544&amp;doi=10.1002%2Fsim.8381&amp;partnerID=40&amp;md5=aa78da6e67eabeef17d7e790fc707d21</t>
  </si>
  <si>
    <t>absolute risk prediction,cause-specific hazard function,discrete time,likelihood inference,multiple time scales,survey sampling</t>
  </si>
  <si>
    <t>Statistics in Medicine</t>
  </si>
  <si>
    <t>Application of Artificial Intelligence in Lung Cancer.</t>
  </si>
  <si>
    <t>Simple Summary: Lung cancer is the leading cause of malignancy-related mortality worldwide. AI has the potential to help to treat lung cancer from detection, diagnosis and decision making to prognosis prediction. AI could reduce the labor work of LDCT, CXR, and pathology slides reading. AI as a second reader in LDCT and CXR reading reduces the effort of radiologists and increases the accuracy of nodule detection. Introducing AI to WSI in digital pathology increases the Kappa value of the pathologist and help to predict molecular phenotypes with radiomics and H&amp;E staining. By extracting radiomics from image data and WSI from the histopathology field, clinicians could use AI to predict tumor properties such as gene mutation and PD-L1 expression. Furthermore, AI could help clinicians in decision-making by predicting treatment response, side effects, and prognosis prediction in medical treatment, surgery, and radiotherapy. Integrating AI in the future clinical workflow would be promising. Lung cancer is the leading cause of malignancy-related mortality worldwide due to its heterogeneous features and diagnosis at a late stage. Artificial intelligence (AI) is good at handling a large volume of computational and repeated labor work and is suitable for assisting doctors in analyzing image-dominant diseases like lung cancer. Scientists have shown long-standing efforts to apply AI in lung cancer screening via CXR and chest CT since the 1960s. Several grand challenges were held to find the best AI model. Currently, the FDA have approved several AI programs in CXR and chest CT reading, which enables AI systems to take part in lung cancer detection. Following the success of AI application in the radiology field, AI was applied to digitalized whole slide imaging (WSI) annotation. Integrating with more information, like demographics and clinical data, the AI systems could play a role in decision-making by classifying EGFR mutations and PD-L1 expression. AI systems also help clinicians to estimate the patient's prognosis by predicting drug response, the tumor recurrence rate after surgery, radiotherapy response, and side effects. Though there are still some obstacles, deploying AI systems in the clinical workflow is vital for the foreseeable future.</t>
  </si>
  <si>
    <t>Chiu Hwa-Yen,Chao Heng-Sheng,Chen Yuh-Min</t>
  </si>
  <si>
    <t>https://research.ebsco.com/linkprocessor/plink?id=7db27821-3e44-30e4-9227-b1a922cc34cd</t>
  </si>
  <si>
    <t>Chest X rays,Artificial intelligence,Early detection of cancer,Lung tumors,Machine learning,Survival analysis (Biometry),Computed tomography,Irradiation Apparatus Manufacturing</t>
  </si>
  <si>
    <t>Application of Rupantaran software to Sri Lankan hospitals: an innovative tool developed to merge population-based cancer registry data into CanReg5</t>
  </si>
  <si>
    <t>The purpose of a population-based cancer registry is to provide information on the disease burden for cancer control planning and is essential in studies on assessing the effectiveness of prevention, early detection, screening and cancer care interventions, where implemented. Sri Lanka is one of the Member States of the World Health Organisation’s South-East Asia Region and receives technical support for cancer registration from the International Agency for Research on Cancer (IARC), and the IARC Regional Hub based at the Tata Memorial Centre in Mumbai, India. For data management of cancer registry records, Sri Lanka National Cancer Registry (SLNCR) uses the open-source registry software tool, CanReg5, as developed by IARC. The SLNCR has received data from 25 centres located across the country. Inputted data from the respective centres was then exported from various CanReg5 systems to the main centre in Colombo. As the import to the central CanReg5 system held in the capital is manual, the records were manually modified to avoid any duplicate entries, and the quality of data was compromised. To overcome this issue, a new software tool, Rupantaran, has been created and developed by IARC Regional Hub, Mumbai to help merge the records from different centres. Rupantaran was tested and implemented successfully at the SLNCR with 47,402 merged records. The Rupantaran software has proven beneficial in maintaining the quality of cancer registry data by avoiding manual errors, thus enabling rapid analysis and dissemination, a limiting factor previously. © the authors.</t>
  </si>
  <si>
    <t>Sawant,P.,Perera,S.,Jayanthi,K.G.N.,Ziyad,A.I.A.,Saoba,S.,Ervik,M.,Mery,L.,Bray,F.,Dikshit,R.,Budukh,A.</t>
  </si>
  <si>
    <t>https://www.scopus.com/inward/record.uri?eid=2-s2.0-85164686825&amp;doi=10.3332%2Fecancer.2023.1553&amp;partnerID=40&amp;md5=71f445affa4134aa8c19a4ca447e4d08</t>
  </si>
  <si>
    <t>cancer control,CanReg5 software,India,population-based cancer registry,Sri Lanka</t>
  </si>
  <si>
    <t>ecancermedicalscience</t>
  </si>
  <si>
    <t>Application of Text Information Extraction System for Real-Time Cancer Case Identification in an Integrated Healthcare Organization.</t>
  </si>
  <si>
    <t>There are no conflicts of interest.</t>
  </si>
  <si>
    <t>Xie Fagen,Lee Janet,Munoz-Plaza Corrine E,Hahn Erin E,Chen Wansu</t>
  </si>
  <si>
    <t>https://research.ebsco.com/linkprocessor/plink?id=7f005d2e-c107-35a7-a690-06e41cdc690a</t>
  </si>
  <si>
    <t>Journal of pathology informatics</t>
  </si>
  <si>
    <t>Architecture and Implementation of a Clinical Research Data Warehouse for Prostate Cancer.</t>
  </si>
  <si>
    <t>Electronic health record (EHR) based research in oncology can be limited by missing data and a lack of structured data elements. Clinical research data warehouses for specific cancer types can enable the creation of more robust research cohorts.</t>
  </si>
  <si>
    <t>Seneviratne Martin G,Seto Tina,Blayney Douglas W,Brooks James D,Hernandez-Boussard Tina</t>
  </si>
  <si>
    <t>https://research.ebsco.com/linkprocessor/plink?id=94b90375-347e-3cbc-8013-aee690bfa115</t>
  </si>
  <si>
    <t>EGEMS (Washington, DC)</t>
  </si>
  <si>
    <t>Artificial Intelligence and Auditing: Trends in scientific literature.</t>
  </si>
  <si>
    <t>Background and objectives: Artificial intelligence has established itself as a disruptive force in a wide range of industries, including auditing. Over the last decade, Artificial Intelligence has demonstrated its ability to automate tasks, identify complex patterns, and improve the accuracy of audit processes. The fundamental purpose of this study is to summarize and present the scientific studies of research related to artificial intelligence and auditing worldwide. Methods: A bibliometric analysis was carried out covering a period of 37 years, from 1984 to 2022. To analyze and present the results, the Biblioshiny bibliometric analysis package was used, supported by the R Studio program, as well as the VOSviewer software, taking into account 306 articles and literature reviews. This quantitative approach allowed us to identify patterns and trends in the research. Findings: The results reflect important changes in the number of annual publications by recording that 70.91% of the documents were published in the last 7 years (2016 to 2022) and only 29.08% were published in the 30 years between 1984 and 2015. Furthermore, among the 234 scientific journals with related publications, the eight main ones are identified, which concentrate 12.8% of the publications and accumulate 12.5% of the citations. The most numerous cluster, represented in red, highlighting the top 10 "audit", "Audit Quality", "Auditing", "Big Data", "Big Data Analytics", "Blockchain", "Computers", "Data Mining", "Decision Making. Conclusion: This research allows to characterize the scientific production related to artificial intelligence and auditing, considering the temporal evolution, general characteristics, research networks with authors and institutions, as well as the most relevant clusters in this field.</t>
  </si>
  <si>
    <t>Fajardo-Pereira J.,Toscano-Hernández A.,García-Alarcón H.,Llanos J.</t>
  </si>
  <si>
    <t>https://research.ebsco.com/linkprocessor/plink?id=0796db94-7021-3033-a392-93f8bafea31d</t>
  </si>
  <si>
    <t>Artificial intelligence,Auditing,Artificial intelligence in business,Big data,Data mining,Automation,Scientific literature,Bibliometrics</t>
  </si>
  <si>
    <t>Panorama Económico</t>
  </si>
  <si>
    <t>Artificial Intelligence and Machine Learning in Oncology: Historical Overview of Documents Indexed in the Web of Science Database</t>
  </si>
  <si>
    <t>Objectives: Artificial Intelligence (Al) and Machine Learning (ML) are innovations contributing to the diagnosis and treatment of cancer. The aim is to present an overview of Al and ML application in oncology research. Methods: Data was retrieved from the web of science. Bibliometrics and R packages and VOSviwer software was used for mapping and network analysis. Results: 214 publications were retrieved written by 1161 authors and published in 133 journals from 1988 to 2021. There has been a steadily increasing trend of research over the past years. Al and ML in oncology research have attracted the interest of the scientific community and the readership.The first ranked documents received a 173 citations score. It covers hot topics related to common mistakes in diagnostic classification in clinical and the potential future opportunities for precision oncology using Al. Aneja S and Thompson RF from the USA are the most productive author. Frontiers in Oncology is the most productive Journal. The United States is leading the research effort on the topics, followed by Korea.The collaboration and network between countries in AL or ML in oncology research were documented. Conclusion: Al and ML in oncology research have attracted the interest of of the scientific community and readership. The trend of research has been steadily increasing globally.</t>
  </si>
  <si>
    <t>Musa IH,Zamit I,Okeke M,Akintunde T,Musa TH</t>
  </si>
  <si>
    <t>https://www.webofscience.com/wos/woscc/full-record/WOS:000703452600007</t>
  </si>
  <si>
    <t>Artificial Intelligence; bibliometric analysis; machine learning; oncology</t>
  </si>
  <si>
    <t>EURASIAN JOURNAL OF MEDICINE AND ONCOLOGY</t>
  </si>
  <si>
    <t>Artificial intelligence for early detection of lung cancer in GPs' clinical notes: a retrospective observational cohort study</t>
  </si>
  <si>
    <t>Background The journey of &gt;80% of patients diagnosed with lung cancer starts in general practice. About 75% of patients are diagnosed when it is at an advanced stage (3 or 4), leading to &gt;80% mortality within 1 year at present. The long-term data in GP records might contain hidden information that could be used for earlier case finding of patients with cancer. Aim To develop new prediction tools that improve the risk assessment for lung cancer. Design and setting Text analysis of electronic patient data using natural language processing and machine learning in the general practice files of four networks in the Netherlands. Method Files of 525 526 patients were analysed, of whom 2386 were diagnosed with lung cancer. Diagnoses were validated by using the Dutch cancer registry, and both structured and free-text data were used to predict the diagnosis of lung cancer 5 months before diagnosis (4 months before referral). Results The algorithm could facilitate earlier detection of lung cancer using routine general practice data. Discrimination, calibration, sensitivity, and specificity were established under various cut-off points of the prediction 5 months before diagnosis. Internal validation of the best model demonstrated an area under the curve of 0.88 (95% confidence interval [CI] = 0.86 to 0.89), which shrunk to 0.79 (95% CI = 0.78 to 0.80) during external validation. The desired sensitivity determines the number of patients to be referred to detect one patient with lung cancer. Conclusion Artificial intelligence-based support enables earlier detection of lung cancer in general practice using readily available text in the patient files of GPs, but needs additional prospective clinical evaluation. © 2025 Royal College of General Practitioners. All rights reserved.</t>
  </si>
  <si>
    <t>Schut,M.C.,Luik,T.T.,Vagliano,I.,Rios,M.,Helsper,C.W.,van Asselt,K.M.,de Wit,N.,Abu-Hanna,A.,Van Weert,H.C.P.M.</t>
  </si>
  <si>
    <t>https://www.scopus.com/inward/record.uri?eid=2-s2.0-105004377121&amp;doi=10.3399%2FBJGP.2023.0489&amp;partnerID=40&amp;md5=15604428f4961155fe80593073e9d03b</t>
  </si>
  <si>
    <t>early detection,general practice,lung cancer,machine learning,natural language processing,oncology</t>
  </si>
  <si>
    <t>British Journal of General Practice</t>
  </si>
  <si>
    <t>Artificial Intelligence in Head and Neck Cancer: Towards Precision Medicine.</t>
  </si>
  <si>
    <t>Simple Summary: This review was conducted to highlight current and potential applications of artificial intelligence (AI) in the care of patients with head and neck cancer, the barriers to its clinical implementation, and the relative scarcity of research in this field. While AI has demonstrated success in other areas of oncology, its role in head and neck cancer remains limited, with progress slowed by technical, ethical, and logistical challenges. Nevertheless, integrating AI with multiomics approaches presents a promising opportunity to advance precision medicine in this patient population. The findings presented in this manuscript may encourage further multi-institutional studies aimed at validating AI-driven strategies and accelerating their adoption in clinical practice. Over the past 20 years, the capabilities of artificial intelligence (AI) have gained significant interest. While AI has been implemented to various degrees in several disciplines, its unique applications in head and neck cancer (HNC) remain underdeveloped. This narrative review examines the existing body of literature regarding the use of AI in HNC. Studies to date have demonstrated AI's utility across multiple phases of the HNC treatment continuum. Despite its promise, integrating AI into clinical practice faces several challenges, including concerns about system integrity, generalizability, privacy, and bias. In this review, we address these challenges and offer insights into future directions to help overcome them and advance AI's integration into HNC care as a step toward personalized medicine. Additionally, we highlight the importance of multidisciplinary and multispecialty collaboration in cultivating a robust body of research that will support the optimization of AI in clinical practice.</t>
  </si>
  <si>
    <t>Hagen Jacob,Hornung Logan,Barham William,Mukhopadhyay Supratik,Bess Adam,Contrera Kevin,Basu Devraj,Sandulache Vlad,Spielmann Guillaume,Kansara Sagar</t>
  </si>
  <si>
    <t>https://research.ebsco.com/linkprocessor/plink?id=29bf5c23-8f70-3a49-b979-d477b22ef1c3</t>
  </si>
  <si>
    <t>Squamous cell carcinoma,Risk assessment,Prediction models,Diagnostic imaging,Radiotherapy,Head &amp; neck cancer,Artificial intelligence,Oncologic surgery,Cytochemistry,Deep learning,Artificial neural networks,Individualized medicine,Machine learning,Prognosis,Biomarkers,Drug discovery,Diagnostic Imaging Centers,Other Electronic and Precision Equipment Repair and Maintenance</t>
  </si>
  <si>
    <t>Artificial intelligence in oncology: ensuring safe and effective integration of language models in clinical practice</t>
  </si>
  <si>
    <t>In this Personal View, we address the latest advancements in automatic text analysis with artificial intelligence (AI) in medicine, with a focus on its implications in aiding treatment decisions in medical oncology. Acknowledging that a majority of hospital medical content is embedded in narrative format, natural language processing has become one of the most dynamic research fields for developing clinical decision support tools. In addition, large language models have recently reached unprecedented performance, notably when answering medical questions. Emerging applications include prognosis estimation, treatment recommendations, multidisciplinary tumor board recommendations and matching patients to recruiting clinical trials. Altogether, we advocate for a forward-looking approach in which the community efficiently initiates global prospective clinical evaluations of promising AI-based decision support systems. Such assessments will be essential to validate and evaluate potential biases, ensuring these innovations can be effectively and safely translated into practical tools for oncological practice. We are at a pivotal moment, where continued advancements in patient care must be pursued with scientific rigor. Copyright (c) 2024 The Author(s). Published by Elsevier Ltd.</t>
  </si>
  <si>
    <t>Verlingue L,Boyer C,Olgiati L,Mairesse CB,Morel D,Blay JY</t>
  </si>
  <si>
    <t>https://www.webofscience.com/wos/woscc/full-record/WOS:001310845000001</t>
  </si>
  <si>
    <t>Artificial intelligence; Natural language processing; Language models; Oncology; Healthcare; Clinical trials</t>
  </si>
  <si>
    <t>LANCET REGIONAL HEALTH-EUROPE</t>
  </si>
  <si>
    <t>Artificial intelligence-driven streamlining of prostate cancer multidisciplinary team recommendations in a tertiary NHS centre in the UK.</t>
  </si>
  <si>
    <t>To evaluate the effectiveness of a rules-based artificial intelligence (AI) clinical decision support system (CDSS) called the PROState AI Cancer-Decision Support (PROSAIC-DS) in streamlining the prostate cancer multidisciplinary team (MDT) pathway by identifying patients meeting standard of care (SoC) guidelines for reduced discussion in MDT meetings.</t>
  </si>
  <si>
    <t>Khattak Ahmed,Ruta Danny,Patkar Vivek,Popert Rick,Makanjuola Jonathan,Martin Martha,Ledwaba-Chapman Lesedi,Dodgson Kate,Oldroyd Robert,Noel Jonathan,Cathcart Paul,Hughes Simon,Challacombe Ben,Josephs Deborah,Enting Deborah,Pintus Elias,McCarthy Ruth,Kazmi Majid</t>
  </si>
  <si>
    <t>https://research.ebsco.com/linkprocessor/plink?id=3e38a7de-a9cb-3da8-9be7-871b05566502</t>
  </si>
  <si>
    <t>United Kingdom,Prostatic Neoplasms therapy,Artificial Intelligence,Patient Care Team organization &amp; administration,Decision Support Systems, Clinical,Humans,Male,Retrospective Studies,Aged,Prospective Studies,Tertiary Care Centers,United Kingdom,Middle Aged,State Medicine</t>
  </si>
  <si>
    <t>BJU international</t>
  </si>
  <si>
    <t>Artificial Intelligence-Driven Structurization of Diagnostic Information in Free-Text Pathology Reports.</t>
  </si>
  <si>
    <t>Background: Free-text sections of pathology reports contain the most important information from a diagnostic standpoint. However, this information is largely underutilized for computer-based analytics. The vast majority of NLP-based methods lack a capacity to accurately extract complex diagnostic entities and relationships among them as well as to provide an adequate knowledge representation for downstream data-mining applications. Methods: In this paper, we introduce a novel informatics pipeline that extends open information extraction (openIE) techniques with artificial intelligence (AI) based modeling to extract and transform complex diagnostic entities and relationships among them into Knowledge Graphs (KGs) of relational triples (RTs). Results: Evaluation studies have demonstrated that the pipeline's output significantly differs from a random process. The semantic similarity with original reports is high (Mean Weighted Overlap of 0.83). The precision and recall of extracted RTs based on experts' assessment were 0.925 and 0.841 respectively (P &lt;0.0001). Inter-rater agreement was significant at 93.6% and inter-rated reliability was 81.8%. Conclusion: The results demonstrated important properties of the pipeline such as high accuracy, minimality and adequate knowledge representation. Therefore, we conclude that the pipeline can be used in various downstream data-mining applications to assist diagnostic medicine.</t>
  </si>
  <si>
    <t>Giannaris Pericles S.,Al-Taie Zainab,Kovalenko Mikhil,Thanintorn Nattapon,Kholod Olha,Innokenteva Yulia,Coberly Emily,Frazier Shellaine,Laziuk Katsiarina,Popes Mihail,Chi-Ren Shyu,Xu Dong,Hammer Richard D.,Shin Dmitriy</t>
  </si>
  <si>
    <t>https://research.ebsco.com/linkprocessor/plink?id=6fecf865-098a-31bb-8c26-0245ba4148ec</t>
  </si>
  <si>
    <t>Data mining,Knowledge representation (Information theory),Stochastic processes,Pathology,Artificial intelligence,Natural language processing</t>
  </si>
  <si>
    <t>Assessing the capture of sociodemographic information in electronic medical records to inform clinical decision making.</t>
  </si>
  <si>
    <t>There is a growing need to document sociodemographic factors in electronic medical records to produce representative cohorts for medical research and to perform focused research for potentially vulnerable populations. The objective of this work was to assess the content of family physicians' electronic medical records and characterize the quality of the documentation of sociodemographic characteristics. Descriptive statistics were reported for each sociodemographic characteristic. The association between the completeness rates of the sociodemographic data and the various clinics, electronic medical record vendors, and physician characteristics was analyzed. Supervised machine learning models were used to determine the absence or presence of each characteristic for all adult patients over the age of 18 in the database. Documentation of marital status (51.0%) and occupation (47.2%) were significantly higher compared to the rest of the variables. Race (1.4%), sexual orientation (2.5%), and gender identity (0.8%) had the lowest documentation rates with a 97.5% missingness rate or higher. The correlation analysis for vendor type demonstrated that there was significant variation in the availability of marital and occupation information between vendors (χ&lt;sup&gt;2&lt;/sup&gt; &gt; 6.0, P &lt; 0.05). Variability in documentation between clinics indicated that the majority of characteristics exhibited high variation in completeness rates with the highest variation for occupation (median: 47.2, interquartile range: 60.6%) and marital status (median: 45.6, interquartile: 59.7%). Finally, physician sex, years since a physician graduated, and whether a physician was a foreign vs a Canadian medical graduate were significantly associated with documentation rates of place of birth, citizenship status, occupation, and education in the electronic medical records. Our findings suggest a crucial need to implement better documentation strategies for sociodemographic information in the healthcare setting. To improve completeness rates, healthcare systems should monitor, encourage, enforce, or incentivize sociodemographic data collection standards.</t>
  </si>
  <si>
    <t>Abulibdeh Rawan,Tu Karen,Butt Debra A.,Train Anthony,Crampton Noah,Sejdić Ervin</t>
  </si>
  <si>
    <t>https://research.ebsco.com/linkprocessor/plink?id=8296a53b-17e0-3e01-b969-f7e1dc202d7e</t>
  </si>
  <si>
    <t>Machine learning,Electronic health records,Supervised learning,Foreign physicians,Birthplaces</t>
  </si>
  <si>
    <t>Assessing the malignancy rate of adrenal nodules in patients with a history of cancer: factors associated with adrenal metastases</t>
  </si>
  <si>
    <t>Objectives: To determine malignancy rate of adrenal nodules in patients with a history of cancer and identify factors predictive of adrenal metastases. Methods: This Institutional Review Board-approved, retrospective study was performed 1/1/2010-12/31/2020 at an academic health system. Cancer registry data and natural language processing identified patients with a history of extra-adrenal malignancy who had undergone contrast-enhanced abdominal CT or MRI and had adrenal nodules ≥ 1 cm. A power calculation based on previously published prevalence of malignancy in adrenal nodules determined the minimum number of patients. The reference standard used for diagnosis was pathology when available, or imaging follow-up ≥ 1 year. Cancer type, presence/absence of extra-adrenal metastatic disease on index scan, and size of the adrenal nodule were extracted from the electronic health record. These factors were correlated with adrenal nodule outcome (benign or metastatic) using univariate and multivariable logistic regression analyses. Results: The cohort included 420 patients (219 female; mean age 71.4 years [standard deviation 11.1]). Overall metastatic adrenal nodule rate was 15.7% (66/420). Patients with extra-adrenal metastatic disease were more likely to have metastatic adrenal nodules compared to those with an isolated adrenal nodule (24.5% [37/151] vs. 10.8% [29/269]; p ≤ 0.001). Adrenal metastases were most common in patients with melanoma (50%, 10/20) and lung cancer (32%, 24/75). Metastatic rate increased with nodule size 2–4 cm (Odds Ratio [OR] 1.98) and &gt; 4 cm (OR 3.25). In patients with an isolated adrenal nodule, primary malignancy (lung cancer: OR 10.80; melanoma: OR 32.91) and size (2–4 cm: OR 5.14, &gt; 4 cm: OR 9.69) were associated with increased risk of metastases. Conclusion: In a cohort of patients with a history of any type of malignancy, almost 90% of isolated adrenal nodules were benign. However, a history of lung cancer, melanoma, or lesion size ≥ 2 cm significantly increased the risk of adrenal metastases. © The Author(s), under exclusive licence to Springer Science+Business Media, LLC, part of Springer Nature 2025.</t>
  </si>
  <si>
    <t>Satani,A.A.,Lacson,R.,Silverman,S.G.,Mayo-Smith,W.W.,Chung,R.,Khorasani,R.,Glazer,D.I.</t>
  </si>
  <si>
    <t>https://www.scopus.com/inward/record.uri?eid=2-s2.0-105018331501&amp;doi=10.1007%2Fs00261-025-05221-2&amp;partnerID=40&amp;md5=700d7d3f4fe1818aa671a73fb0562a1d</t>
  </si>
  <si>
    <t>Adrenal metastasis,Adrenal nodule,Incidentaloma,Oncology</t>
  </si>
  <si>
    <t>Abdominal Radiology</t>
  </si>
  <si>
    <t>Assessment of Breast Pathology Reporting Needs and Development of Tumor Synoptic Templates in Sub-Saharan Africa.</t>
  </si>
  <si>
    <t>The authors have no relevant financial interest in the products or companies described in this article.</t>
  </si>
  <si>
    <t>Nkya Gilbert Z,Omoyiola Oluwatosin Zainab,Betiku Omolade Adefolabi,Ng Dianna L,Fernandes Fabiola Couto,Tacula Neybi Stella,Carrilho Carla,Pallangyo Angela Elisha,Adegoke Omolade O,Gilliland Jaime L,Mremi Alex Richard,Edelweiss Marcia</t>
  </si>
  <si>
    <t>https://research.ebsco.com/linkprocessor/plink?id=4de6faca-b249-35b4-8c8a-1e8e717c3528</t>
  </si>
  <si>
    <t>Africa South of the Sahara,Breast Neoplasms pathology,Pathology, Clinical standards,Pathology, Clinical methods,Humans,Female,Africa South of the Sahara,Pathologists,Needs Assessment,Retrospective Studies,Pathology, Surgical,Breast pathology</t>
  </si>
  <si>
    <t>Archives of pathology &amp; laboratory medicine</t>
  </si>
  <si>
    <t>Assessment of Deep Natural Language Processing in Ascertaining Oncologic Outcomes From Radiology Reports</t>
  </si>
  <si>
    <t>Key PointsQuestionCan deep natural language processing of radiologic reports be used to measure real-world oncologic outcomes, including disease progression and response to therapy? FindingsIn a cohort study of 2406 patients with lung cancer, the findings suggested that deep learning models may estimate human curations of the presence of active cancer, cancer worsening/progression, and cancer improvement/response in radiologic reports with good discrimination (area under the receiver operating characteristic curve, &gt;0.90). Statistically significant associations between these end points and overall survival were observed. MeaningDeep natural language processing may be able to extract clinically relevant oncologic end points from radiologic reports. ImportanceA rapid learning health care system for oncology will require scalable methods for extracting clinical end points from electronic health records (EHRs). Outside of clinical trials, end points such as cancer progression and response are not routinely encoded into structured data. ObjectiveTo determine whether deep natural language processing can extract relevant cancer outcomes from radiologic reports, a ubiquitous but unstructured EHR data source. Design, Setting, and ParticipantsA retrospective cohort study evaluated 1112 patients who underwent tumor genotyping for a diagnosis of lung cancer and participated in the Dana-Farber Cancer Institute PROFILE study from June 26, 2013, to July 2, 2018. ExposuresPatients were divided into curation and reserve sets. Human abstractors applied a structured framework to radiologic reports for the curation set to ascertain the presence of cancer and changes in cancer status over time (ie, worsening/progressing vs improving/responding). Deep learning models were then trained to capture these outcomes from report text and subsequently evaluated in a 10% held-out test subset of curation patients. Cox proportional hazards regression models compared human and machine curations of disease-free survival, progression-free survival, and time to improvement/response in the curation set, and measured associations between report classification and overall survival in the curation and reserve sets. Main Outcomes and MeasuresThe primary outcome was area under the receiver operating characteristic curve (AUC) for deep learning models; secondary outcomes were time to improvement/response, disease-free survival, progression-free survival, and overall survival. ResultsA total of 2406 patients were included (mean [SD] age, 66.5 [10.8] years; 1428 female [59.7%]; 2170 [90.2%] white). Radiologic reports (n=14230) were manually reviewed for 1112 patients in the curation set. In the test subset (n=109), deep learning models identified the presence of cancer, improvement/response, and worsening/progression with accurate discrimination (AUC &gt;0.90). Machine and human curation yielded similar measurements of disease-free survival (hazard ratio [HR] for machine vs human curation, 1.18; 95% CI, 0.71-1.95); progression-free survival (HR, 1.11; 95% CI, 0.71-1.71); and time to improvement/response (HR, 1.03; 95% CI, 0.65-1.64). Among 15000 additional reports for 1294 reserve set patients, algorithm-detected cancer worsening/progression was associated with decreased overall survival (HR for mortality, 4.04; 95% CI, 2.78-5.85), and improvement/response was associated with increased overall survival (HR, 0.41; 95% CI, 0.22-0.77). Conclusions and RelevanceDeep natural language processing appears to speed curation of relevant cancer outcomes and facilitate rapid learning from EHR data. This cohort study examines the use of deep natural language processing in extraction of information on cancer outcomes from the medical records of patients with lung cancer.</t>
  </si>
  <si>
    <t>Kehl KL,Elmarakeby H,Nishino M,Van Allen EM,Lepisto EM,Hassett MJ,Johnson BE,Schrag D</t>
  </si>
  <si>
    <t>https://www.webofscience.com/wos/woscc/full-record/WOS:000492417200007</t>
  </si>
  <si>
    <t>JAMA ONCOLOGY</t>
  </si>
  <si>
    <t>Assessment of Outcomes Associated with the Use of Newly Approved Oncology Drugs in Medicare Beneficiaries</t>
  </si>
  <si>
    <t>Importance: A lack of generalizability of pivotal cancer clinical trial data to treatment of older adults with Medicare could affect therapeutic decision-making in clinical practice. Objective: To evaluate the differences in survival, duration of therapy, and treatment patterns between clinical trial patients and older adults with Medicare receiving cancer drugs for metastatic solid cancers in usual practice. Design, Setting, and Participants: This retrospective cohort study, performed from May 1, 2018, to August 30, 2020, used the linked Surveillance, Epidemiology, and End Results (SEER) program and Medicare database to examine sequential US Food and Drug Administration (FDA)-approved cancer drug indications (2008-2013) for locally advanced or metastatic solid tumors to assess whether pivotal trials reflect the outcomes of Medicare patients with cancer treated in usual practice. Exposures: Treatment with FDA-approved cancer drugs for metastatic solid cancers in pivotal clinical trials and in the SEER-Medicare database. Main Outcomes and Measures: Overall survival, duration of treatment, and dose reductions among trial participants and treated Medicare patients. Results: A total of 11828 trial participants (mean age, 61.8 years; 6718 [56.8%] male; and 7605 [64.3%] White) and 9178 SEER-Medicare patients (mean age, 72.7 years; 4800 [52.3%] male; and 7437 [81.0% White]) were compared. Twenty-nine indications for 22 cancer drugs were included. Median overall survival among Medicare patients was shorter than among patients in the clinical trial intervention arm for 28 of 29 indications (median difference, -6.3 months; range, -28.7 to 2.7 months). Median duration of therapy among Medicare patients was shorter for 23 of the 27 indications with data available (median difference, -1.9 months; range, -12.4 to 1.4 months). For 9 indications, there was information available regarding dose reductions in the package insert or trial publication. In all but 1 instance, dose reductions or single prescriptions were more common in the Medicare population compared with dose reductions among the clinical trial patients; for example, in the Medicare patients, 600 of 1032 (58.1%) received dose reduction or a single prescription and 172 of 1032 (16.7%) received a single prescription vs 734 of 3416 (21.5%) in the trial intervention arm. The exception was afatinib for non-small cell lung cancer: 34 of 71 (47.9%) received dose reduction or a single prescription and 15 of 71 (21.1%) received a single prescription among the Medicare patients vs 120 of 230 (52.2%) receiving dose reductions among the trial intervention group. Conclusions and Relevance: In this cohort study, patients receiving Medicare who were treated with FDA-approved cancer drugs did not live as long as treated clinical trial participants and commonly received treatment modifications. This study suggests that cancer clinical data relevant to newly approved drugs lack generalizability to Medicare beneficiaries with cancer; therefore, these agents should be used with caution.. © 2021 American Society of Civil Engineers (ASCE). All rights reserved.</t>
  </si>
  <si>
    <t>Green,A.K.,Curry,M.,Trivedi,N.,Bach,P.B.,Mailankody,S.</t>
  </si>
  <si>
    <t>https://www.scopus.com/inward/record.uri?eid=2-s2.0-85102322383&amp;doi=10.1001%2Fjamanetworkopen.2021.0030&amp;partnerID=40&amp;md5=96025f2c005a8910528e9c666e007151</t>
  </si>
  <si>
    <t>JAMA Network Open</t>
  </si>
  <si>
    <t>Assisted reproductive technology and the risk of pediatric cancer: A population based study and a systematic review and meta analysis</t>
  </si>
  <si>
    <t>Background: There is controversy whether exposure to assisted reproductive technology (ART) is associated with increased risk of pediatric cancer. We aimed at calculating the overall risk of pediatric cancers after ART in a large cohort of exposed women; and to conduct a systematic review and meta- analysis of cohort studies examining overall risk of pediatric cancers after ART. Methods: All children born in Israel who were members of Maccabi Health Services (MHS) between 1999 and 2016 after ART, were linked to the Israeli Registry of Childhood Cancer (IGS) to identify those with cancer diagnosed before 16 years of age. In parallel we conducted a systematic review and meta-analysis of observational cohort studies with more than 5000 ART- exposed cases that measured pediatric cancer after ART. Results: In the cohort study, the risk ratio for pediatric cancer after ART in general was 0.95 (95% CI, 0.76–1.19). The RR was 1.09 (95% CI, 0.79–1.48) for IVF treatments. Meta- analysis of 13 cohort studies with a total of 750,138 women exposed to ART (with 1152 pediatric cancers) and 214,008,000 unexposed controls (with 30,458 pediatric cancers) did not reveal increased risk for pediatric cancers (RR 0.99; 95% CI, 0.85–1.15). Conclusions: Based on very large numbers, ART in general, and IVF in particular, are not associated with overall increased risk of pediatric cancer. © 2019 Elsevier Ltd</t>
  </si>
  <si>
    <t>Gilboa,D.,Koren,G.,Barer,Y.,Katz,R.,Rotem,R.,Lunenfeld,E.,Shalev,V.</t>
  </si>
  <si>
    <t>https://www.scopus.com/inward/record.uri?eid=2-s2.0-85073022204&amp;doi=10.1016%2Fj.canep.2019.101613&amp;partnerID=40&amp;md5=3573db7ca953b80566e2946bd3c46fb9</t>
  </si>
  <si>
    <t>Assisted reproductive technology,Children,In vitro fertilization,Pediatric cancer,Pregnancy</t>
  </si>
  <si>
    <t>Cancer Epidemiology</t>
  </si>
  <si>
    <t>Association between patient‐initiated emails and overall 2‐year survival in cancer patients undergoing chemotherapy: Evidence from the real‐world setting.</t>
  </si>
  <si>
    <t>Purpose: Prior studies suggest email communication between patients and providers may improve patient engagement and health outcomes. The purpose of this study was to determine whether patient‐initiated emails are associated with overall survival benefits among cancer patients undergoing chemotherapy. Patients and methods: We identified patient‐initiated emails through the patient portal in electronic health records (EHR) among 9900 cancer patients receiving chemotherapy between 2013 and 2018. Email users were defined as patients who sent at least one email 12 months before to 2 months after chemotherapy started. A propensity score‐matched cohort analysis was carried out to reduce bias due to confounding (age, primary cancer type, gender, insurance payor, ethnicity, race, stage, income, Charlson score, county of residence). The cohort included 3223 email users and 3223 non‐email users. The primary outcome was overall 2‐year survival stratified by email use. Secondary outcomes included number of face‐to‐face visits, prescriptions, and telephone calls. The healthcare teams' response to emails and other forms of communication was also investigated. Finally, a quality measure related to chemotherapy‐related inpatient and emergency department visits was evaluated. Results: Overall 2‐year survival was higher in patients who were email users, with an adjusted hazard ratio of 0.80 (95 CI 0.72–0.90; p &lt; 0.001). Email users had higher rates of healthcare utilization, including face‐to‐face visits (63 vs. 50; p &lt; 0.001), drug prescriptions (28 vs. 21; p &lt; 0.001), and phone calls (18 vs. 16; p &lt; 0.001). Clinical quality outcome measure of inpatient use was better among email users (p = 0.015). Conclusion: Patient‐initiated emails are associated with a survival benefit among cancer patients receiving chemotherapy and may be a proxy for patient engagement. As value‐based payment models emphasize incorporating the patients' voice into their care, email communications could serve as a novel source of patient‐generated data.</t>
  </si>
  <si>
    <t>Coquet Jean,Blayney Douglas W.,Brooks James D.,Hernandez‐Boussard Tina</t>
  </si>
  <si>
    <t>https://research.ebsco.com/linkprocessor/plink?id=a95d9f96-7d35-3164-8771-82f47517c4e0</t>
  </si>
  <si>
    <t>Cancer patients,Electronic health records,Drug prescribing,Telephone calls,Cancer chemotherapy,Overall survival</t>
  </si>
  <si>
    <t>Association of Current Opioid Use with Serious Adverse Events among Older Adult Survivors of Breast Cancer</t>
  </si>
  <si>
    <t>Importance: National efforts to improve safe opioid prescribing focus on preventing misuse, overdose, and opioid use disorder. This approach overlooks opportunities to better prevent other serious opioid-related harms in complex populations, such as older adult survivors of cancer. Little is known about the rates and risk factors for comprehensive opioid-related harms in this population. Objective: To determine rates of multiple opioid-related adverse drug events among older adults who survived breast cancer and estimate the risk of these events associated with opioid use in the year after completing cancer treatment. Design, Setting, and Participants: This retrospective cohort study used 2007 to 2016 Surveillance, Epidemiology and End Results-Medicare data from fee-for-service Medicare beneficiaries with first cancer diagnosis of stage 0 to III breast cancer at age 66 to 90 years from January 1, 2008, through December 31, 2015, who completed active breast cancer treatment. Data were analyzed from October 31, 2019, to June 10, 2020. Exposures: Repeated daily measure indicating possession of any prescription opioid supply in Medicare Part D prescription claims. Main Outcomes and Measures: Adjusted risk ratios (aRRs), estimated using modified Poisson generalized estimating equation models, for adverse drug events related to substance misuse (ie, diagnosed opioid abuse, dependence, or poisoning), other adverse drug events associated with opioid use (ie, gastrointestinal events, infections, falls and fractures, or cardiovascular events), and all-cause hospitalization associated with opioid supply the prior day, controlling for patient characteristics. Results: Among 38310 women included in the study (mean [SD] age, 74.3 [6.3] years), there were 0.010 (95% CI, 0.008-0.011) adverse drug events related to substance misuse per 1000 person-days, 0.237 (95% CI, 0.229-0.245) other adverse drug events associated with opioid use per 1000 person-days, and 0.675 (95% CI, 0.662-0.689) all-cause hospitalizations per 1000 person-days. Opioid use was associated with increased risk of adverse drug events related to substance misuse (aRR, 14.62; 95% CI, 9.69-22.05; P &lt;.001), other adverse drug events related to opioid use (aRR, 2.50; 95% CI, 2.11-2.96; P &lt;.001), and all-cause hospitalization (aRR, 2.77; 95% CI, 2.55-3.02; P &lt;.001). In a dose-response effect, individuals with high daily opioid doses had consistently higher risks of all study outcomes compared with individuals who had low opioid doses. Compared with days with no opioid exposure, the risk of any adverse drug event related to substance misuse was 3.4-fold higher for individuals with a current opioid supply ≥50 mg morphine equivalent dose per day (aRR, 3.40; 95% CI, 2.47-4.68; P &lt;.001), while the risk was 2.3-fold higher for individuals with 1 to 49 mg morphine equivalent dose per day (aRR, 2.29; 95% CI, 1.89-2.77; P &lt;.001). Conclusions and Relevance: These findings suggest that among older adults who survived breast cancer, continued prescription opioid use in the year after completing active cancer treatment was associated with an immediate increased risk of a broad range of serious adverse drug events related to substance misuse and other adverse drug events associated with opioid use. Clinicians should consider the comprehensive risks of managing cancer pain with long-term opioid therapy.. © 2020 American Medical Association. All rights reserved.</t>
  </si>
  <si>
    <t>Winn,A.N.,Check,D.K.,Farkas,A.,Fergestrom,N.M.,Neuner,J.M.,Roberts,A.W.</t>
  </si>
  <si>
    <t>https://www.scopus.com/inward/record.uri?eid=2-s2.0-85091055411&amp;doi=10.1001%2Fjamanetworkopen.2020.16858&amp;partnerID=40&amp;md5=766504cf21808f3b893e62d2464200c3</t>
  </si>
  <si>
    <t>Association of rurality with utilization of palliative care and hospice among Medicare beneficiaries who died from pancreatic cancer: A cohort study.</t>
  </si>
  <si>
    <t>Pancreatic cancer has a 5-year survival of just 10%. Services such as palliative care and hospice are thus crucial in this population, yet their geographic accessibility and utilization remains unknown.</t>
  </si>
  <si>
    <t>Ramkumar Niveditta,Wang Qianfei,Brooks Gabriel A,Tosteson Anna N A,Wong Sandra L,Loehrer Andrew P</t>
  </si>
  <si>
    <t>https://research.ebsco.com/linkprocessor/plink?id=fd82604d-dbb3-350a-b8b0-952d5a840c17</t>
  </si>
  <si>
    <t>United States,Hospice Care,Hospices,Pancreatic Neoplasms therapy,Aged,Humans,United States,Palliative Care,Medicare,Cohort Studies,Rural Population,Retrospective Studies</t>
  </si>
  <si>
    <t>The Journal of rural health : official journal of the American Rural Health Association and the National Rural Health Care Association</t>
  </si>
  <si>
    <t>Associations between body mass index and all-cause mortality: A systematic review and meta-analysis.</t>
  </si>
  <si>
    <t>Fasting insulin and c-reactive protein confound the association between mortality and body mass index. An increase in fat mass may mediate the associations between hyperinsulinemia, hyperinflammation, and mortality. The objective of this study was to describe the "average" associations between body mass index and the risk of mortality and to explore how adjusting for fasting insulin and markers of inflammation might modify the association of BMI with mortality. MEDLINE and EMBASE were searched for studies published in 2020. Studies with adult participants where BMI and vital status was assessed were included. BMI was required to be categorized into groups or parametrized as non-first order polynomials or splines. All-cause mortality was regressed against mean BMI squared within seven broad clinical populations. Study was modeled as a random intercept. β coefficients and 95% confidence intervals are reported along with estimates of mortality risk by BMIs of 20, 30, and 40 kg/m &lt;sup&gt;2&lt;/sup&gt; . Bubble plots with regression lines are drawn, showing the associations between mortality and BMI. Splines results were summarized. There were 154 included studies with 6,685,979 participants. Only five (3.2%) studies adjusted for a marker of inflammation, and no studies adjusted for fasting insulin. There were significant associations between higher BMIs and lower mortality risk in cardiovascular (unadjusted β -0.829 [95% CI -1.313, -0.345] and adjusted β -0.746 [95% CI -1.471, -0.021]), Covid-19 (unadjusted β -0.333 [95% CI -0.650, -0.015]), critically ill (adjusted β -0.550 [95% CI -1.091, -0.010]), and surgical (unadjusted β -0.415 [95% CI -0.824, -0.006]) populations. The associations for general, cancer, and non-communicable disease populations were not significant. Heterogeneity was very large (I &lt;sup&gt;2&lt;/sup&gt; ≥ 97%). The role of obesity as a driver of excess mortality should be critically re-examined, in parallel with increased efforts to determine the harms of hyperinsulinemia and chronic inflammation.</t>
  </si>
  <si>
    <t>Wiebe Natasha,Lloyd Anita,Crumley Ellen T,Tonelli Marcello</t>
  </si>
  <si>
    <t>https://research.ebsco.com/linkprocessor/plink?id=2a915222-ccea-319e-a8df-660d3a4ed17c</t>
  </si>
  <si>
    <t>COVID-19,Hyperinsulinism,Insulins,Adult,Humans,Body Mass Index,Inflammation</t>
  </si>
  <si>
    <t>Obesity reviews : an official journal of the International Association for the Study of Obesity</t>
  </si>
  <si>
    <t>Associations Between Cancer-Related Fatigue and Healthcare Use During Cancer Follow-Up Care: A Survey-Administrative Health Data Linkage Study</t>
  </si>
  <si>
    <t>Little is known about the impacts of fatigue after cancer treatment, including whether cancer-related fatigue impacts people’s use of healthcare. This study sought to examine how cancer-related fatigue impacts healthcare use after completing cancer treatment. A population-based survey was administered in Nova Scotia, Canada, to examine survivors’ experiences and needs after completing cancer treatment. Respondents included survivors of breast, melanoma, colorectal, prostate, hematologic, and young adult cancers who were 1–3 years post-treatment. Survey responses were linked to cancer registry, physicians’ claims, hospitalization, and ambulatory care data. Data were analyzed descriptively and using regression models. The final study cohort included 823 respondents. Younger respondents reported higher levels of cancer-related fatigue compared to older respondents. More females than males reported cancer-related fatigue. Upon adjusted analyses, those with cancer-related fatigue had lower odds of being discharged to primary care for their cancer-related follow-up (odds ratio = 0.71, p = 0.029). Moreover, those with cancer-related fatigue had 19% higher primary care use (incidence rate ratio = 1.19, p &lt; 0.0001) and 37% higher oncology use (incidence rate ratio = 1.37, p &lt; 0.016) during the follow-up period compared to those without cancer-related fatigue. Providers (oncology and primary care) may require additional support to identify clinically relevant fatigue and refer patients to appropriate resources and services. © 2024 by the authors.</t>
  </si>
  <si>
    <t>Urquhart,R.,Kendell,C.,Lethbridge,L.</t>
  </si>
  <si>
    <t>https://www.scopus.com/inward/record.uri?eid=2-s2.0-85210579812&amp;doi=10.3390%2Fcurroncol31110542&amp;partnerID=40&amp;md5=811595172faffd0b95dca9164ff993f8</t>
  </si>
  <si>
    <t>administrative health data,cancer-related fatigue,follow-up care,survey,survivorship</t>
  </si>
  <si>
    <t>Associations between childhood height and morphologically different variants of melanoma in adulthood</t>
  </si>
  <si>
    <t>Aim of the study Melanoma subtypes have different aetiological characteristics. Child height is positively associated with adult melanoma; however, a clarification of associations with specific melanoma variants is necessary for an improved understanding of risk factors underlying the histologic entities. This study investigated associations between childhood height and future development of cutaneous melanoma variants. Method A cohort study of 316,193 individuals from the Copenhagen School Health Records Register, with measured heights at ages 7–13 years who were born from 1930 to 1989. Melanoma cases were identified via linkage to the national Danish Cancer Registry and subdivided into subtypes. Cox proportional hazards regressions were performed. Results A total of 2223 cases of melanoma distributed as 60% superficial spreading melanoma (SSM), 27.5% melanoma not otherwise specified (NOS), 8.5% nodular melanoma (NM), and 2% lentigo maligna melanoma (LMM). The remaining rare melanoma forms were not analysed. Childhood height was positively and significantly associated with SSM, melanoma NOS, and NM, but not LMM, in adulthood. Per height z-score at age 13 years, the hazard ratios were 1.20 (95% confidence intervals [CI]: 1.13–1.27) for SSM, 1.19 (95% CI: 1.09–1.29) for melanoma NOS, and 1.21 (95% CI: 1.04–1.41) for NM. Further, growth patterns were linked to the melanoma variants with persistently tall children having an increased risk of developing SSM, melanoma NOS, or NM. Conclusion Childhood height is positively associated with the majority of the melanoma variants. These results suggest that the underlying processes contributing to childhood height and growth patterns interconnect early-life events with the predisposition to melanomagenesis in adulthood. © 2016 The Authors</t>
  </si>
  <si>
    <t>Meyle,K.D.,Gamborg,M.,Hölmich,L.R.,Baker,J.L.</t>
  </si>
  <si>
    <t>https://www.scopus.com/inward/record.uri?eid=2-s2.0-84988023636&amp;doi=10.1016%2Fj.ejca.2016.08.002&amp;partnerID=40&amp;md5=0a3653fdc741ad4a94f8dec735ab8ea6</t>
  </si>
  <si>
    <t>Body height,Child,Cohort studies,Melanoma,Neoplasms by histologic type</t>
  </si>
  <si>
    <t>European Journal of Cancer</t>
  </si>
  <si>
    <t>Automated calculation of healthcare quality and safety indicators for head and neck cancers: a multicentric study using electronic health records.</t>
  </si>
  <si>
    <t>Declarations. Ethics approval and consent to participate: Our study adhered to the Declaration of Helsinki. The need for consent to participate was deemed unnecessary according to the French Data Protection Agency (CNIL, Commission Nationale de l’Informatique et des Libertés) which authorized the constitution of the APHP CDW on January 19, 2017 (approval n°19800120). The work was approved by the Scientific and Ethical Committee of Assistance Publique - Hôpitaux de Paris (AP-HP) CDW (IRB00011591). Consent for publication: Not applicable Competing interests: The authors declare no competing interests.</t>
  </si>
  <si>
    <t>Riebler Pierre,Verdoux Marie,Sinanovic Corentin,Flicoteaux Rémi,Baujat Bertrand,Colombani Françoise,Atallah Sarah,Daniel Christel,Jouhet Vianney,Kempf Emmanuelle,a CRAB initiative (CRAB: Cancer Research Application on Big Data)</t>
  </si>
  <si>
    <t>https://research.ebsco.com/linkprocessor/plink?id=efd70855-dd69-3ba9-8f1d-fed6f93816a7</t>
  </si>
  <si>
    <t>Automated data collection in cancer care: State of play among registries in the United Kingdom and Europe</t>
  </si>
  <si>
    <t>Background: Automated clinical coding can use statistical or artificial intelligence-based technology to transform unstructured clinical data into clinical codes. These processes have the potential to enhance the quality and accuracy of data collections, save resources and accelerate research. Objective: To evaluate the use of automated clinical coding in the United Kingdom (UK) and European cancer registries. Method: An online electronic survey was formulated to evaluate the use and user opinion of automation within cancer registries. The survey was distributed to members of the United Kingdom and Ireland Association of Cancer Registry and the European cancer registries. Data analysis was performed using Microsoft Excel 2015®version 15.13.3 in order to summarise the results. Results: Twenty-three of the 117 cancer registries responded to the distributed survey; 15 (12.8%) cancer registries used automation within their registry, mainly in the form of natural language processing or machine learning. Most of the sampled registries (73.3%) used these technologies to automate data collection from pathology reports; 87% of respondents reported automation as efficient; and 26.1% reported improved data quality; 12 (52.1%) of cancer registries still manually checked all the automations; and 17 (74%) respondents believed that the algorithms for difficult tasks require further development. Conclusion: Various computer-based algorithms have been used for automated clinical coding in the UK and European cancer registries in the past few decades; however, to date there are no published data to validate its use. Further research and development of these technologies is needed to ensure external validity and maximise the potential use within other cancer registries globally. Implications for health information management practice: It is clear that while automation can be advantageous in areas of clinical coding, the role of the “human” (HIMs and clinical coders) in coding and classifying registry data, and in overseeing the transition, will be required for some time yet.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</si>
  <si>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Roman,M.,Ali,S.,Ibrahim,N.,Dobbs,T.D.,Hutchings,H.,Whitaker,I.S.</t>
  </si>
  <si>
    <t>https://www.scopus.com/inward/record.uri?eid=2-s2.0-105019370976&amp;doi=10.1177%2F18333583251378962&amp;partnerID=40&amp;md5=718c3778252c3923faa85e65173812b0</t>
  </si>
  <si>
    <t>automated,clinical coding,health information management,medical record system,natural language processing,registries,registry data,research</t>
  </si>
  <si>
    <t>Health Information Management Journal</t>
  </si>
  <si>
    <t>Automated derivation of diagnostic criteria for lung cancer using natural language processing on electronic health records: a pilot study.</t>
  </si>
  <si>
    <t>Declarations. Ethics approval and consent to participate: This study was submitted to an NHS Research Ethics Committee, with subsequent approval being granted by the NHS Health Research Authority (IRAS ID: 320934). The requirement for informed consent to participate was waived by the NHS Health Research Authority following support, granted by the NHS Confidentiality Advisory Group, under Sect. 251 of the National Health Service Act 2006. The study also adhered to the NHS National Data Opt-Out to respect patients’ decision to opt out of the use of their data for research purposes. Consent for publication: Not applicable. Competing interests: C.T. is a Director, employee and shareholder at Clinithink Ltd., the entity that owns the NLP software employed for extracting clinical features from the free-text in this study. The remaining authors declare that they have no competing interests.</t>
  </si>
  <si>
    <t>Houston Andrew,Williams Sophie,Ricketts William,Gutteridge Charles,Tackaberry Chris,Conibear John</t>
  </si>
  <si>
    <t>https://research.ebsco.com/linkprocessor/plink?id=c5028fe6-dd2b-324a-9434-166df4559c26</t>
  </si>
  <si>
    <t>Natural Language Processing,Electronic Health Records,Lung Neoplasms diagnostic imaging,Lung Neoplasms diagnosis,Humans,Pilot Projects,Middle Aged,Female,Male,Aged,Adult,Systematized Nomenclature of Medicine</t>
  </si>
  <si>
    <t>Automated extraction of Biomarker information from pathology reports.</t>
  </si>
  <si>
    <t>Pathology reports are written in free-text form, which precludes efficient data gathering. We aimed to overcome this limitation and design an automated system for extracting biomarker profiles from accumulated pathology reports.</t>
  </si>
  <si>
    <t>Lee Jeongeun,Song Hyun-Je,Yoon Eunsil,Park Seong-Bae,Park Sung-Hye,Seo Jeong-Wook,Park Peom,Choi Jinwook</t>
  </si>
  <si>
    <t>https://research.ebsco.com/linkprocessor/plink?id=50db6a4a-6ac3-3253-a3a9-2ea17a1aadb3</t>
  </si>
  <si>
    <t>Biomarkers metabolism,Clinical Decision-Making,Immunohistochemistry,Models, Theoretical,Natural Language Processing,Neoplasms metabolism,Neoplasms pathology,Neoplasms surgery,Humans</t>
  </si>
  <si>
    <t>Automated Extraction of Imaging and Pathology Data from Diverse Prostate Cancer Electronic Records</t>
  </si>
  <si>
    <t>PURPOSETo develop and validate an algorithm to extract clinically relevant data elements for prostate cancer (PCa) from prostate biopsy reports and magnetic resonance imaging (MRI) reports.PATIENTS AND METHODSMRI reports and biopsy pathology reports were extracted from a cohort of 1,360,866 patients with PCa in the VA Cancer Registry System or the VA Corporate Data Warehouse, with 155,570 patients having the relevant reports for inclusion. We hand-annotated a sample of these reports, which were used to develop a rule-based natural language processing (NLP) algorithm for extracting Gleason score, positive cores, and total cores taken during biopsy from biopsy pathology reports and Prostate Imaging Reporting and Data System (PI-RADS) score, prostate-specific antigen (PSA) density, prostate volume, and prostate dimensions from MRI reports. Our algorithm was validated on a set of 250 biopsy reports and 250 MRI reports representing 378 patients at 78 VA centers with procedures between 2004 and 2024.RESULTSOur algorithm performed well across all data elements, demonstrating high F1 scores: Gleason (96.9), PI-RADS (93.7), PSA density (99.5), prostate volume (95.7), and prostate dimensions (93.2), with the percentage of positive cores being greater than or less than 34% (88.4). Error analysis demonstrated that items missed by our algorithm were often explained by unusual or vague wording within the notes or especially complex language.CONCLUSIONWe developed an NLP algorithm and validated that it successfully captures salient information about data elements of interest in PCa research. Reliable extraction of these key data elements will have numerous uses for downstream research in this field. © 2025 American Society of Clinical Oncology.</t>
  </si>
  <si>
    <t>Culnan,J.M.,Goryachev,S.D.,Bihn,J.R.,Lee,G.,Chen,D.C.R.,Soloviev,O.,Zwolinski,R.,Dulberger,K.N.,Do,N.V.,Paller,C.J.,Cooperberg,M.R.,Fillmore,N.R.</t>
  </si>
  <si>
    <t>https://www.scopus.com/inward/record.uri?eid=2-s2.0-105013048655&amp;doi=10.1200%2FCCI-25-00085&amp;partnerID=40&amp;md5=b12cb8c45da1d100de13d692497cad7f</t>
  </si>
  <si>
    <t>Automated Generation of Synoptic Reports from Narrative Pathology Reports in University Malaya Medical Centre Using Natural Language Processing.</t>
  </si>
  <si>
    <t>Pathology reports represent a primary source of information for cancer registries. University Malaya Medical Centre (UMMC) is a tertiary hospital responsible for training pathologists; thus narrative reporting becomes important. However, the unstructured free-text reports made the information extraction process tedious for clinical audits and data analysis-related research. This study aims to develop an automated natural language processing (NLP) algorithm to summarize the existing narrative breast pathology report from UMMC to a narrower structured synoptic pathology report with a checklist-style report template to ease the creation of pathology reports. The development of the rule-based NLP algorithm was based on the R programming language by using 593 pathology specimens from 174 patients provided by the Department of Pathology, UMMC. The pathologist provides specific keywords for data elements to define the semantic rules of the NLP. The system was evaluated by calculating the precision, recall, and F1-score. The proposed NLP algorithm achieved a micro-F1 score of 99.50% and a macro-F1 score of 98.97% on 178 specimens with 25 data elements. This achievement correlated to clinicians' needs, which could improve communication between pathologists and clinicians. The study presented here is significant, as structured data is easily minable and could generate important insights.</t>
  </si>
  <si>
    <t>Tan Wee-Ming,Teoh Kean-Hooi,Ganggayah Mogana Darshini,Taib Nur Aishah,Zaini Hana Salwani,Dhillon Sarinder Kaur</t>
  </si>
  <si>
    <t>https://research.ebsco.com/linkprocessor/plink?id=ce1b003c-bda3-3e8f-b1ad-b547357e5dbb</t>
  </si>
  <si>
    <t>Diagnostics (Basel, Switzerland)</t>
  </si>
  <si>
    <t>Automated Geocoding of Textual Documents: A Survey of Current Approaches.</t>
  </si>
  <si>
    <t>This survey article describes previous research addressing text-based document geocoding, i.e. the task of predicting the geospatial coordinates of latitude and longitude, that best correspond to an entire document, based on its textual contents. We describe (1) early document geocoding systems that use heuristics over place names mentioned in the text (e.g. names of cities and states), (2) probabilistic language modeling approaches, where generative models are built for different regions in the world (usually considering a discretization based on a rectangular grid) from the words occurring in a set of georeferenced training documents, which are then used to predict per-region probabilities for previously unseen test documents, (3) combinations of different models and heuristics, including clustering procedures, feature selection approaches, and/or language models built from different sources, and (4) recent approaches based on discriminative classification models.</t>
  </si>
  <si>
    <t>Melo Fernando,Martins Bruno</t>
  </si>
  <si>
    <t>https://research.ebsco.com/linkprocessor/plink?id=c5916d92-e46d-32aa-a785-0af93347f513</t>
  </si>
  <si>
    <t>Feature selection,Cluster analysis (Statistics),Geospatial data,Computer programming,Heuristic,Content analysis,Custom Computer Programming Services,Computer systems design and related services (except video game design and development),Other Computer Related Services</t>
  </si>
  <si>
    <t>Transactions in GIS</t>
  </si>
  <si>
    <t>Automated medical chart review for breast cancer outcomes research: a novel natural language processing extraction system.</t>
  </si>
  <si>
    <t>Manually extracted data points from health records are collated on an institutional, provincial, and national level to facilitate clinical research. However, the labour-intensive clinical chart review process puts an increasing burden on healthcare system budgets. Therefore, an automated information extraction system is needed to ensure the timeliness and scalability of research data.</t>
  </si>
  <si>
    <t>Chen Yifu,Hao Lucy,Zou Vito Z,Hollander Zsuzsanna,Ng Raymond T,Isaac Kathryn V</t>
  </si>
  <si>
    <t>https://research.ebsco.com/linkprocessor/plink?id=82ddd19f-5697-3e8d-95ab-564d0367d32f</t>
  </si>
  <si>
    <t>Breast Neoplasms surgery,Natural Language Processing,Electronic Health Records,Female,Humans,Information Storage and Retrieval,Outcome Assessment, Health Care,Research Report</t>
  </si>
  <si>
    <t>Automated real-world data integration improves cancer outcome prediction</t>
  </si>
  <si>
    <t>The digitization of health records and growing availability of tumour DNA sequencing provide an opportunity to study the determinants of cancer outcomes with unprecedented richness. Patient data are often stored in unstructured text and siloed datasets. Here we combine natural language processing annotations1,2 with structured medication, patient-reported demographic, tumour registry and tumour genomic data from 24,950 patients at Memorial Sloan Kettering Cancer Center to generate a clinicogenomic, harmonized oncologic real-world dataset (MSK-CHORD). MSK-CHORD includes data for non-small-cell lung (n = 7,809), breast (n = 5,368), colorectal (n = 5,543), prostate (n = 3,211) and pancreatic (n = 3,109) cancers and enables discovery of clinicogenomic relationships not apparent in smaller datasets. Leveraging MSK-CHORD to train machine learning models to predict overall survival, we find that models including features derived from natural language processing, such as sites of disease, outperform those based on genomic data or stage alone as tested by cross-validation and an external, multi-institution dataset. By annotating 705,241 radiology reports, MSK-CHORD also uncovers predictors of metastasis to specific organ sites, including a relationship between SETD2 mutation and lower metastatic potential in immunotherapy-treated lung adenocarcinoma corroborated in independent datasets. We demonstrate the feasibility of automated annotation from unstructured notes and its utility in predicting patient outcomes. The resulting data are provided as a public resource for real-world oncologic research. © The Author(s) 2024.</t>
  </si>
  <si>
    <t>Jee,J.,Fong,C.,Pichotta,K.,Tran,T.N.,Luthra,A.,Waters,M.,Fu,C.,Altoe,M.,Liu,S.-Y.,Maron,S.B.,Ahmed,M.,Kim,S.,Pirun,M.,Chatila,W.K.,de Bruijn,I.,Pasha,A.,Kundra,R.,Gross,B.,Mastrogiacomo,B.,Aprati,T.J.,Liu,D.,Gao,J.,Capelletti,M.,Pekala,K.,Loudon,L.,Perry,M.,Bandlamudi,C.,Donoghue,M.,Satravada,B.A.,Martin,A.,Shen,R.,Chen,Y.,Brannon,A.R.,Chang,J.,Braunstein,L.,Li,A.,Safonov,A.,Stonestrom,A.,Sánchez-Vela,P.,Wilhelm,C.,Robson,M.,Scher,H.,Ladanyi,M.,Reis-Filho,J.S.,Solit,D.B.,Jones,D.R.,Gomez,D.,Yu,H.,Chakravarty,D.,Yaeger,R.,Abida,W.,Park,W.,O'Reilly,E.M.,García-Aguilar,J.,Socci,N.,Sánchez-Vega,F.,Carrot-Zhang,J.,Stetson,P.D.,Levine,R.,Rudin,C.M.,Berger,M.F.,Shah,S.P.,Schrag,D.,Razavi,P.,Kehl,K.L.,Li,B.T.,Riely,G.J.,Schultz,N.,Bi,X.,U,J.,Agbamu,T.,Bai,X.,Manca,P.,Kris,A.,Eichholz,J.,Nandakumar,S.,Walch,H.,Parker,M.,Boehm,K.,Rachuri,N.,Garcia,J.,Subramanian,G.,Rangavajhala,S.,Pimienta,R.,Zhang,H.,Wilson,M.,Chennault,C.,Wang,A.,Sheridan,R.,Pollard,T.,Lim,R.,Moore,D.,Kohli,A.,Li,X.,Zhao,G.,Lisman,A.</t>
  </si>
  <si>
    <t>https://www.scopus.com/inward/record.uri?eid=2-s2.0-85208779909&amp;doi=10.1038%2Fs41586-024-08167-5&amp;partnerID=40&amp;md5=924f43e43ab9a4d0151d2dc376f27a8c</t>
  </si>
  <si>
    <t>Nature</t>
  </si>
  <si>
    <t>Automated versus physician assignment of cause of death for verbal autopsies: randomized trial of 9374 deaths in 117 villages in India.</t>
  </si>
  <si>
    <t>Verbal autopsies with physician assignment of cause of death (COD) are commonly used in settings where medical certification of deaths is uncommon. It remains unanswered if automated algorithms can replace physician assignment.</t>
  </si>
  <si>
    <t>Jha Prabhat,Kumar Dinesh,Dikshit Rajesh,Budukh Atul,Begum Rehana,Sati Prabha,Kolpak Patrycja,Wen Richard,Raithatha Shyamsundar J,Shah Utkarsh,Li Zehang Richard,Aleksandrowicz Lukasz,Shah Prakash,Piyasena Kapila,McCormick Tyler H,Gelband Hellen,Clark Samuel J</t>
  </si>
  <si>
    <t>https://research.ebsco.com/linkprocessor/plink?id=8cbe1348-e187-3a9d-ae92-845deb19995d</t>
  </si>
  <si>
    <t>India,Autopsy methods,Data Collection methods,Physicians standards,Adult,Child,Death,Female,Humans,India,Male</t>
  </si>
  <si>
    <t>BMC medicine</t>
  </si>
  <si>
    <t>Automatic (near-) duplicate content document detection in a cancer registry.</t>
  </si>
  <si>
    <t>Niemi Tapio,Ghobril Jean Pierre,Defossez Gautier,Germann Simon,Martin Eloïse,Bulliard Jean-Luc</t>
  </si>
  <si>
    <t>https://research.ebsco.com/linkprocessor/plink?id=447e2e3a-d6bb-376f-9dce-bef6a6b374e7</t>
  </si>
  <si>
    <t>Switzerland,Registries,Neoplasms epidemiology,Electronic Health Records,Humans,Algorithms,Switzerland,Natural Language Processing</t>
  </si>
  <si>
    <t>International journal of medical informatics</t>
  </si>
  <si>
    <t>Automatic Annotation of French Medical Narratives with SNOMED CT Concepts.</t>
  </si>
  <si>
    <t>Medical data is multimodal. In particular, it is composed of both structured data and narrative data (free text). Narrative data is a type of unstructured data that, although containing valuable semantic and conceptual information, is rarely reused. In order to assure interoperability of medical data, automatic annotation of free text with SNOMED CT concepts via Natural Language Processing (NLP) tools is proposed. This task is performed using a hybrid multilingual syntactic parser. A preliminary evaluation of the annotation shows encouraging results and confirms that semantic enrichment of patient-related narratives can be accomplished by hybrid NLP systems, heavily based on syntax and lexicosemantic resources.</t>
  </si>
  <si>
    <t>Gaudet-Blavignac Christophe,Foufi Vasiliki,Wehrli Eric,Lovis Christian</t>
  </si>
  <si>
    <t>https://research.ebsco.com/linkprocessor/plink?id=5f189147-f5dc-3f09-a4d4-d14a83e68022</t>
  </si>
  <si>
    <t>Data Curation,Natural Language Processing,Systematized Nomenclature of Medicine,Automation,Humans,Language,Narration,Semantics</t>
  </si>
  <si>
    <t>Automatic Classification of Tumor Response From Radiology Reports With Rule-Based Natural Language Processing Integrated Into the Clinical Oncology Workflow</t>
  </si>
  <si>
    <t>PURPOSE Imaging reports in oncology provide critical information about the disease evolution that should be timely shared to tailor the clinical decision making and care coordination of patients with advanced cancer. However, tumor response stays unstructured in free-text and underexploited. Natural language processing (NLP) methods can help provide this critical information into the electronic health records (EHR) in real time to assist health care workers. METHODS A rule-based algorithm was developed using SAS tools to automatically extract and categorize tumor response within progression or no progression categories. 2,970 magnetic resonance imaging, computed tomography scan, and positron emission tomography French reports were extracted from the EHR of a large comprehensive cancer center to build a 2,637-document training set and a 603-document validation set. The model was also tested on 189 imaging reports from 46 different radiology centers. A tumor dashboard was created in the EHR using the Timeline tool of the vis.js javascript library. RESULTS An NLP methodology was applied to create an ontology of radiographic terms defining tumor response, mapping text to five main concepts, and application decision rules on the basis of clinical practice RECIST guidelines. The model achieved an overall accuracy of 0.88 (ranging from 0.87 to 0.94), with similar performance on both progression and no progression classification. The overall accuracy was 0.82 on reports from different radiology centers. Data were visualized and organized in a dynamic tumor response timeline. This tool was deployed successfully at our institution both retrospectively and prospectively as part of an automatic pipeline to screen reports and classify tumor response in real time for all metastatic patients. CONCLUSION Our approach provides an NLP-based framework to structure and classify tumor response from the EHR and integrate tumor response classification into the clinical oncology workflow. (c) 2023 by American Society of Clinical Oncology</t>
  </si>
  <si>
    <t>Laurent G,Craynest F,Thobois M,Hajjaji N</t>
  </si>
  <si>
    <t>https://www.webofscience.com/wos/woscc/full-record/WOS:001133302300027</t>
  </si>
  <si>
    <t>JCO CLINICAL CANCER INFORMATICS</t>
  </si>
  <si>
    <t>Availability of Results of Trials Studying Pancreatic Adenocarcinoma over the Past 10 Years</t>
  </si>
  <si>
    <t>Background: Pancreatic adenocarcinoma (PDAC) is a lethal cancer with few therapeutic options. Availability of results is a crucial step in interventional research. Our aim was to evaluate results availability for trials in patients with PDAC and explore associated factors. Materials and Methods: We performed a retrospective cohort study and searched the ClinicalTrials.gov registry for trials evaluating PDAC management with a primary completion date between 1 January 2010 and 1 June 2020. Then, we searched for results submitted on ClinicalTrials.gov and/or published. Our primary outcome was the proportion of PDAC trials with available results: submitted on ClinicalTrials.gov (either publicly available or undergoing quality control check) and/or published in a full-text article. The association of predefined trial characteristics with results availability was assessed. Results: We identified 551 trials of which 386 (70%) had available results. The cumulative percentage of trials with available results was 21% (95% CI, 18-25%) at 12 months after the primary completion date, 44% (95% CI, 30-48%) at 24 months and 57% (95% CI, 53-61%) at 36 months. Applicable clinical trials, required to comply with the 2007 Food and Drug Administration Amendments Act 801 and its final rule on reporting of results on ClinicalTrials.gov, were more likely to have available results over time (HR 2.1 [95% CI 1.72-2.63], P &lt;. 001). Industry-funded, small sample size, and terminated trials were less likely to have available results. Other trial characteristics showed no association with results availability. Conclusion: Our results highlight a waste in interventional research studying PDAC. © 2022 The Author(s). Published by Oxford University Press.</t>
  </si>
  <si>
    <t>Pellat,A.,Boutron,I.,Ravaud,P.</t>
  </si>
  <si>
    <t>https://www.scopus.com/inward/record.uri?eid=2-s2.0-85141890139&amp;doi=10.1093%2Foncolo%2Foyac156&amp;partnerID=40&amp;md5=8944f9158a1ebf66210cd37354fdf16a</t>
  </si>
  <si>
    <t>ClinicalTrials.gov,FDAAA 801,interventional research,pancreatic adenocarcinoma,results availability</t>
  </si>
  <si>
    <t>Oncologist</t>
  </si>
  <si>
    <t>Big data and data repurposing - using existing data to answer new questions in vascular dementia research.</t>
  </si>
  <si>
    <t>Traditional approaches to clinical research have, as yet, failed to provide effective treatments for vascular dementia (VaD). Novel approaches to collation and synthesis of data may allow for time and cost efficient hypothesis generating and testing. These approaches may have particular utility in helping us understand and treat a complex condition such as VaD.</t>
  </si>
  <si>
    <t>Doubal Fergus N,Ali Myzoon,Batty G David,Charidimou Andreas,Eriksdotter Maria,Hofmann-Apitius Martin,Kim Yun-Hee,Levine Deborah A,Mead Gillian,Mucke Hermann A M,Ritchie Craig W,Roberts Charlotte J,Russ Tom C,Stewart Robert,Whiteley William,Quinn Terence J</t>
  </si>
  <si>
    <t>https://research.ebsco.com/linkprocessor/plink?id=b8dbde22-e411-3166-b214-967a9181b567</t>
  </si>
  <si>
    <t>Biomedical Research,Dementia, Vascular,Metadata,Humans</t>
  </si>
  <si>
    <t>BMC neurology</t>
  </si>
  <si>
    <t>Big data for bipolar disorder.</t>
  </si>
  <si>
    <t>The delivery of psychiatric care is changing with a new emphasis on integrated care, preventative measures, population health, and the biological basis of disease. Fundamental to this transformation are big data and advances in the ability to analyze these data. The impact of big data on the routine treatment of bipolar disorder today and in the near future is discussed, with examples that relate to health policy, the discovery of new associations, and the study of rare events. The primary sources of big data today are electronic medical records (EMR), claims, and registry data from providers and payers. In the near future, data created by patients from active monitoring, passive monitoring of Internet and smartphone activities, and from sensors may be integrated with the EMR. Diverse data sources from outside of medicine, such as government financial data, will be linked for research. Over the long term, genetic and imaging data will be integrated with the EMR, and there will be more emphasis on predictive models. Many technical challenges remain when analyzing big data that relates to size, heterogeneity, complexity, and unstructured text data in the EMR. Human judgement and subject matter expertise are critical parts of big data analysis, and the active participation of psychiatrists is needed throughout the analytical process.</t>
  </si>
  <si>
    <t>Monteith Scott,Glenn Tasha,Geddes John,Whybrow Peter,Bauer Michael</t>
  </si>
  <si>
    <t>https://research.ebsco.com/linkprocessor/plink?id=b683b9c0-06e6-38a5-807b-0f765254a248</t>
  </si>
  <si>
    <t>Big data,Bipolar disorder,Mental health services,Integrated health care delivery,Preventive medicine,Electronic health records,Psychiatric and Substance Abuse Hospitals,Residential Mental Health and Substance Abuse Facilities,Offices of Mental Health Practitioners (except Physicians)</t>
  </si>
  <si>
    <t>International Journal of Bipolar Disorders</t>
  </si>
  <si>
    <t>Birth weight and the risk of histological subtypes of ovarian and endometrial cancers: Results from the Copenhagen School Health Records Register</t>
  </si>
  <si>
    <t>Background: Studies of birth weight associations with ovarian and endometrial cancer risks are limited with inconsistent results, and none has evaluated associations by histologic subtype. We utilized prospectively collected birth weight information to investigate the association with risk of ovarian and endometrial cancers overall and by histologic subtype. Methods: 162,559 girls, born from 1930 to 1989, from the Copenhagen School Health Records Register (CSHRR) were followed prospectively via linkage with the Danish health registers. Ovarian (n = 666) and endometrial (n = 694) cancers were identified from 1978 to 2014. Cox regression was used to estimate hazard ratios (HR) and 95% confidence intervals (CI). Results: Women with lower (2.0–3.25 vs. 3.26–3.75 kg) and higher (3.75–5.5 vs. 3.26–3.75 kg) birth weights had increased risks of ovarian cancer overall [HR (95% CI): 1.27 (1.06–1.52); 1.51 (1.21–1.87), respectively] and serous ovarian cancers [1.54 (1.19–1.98); 1.98 (1.47–2.67), respectively]. A decreased risk of Type II endometrial tumors was suggested per kilogram increase in birth weight [HR (95% CI): 0.63 (0.40–1.00)]. Conclusions: Our results suggest that both lower and higher birth weights were associated with increased ovarian cancer risk and associations were particularly strong for serous ovarian cancer, the most common subtype. Birth weight was not associated with most types of endometrial cancer. © 2018 Elsevier Inc.</t>
  </si>
  <si>
    <t>Trabert,B.,Aarestrup,J.,Ulrich,L.G.,Wentzensen,N.,Sorensen,T.I.A.,Baker,J.L.</t>
  </si>
  <si>
    <t>https://www.scopus.com/inward/record.uri?eid=2-s2.0-85040465593&amp;doi=10.1016%2Fj.ygyno.2017.12.031&amp;partnerID=40&amp;md5=cf21130055affef09157ccfe5d25a6e6</t>
  </si>
  <si>
    <t>Birth weight,Cohort,Endometrial cancer,Histologic subtype,Ovarian cancer</t>
  </si>
  <si>
    <t>Gynecologic Oncology</t>
  </si>
  <si>
    <t>Blockchain driven medical image encryption employing chaotic tent map in cloud computing</t>
  </si>
  <si>
    <t>Data security during transmission over public networks has become a key concern in an era of rapid digitization. Image data is especially vulnerable since it can be stored or transferred using public cloud services, making it open to illegal access, breaches, and eavesdropping. This work suggests a novel way to integrate blockchain technology with a Chaotic Tent map encryption scheme in order to overcome these issues. The outcome is a Blockchain driven Chaotic Tent Map Encryption Scheme (BCTMES) for secure picture transactions. The idea behind this strategy is to ensure an extra degree of security by fusing the distributed and immutable properties of blockchain technology with the intricate encryption offered by chaotic maps. To ensure that the image is transformed into a cipher form that is resistant to several types of attacks, the proposed BCTMES first encrypts it using the Chaotic Tent map encryption technique. The accompanying signed document is safely kept on the blockchain, and this encrypted image is subsequently uploaded to the cloud. The integrity and authenticity of the image are confirmed upon retrieval by utilizing blockchain’s consensus mechanism, adding another layer of security against manipulation. Comprehensive performance evaluations show that BCTMES provides notable enhancements in important security parameters, such as entropy, correlation coefficient, key sensitivity, peak signal-to-noise ratio (PSNR), unified average changing intensity (UACI), and number of pixels change rate (NPCR). In addition to providing good defense against brute-force attacks, the high key size of further strengthens the system’s resilience. To sum up, the BCTMES effectively addresses a number of prevalent risks to picture security and offers a complete solution that may be implemented in cloud-based settings where data integrity and privacy are crucial. This work suggests a promising path for further investigation and practical uses in secure image transmission. © The Author(s) 2025.</t>
  </si>
  <si>
    <t>Shahid,U.,Kanwal,S.,Bano,M.,Inam,S.,Abdalla,M.E.M.,Shaikh,Z.A.</t>
  </si>
  <si>
    <t>https://www.scopus.com/inward/record.uri?eid=2-s2.0-85218694630&amp;doi=10.1038%2Fs41598-025-90502-5&amp;partnerID=40&amp;md5=1b391bed243c6e073cf4599996c303a8</t>
  </si>
  <si>
    <t>Blockchain,Chaotic tent map,Cloud computing,Image encryption,Prime circulant matrix,Sine map</t>
  </si>
  <si>
    <t>Breaking Barriers in Cancer Diagnosis: Super‐Light Compact Convolution Transformer for Colon and Lung Cancer Detection.</t>
  </si>
  <si>
    <t>According to the World Health Organization, lung and colon cancers are known for their high mortality rates which necessitate the diagnosis of these cancers at an early stage. However, the limited availability of data such as histopathology images used for diagnosis of these cancers, poses a significant challenge while developing computer‐aided detection system. This makes it necessary to keep a check on the number of parameters in the artificial intelligence (AI) model used for the detection of these cancers considering the limited availability of the data. In this work, a customised compact and efficient convolution transformer architecture, termed, C3‐Transformer has been proposed for the diagnosis of colon and lung cancers using histopathological images. The proposed C3‐Transformer relies on convolutional tokenisation and sequence pooling approach to keep a check on the number of parameters and to combine the advantage of convolution neural network with the advantages of transformer model. The novelty of the proposed method lies in efficient classification of colon and lung cancers using the proposed C3‐Transformer architecture. The performance of the proposed method has been evaluated on the 'LC25000' dataset. Experimental results shows that the proposed method has been able to achieve average classification accuracy, precision and recall value of 99.30%, 0.9941 and 0.9950, in classifying the five different classes of colon and lung cancer with only 0.0316 million parameters. Thus, the present computer‐aided detection system developed using proposed C3‐Transformer can efficiently detect the colon and lung cancers using histopathology images with high detection accuracy.</t>
  </si>
  <si>
    <t>Maurya Ritesh,Pandey Nageshwar Nath,Karnati Mohan,Sahu Geet</t>
  </si>
  <si>
    <t>https://research.ebsco.com/linkprocessor/plink?id=86dc40d4-2eb1-3fe9-b8c4-af76d4873412</t>
  </si>
  <si>
    <t>Convolutional neural networks,Transformer models,Colon cancer,Lung cancer,Colon cancer diagnosis</t>
  </si>
  <si>
    <t>International Journal of Imaging Systems &amp; Technology</t>
  </si>
  <si>
    <t>Bridging the tumor microenvironment: the pivotal role of cancer-associated fibroblasts in tumor cachexia development.</t>
  </si>
  <si>
    <t>Declarations. Ethics approval and consent to participate: Not applicable. Consent for publication: Not applicable. Competing interests: The authors declare no competing interests.</t>
  </si>
  <si>
    <t>Chen Guoming,Chen Bonan,Wu Yilin,Nie Hao,Zhong Zilan,Yang Shuyang,Qin Rui,Kang Wei,Zhang Cheng,Wang Ning,Feng Yibin</t>
  </si>
  <si>
    <t>https://research.ebsco.com/linkprocessor/plink?id=9cafa1b6-6e13-37dc-b2fa-6a61548248ee</t>
  </si>
  <si>
    <t>Molecular cancer</t>
  </si>
  <si>
    <t>Broadening horizons: the case for capturing function and the role of health informatics in its use.</t>
  </si>
  <si>
    <t>Human activity and the interaction between health conditions and activity is a critical part of understanding the overall function of individuals. The World Health Organization's International Classification of Functioning, Disability and Health (ICF) models function as all aspects of an individual's interaction with the world, including organismal concepts such as individual body structures, functions, and pathologies, as well as the outcomes of the individual's interaction with their environment, referred to as activity and participation. Function, particularly activity and participation outcomes, is an important indicator of health at both the level of an individual and the population level, as it is highly correlated with quality of life and a critical component of identifying resource needs. Since it reflects the cumulative impact of health conditions on individuals and is not disease specific, its use as a health indicator helps to address major barriers to holistic, patient-centered care that result from multiple, and often competing, disease specific interventions. While the need for better information on function has been widely endorsed, this has not translated into its routine incorporation into modern health systems.</t>
  </si>
  <si>
    <t>Newman-Griffis Denis,Porcino Julia,Zirikly Ayah,Thieu Thanh,Camacho Maldonado Jonathan,Ho Pei-Shu,Ding Min,Chan Leighton,Rasch Elizabeth</t>
  </si>
  <si>
    <t>https://research.ebsco.com/linkprocessor/plink?id=a9191a5e-1fd0-30fa-8096-4c9f13a829da</t>
  </si>
  <si>
    <t>Data Collection,Medical Informatics,Humans</t>
  </si>
  <si>
    <t>BMC public health</t>
  </si>
  <si>
    <t>Brown fat does not cause cachexia in cancer patients: A large retrospective longitudinal FDG-PET/CT cohort study.</t>
  </si>
  <si>
    <t>Background: Brown adipose tissue (BAT) is a specialized form of adipose tissue, able to increase energy expenditure by heat generation in response to various stimuli. Recently, its pathological activation has been implicated in the pathogenesis of cancer cachexia. To establish a causal relationship, we retrospectively investigated the longitudinal changes in BAT and cancer in a large FDG-PET/CT cohort. Methods: We retrospectively analyzed 13 461 FDG-PET/CT examinations of n = 8 409 patients at our institution from the winter months of 2007–2015. We graded the activation strength of BAT based on the anatomical location of the most caudally activated BAT depot into three tiers, and the stage of the cancer into five general grades. We validated the cancer grading by an interreader analysis and correlation with histopathological stage. Ambient temperature data (seven-day average before the examination) was obtained from a meteorological station close to the hospital. Changes of BAT, cancer, body mass index (BMI) and temperature between the different examinations were examined with Spearman's test and a mixed linear model for correlation, and with a causal inference algorithm for causality. Results: We found n = 283 patients with at least two examinations and active BAT in at least one of them. There was no significant interaction between the changes in BAT activation, cancer burden or BMI. Temperature changes exhibited a strong negative correlation with BAT activity (ϱ = -0.57, p&lt;0.00001). These results were confirmed with the mixed linear model. Causal inference revealed a link of Temperature ➜ BAT in all subjects and also of BMI ➜ BAT in subjects who had lost weight and increased cancer burden, but no role of cancer and no causal links of BAT ➜ BMI. Conclusions: Our data did not confirm the hypothesis that BAT plays a major role in cancer-mediated weight loss. Temperature changes are the main driver of incidental BAT activity on FDG-PET scans.</t>
  </si>
  <si>
    <t>Becker Anton S.,Zellweger Caroline,Bacanovic Sara,Franckenberg Sabine,Nagel Hannes W.,Frick Lukas,Schawkat Khoschy,Eberhard Matthias,Blüthgen Christian,Volbracht Jörk,Moos Rudolf,Wolfrum Christian,Burger Irene A.</t>
  </si>
  <si>
    <t>https://research.ebsco.com/linkprocessor/plink?id=602d01b3-36bf-318f-adf2-d6a826540adc</t>
  </si>
  <si>
    <t>Brown adipose tissue,Weight loss,Cancer patients,Body mass index,Etiology of cancer,Cohort analysis,Adipose tissues</t>
  </si>
  <si>
    <t>Burkitt lymphoma: The effect of age, sex and delay to diagnosis on treatment completion and outcome of treatment in 934 Patients in Cameroon</t>
  </si>
  <si>
    <t>Introduction The role of age and sex in the presentation and outcome of endemic Burkitt lymphoma (BL) has not been studied recently. This study analysed these factors in 934 patients with BL who had received cyclophosphamide and intrathecal methotrexate as treatment. Methods Records of 934 children diagnosed with BL from 2004 to 2015 were obtained from our Paediatric Oncology Networked Database (POND) cancer registry. Age at diagnosis, sex, disease stage, time to diagnosis, delay in diagnosis, completion of treatment, rate of abandonment, and one-year survival rates were recorded and statistically analysed. Results The male to female ratio of 1.41 for the study population of 934. The median delay from onset of symptoms to diagnosis was 31 days. The St Jude stage distribution was I = 6.4%, II = 5.9%, III = 71.5% and IV = 16.2%. Significantly more patients presented with stage III disease in age groups 5-9 and 10-14 years than 0-4 years. The overall 1-year survival rate was 53.45%, respectively 77.1% for stage I, 67.9% for stage II, 55.1% for stage III and 32.4% for stage IV disease (p&lt;0.001). There was no significant difference in survival by sex and age group. Conclusion Patients aged under 5 years presented with less-advanced disease, but survival was not affected by age. Sex did not influence delay to diagnosis and overall survival. The long delay between the onset of symptoms and diagnosis emphasises the need for interventions to achieve an earlier diagnosis and a better survival rate. Copyright: © 2024 Hesseling et al. This is an open access article distributed under the terms of the Creative Commons Attribution License, which permits unrestricted use, distribution, and reproduction in any medium, provided the original author and source are credited.</t>
  </si>
  <si>
    <t>Hesseling,P.B.,Afungchwi,G.M.,Njodzeka,B.W.,Wharin,P.,Kouya,F.N.,Kruger,M.</t>
  </si>
  <si>
    <t>https://www.scopus.com/inward/record.uri?eid=2-s2.0-85187711325&amp;doi=10.1371%2Fjournal.pone.0299777&amp;partnerID=40&amp;md5=b49883f15416710e2bc310476b2b27d3</t>
  </si>
  <si>
    <t>CADxPolydetect: a clinically explainable hybrid deep learning system for multi-class colorectal lesion detection using augmented colonoscopy images.</t>
  </si>
  <si>
    <t>Declarations. Ethics approval and consent to participate: Not applicable. Consent for publication: Not applicable. Underlying conclusions based upon raw data: Raw data supporting conclusions drawn in this work include colonoscopy images from the publicly available Hyper Kvasir dataset described earlier. Augmented data produced by DCGAN and SMOTE techniques may be furnished upon request or posted to an open online repository (such as GitHub or Google Drive) to facilitate transparency and reproducibility. Hyper-Kvasir Dataset: https://datasets.simula.no/hyper-kvasir/ Competing interests: The authors declare no competing interests.</t>
  </si>
  <si>
    <t>Narasimha Raju Akella S,Hussain Shaik Jakeer,Rajababu M,Gatla Ranjith Kumar,Venkatesh K,Guntreddi Venkataramana</t>
  </si>
  <si>
    <t>https://research.ebsco.com/linkprocessor/plink?id=1b69454f-cccb-3af0-bd00-3f49348eedbb</t>
  </si>
  <si>
    <t>Can open source large language models be used for tumor documentation in Germany?—An evaluation on urological doctors' notes.</t>
  </si>
  <si>
    <t>Background: Tumor documentation in Germany is currently a largely manual process. It involves reading the textual patient documentation and filling in forms in dedicated databases to obtain structured data. Advances in information extraction techniques that build on large language models (LLMs) could have the potential for enhancing the efficiency and reliability of this process. Evaluating LLMs in the German medical domain, especially their ability to interpret specialized language, is essential to determine their suitability for the use in clinical documentation. Due to data protection regulations, only locally deployed open source LLMs are generally suitable for this application. Methods: The evaluation employs eleven different open source LLMs with sizes ranging from 1 to 70 billion model parameters. Three basic tasks were selected as representative examples for the tumor documentation process: identifying tumor diagnoses, assigning ICD-10 codes, and extracting the date of first diagnosis. For evaluating the LLMs on these tasks, a dataset of annotated text snippets based on anonymized doctors' notes from urology was prepared. Different prompting strategies were used to investigate the effect of the number of examples in few-shot prompting and to explore the capabilities of the LLMs in general. Results: The models Llama 3.1 8B, Mistral 7B, and Mistral NeMo 12 B performed comparably well in the tasks. Models with less extensive training data or having fewer than 7 billion parameters showed notably lower performance, while larger models did not display performance gains. Examples from a different medical domain than urology could also improve the outcome in few-shot prompting, which demonstrates the ability of LLMs to handle tasks needed for tumor documentation. Conclusions: Open source LLMs show a strong potential for automating tumor documentation. Models from 7–12 billion parameters could offer an optimal balance between performance and resource efficiency. With tailored fine-tuning and well-designed prompting, these models might become important tools for clinical documentation in the future. The code for the evaluation is available from https://github.com/stefan-m-lenz/UroLlmEval. We also release the data set under https://huggingface.co/datasets/stefan-m-lenz/UroLlmEvalSet providing a valuable resource that addresses the shortage of authentic and easily accessible benchmarks in German-language medical NLP.</t>
  </si>
  <si>
    <t>Lenz Stefan,Ustjanzew Arsenij,Jeray Marco,Ressing Meike,Panholzer Torsten</t>
  </si>
  <si>
    <t>https://research.ebsco.com/linkprocessor/plink?id=25075ff9-30dc-35f0-9700-9b485d04c1ca</t>
  </si>
  <si>
    <t>Language models,Medical records,Data mining,Urologists,Open source software,Medical language,Germany</t>
  </si>
  <si>
    <t>BioData Mining</t>
  </si>
  <si>
    <t>Can routinely collected administrative data effectively be used to evaluate and validate endpoints used in breast cancer clinical trials? Protocol for a scoping review of the literature.</t>
  </si>
  <si>
    <t>Background: Randomized controlled trials (RCTs) are a critical component of evidence-based medicine and the evolution of patient care. However, the costs of conducting a RCT can be prohibitive. A promising approach toward reduction of costs and lessening of the burden of intensive and lengthy patient follow-up is the use of routinely collected healthcare data (RCHD), commonly called real-world data. We propose a scoping review to identify existing RCHD case definitions of breast cancer progression and survival and their diagnostic performance. Methods: We will search MEDLINE, EMBASE, and CINAHL to identify primary studies of women with either early-stage or metastatic breast cancer, managed with established therapies, that evaluated the diagnostic accuracy of one or more RCHD-based case definitions or algorithms of disease progression (i.e., recurrence, progression-free survival, disease-free survival, or invasive disease-free survival) or survival (i.e., breast-cancer-free survival or overall survival) compared with a reference standard measure (e.g., chart review or a clinical trial dataset). Study characteristics and descriptions of algorithms will be extracted along with measures of the diagnostic accuracy of each algorithm (e.g., sensitivity, specificity, positive predictive value, negative predictive value), which will be summarized both descriptively and in structured figures/tables. Discussion: Findings from this scoping review will be clinically meaningful for breast cancer researchers globally. Identification of feasible and accurate strategies to measure patient-important outcomes will potentially reduce RCT budgets as well as lessen the burden of intensive trial follow-up on patients. Systematic review registration: Open Science Framework (https://doi.org/10.17605/OSF.IO/6D9RS)</t>
  </si>
  <si>
    <t>Shah Hely,Wolfe Dianna,Clemons Mark,Liu Michelle,Thavorn Kednapa,Veroniki Areti-Angeliki,Lunny Carole,Pond Greg,McGee Sharon,Skidmore Becky,Arnaout Angel,Hutton Brian</t>
  </si>
  <si>
    <t>https://research.ebsco.com/linkprocessor/plink?id=c3fd62b9-fd58-3b0d-8d5a-2e580c687561</t>
  </si>
  <si>
    <t>Cancer relapse,Breast cancer,Metastatic breast cancer,Clinical trials,Progression-free survival,Research and Development in the Physical, Engineering, and Life Sciences (except Biotechnology)</t>
  </si>
  <si>
    <t>Systematic Reviews</t>
  </si>
  <si>
    <t>Can text-search methods of pathology reports accurately identify patients with rectal cancer in large administrative databases?</t>
  </si>
  <si>
    <t>Background: The aim of this study is to derive and to validate a cohort of rectal cancer surgical patients within administrative datasets using text-search analysis of pathology reports. Materials and Methods: A text-search algorithm was developed and validated on pathology reports from 694 known rectal cancers, 1000 known colon cancers, and 1000 noncolorectal specimens. The algorithm was applied to all pathology reports available within the Ottawa Hospital Data Warehouse from 1996 to 2010. Identified pathology reports were validated as rectal cancer specimens through manual chart review. Sensitivity, specificity, and positive predictive value (PPV) of the text-search methodology were calculated. Results: In the derivation cohort of pathology reports (n = 2694), the text-search algorithm had a sensitivity and specificity of 100% and 98.6%, respectively. When this algorithm was applied to all pathology reports from 1996 to 2010 (n = 284,032), 5588 pathology reports were identified as consistent with rectal cancer. Medical record review determined that 4550 patients did not have rectal cancer, leaving a final cohort of 1038 rectal cancer patients. Sensitivity and specificity of the text-search algorithm were 100% and 98.4%, respectively. PPV of the algorithm was 18.6%. Conclusions: Text-search methodology is a feasible way to identify all rectal cancer surgery patients through administrative datasets with high sensitivity and specificity. However, in the presence of a low pretest probability, text-search methods must be combined with a validation method, such as manual chart review, to be a viable approach.</t>
  </si>
  <si>
    <t>https://research.ebsco.com/linkprocessor/plink?id=71ba5146-2b23-3bb5-a9ca-0c0deecb4328</t>
  </si>
  <si>
    <t>Rectal cancer treatment,Medical databases,Search algorithms</t>
  </si>
  <si>
    <t>Cancer Diagnosis Categorization in Electronic Health Records Using Large Language Models and BioBERT: Model Performance Evaluation Study</t>
  </si>
  <si>
    <t>Background: Electronic health records contain inconsistently structured or free-text data, requiring efficient preprocessing to enable predictive health care models. Although artificial intelligence-driven natural language processing tools show promise for automating diagnosis classification, their comparative performance and clinical reliability require systematic evaluation. Objective: The aim of this study is to evaluate the performance of 4 large language models (GPT-3.5, GPT-4o, Llama 3.2, and Gemini 1.5) and BioBERT in classifying cancer diagnoses from structured and unstructured electronic health records data. Methods: We analyzed 762 unique diagnoses (326 International Classification of Diseases [ICD] code descriptions, 436 free-text entries) from 3456 records of patients with cancer. Models were tested on their ability to categorize diagnoses into 14 predefined categories. Two oncology experts validated classifications. Results: BioBERT achieved the highest weighted macro F 1-score for ICD codes (84.2) and matched GPT-4o in ICD code accuracy (90.8). For free-text diagnoses, GPT-4o outperformed BioBERT in weighted macro F 1-score (71.8 vs 61.5) and achieved slightly higher accuracy (81.9 vs 81.6). GPT-3.5, Gemini, and Llama showed lower overall performance on both formats. Common misclassification patterns included confusion between metastasis and central nervous system tumors, as well as errors involving ambiguous or overlapping clinical terminology. Conclusions: Although current performance levels appear sufficient for administrative and research use, reliable clinical applications will require standardized documentation practices alongside robust human oversight for high-stakes decision-mak-ing.</t>
  </si>
  <si>
    <t>Hashtarkhani S,Rashid R,Brett CL,Chinthala L,Kumsa FA,Zink JA,Davis RL,Schwartz DL,Shaban-Nejad A</t>
  </si>
  <si>
    <t>https://www.webofscience.com/wos/woscc/full-record/WOS:001615537200001</t>
  </si>
  <si>
    <t>natural language processing; large language model; electronic health record; cancer diagnosis; BioBERT; bidirectional encoder representations from transformers</t>
  </si>
  <si>
    <t>JMIR CANCER</t>
  </si>
  <si>
    <t>Cancer Registry Data Linkage of Electronic Health Record Data from ASCO's CancerLinQ: Evaluation of Advantages, Limitations, and Lessons Learned</t>
  </si>
  <si>
    <t>PURPOSETo evaluate the completeness of information for research and quality assessment through a linkage between cancer registry data and electronic health record (EHR) data refined by ASCO's health technology platform CancerLinQ.METHODSA probabilistic data linkage between Iowa Cancer Registry (ICR) and an Iowa oncology clinic through CancerLinQ data was conducted for cases diagnosed between 2009 and 2018. Demographic, cancer, and treatment variables were compared between data sources for the same patients, all of whom were diagnosed with one primary cancer. Treatment data and compliance with quality measures were compared among those with breast or prostate cancer; SEER-Medicare data served as a comparison. Variables captured only in CancerLinQ data (smoking, pain, and height/weight) were evaluated for completeness.RESULTSThere were 6,175 patients whose data were linked between ICR and CancerLinQ data sets. Of those, 4,291 (70%) were diagnosed with one primary cancer and were included in analyses. Demographic variables were comparable between data sets. Proportions of people receiving hormone therapy (30% v 26%, P &lt;.0001) or immunotherapy (22% v 12%, P &lt;.0001) were significantly higher in CancerLinQ data compared with ICR data. ICR data contained more complete TNM stage, human epidermal growth factor receptor 2 testing, and Gleason score information. Compliance with quality measures was generally highest in SEER-Medicare data followed by the combined ICR-CancerLinQ data. CancerLinQ data contained smoking, pain, and height/weight information within one month of diagnosis for 88%, 52%, and 76% of patients, respectively.CONCLUSIONLinking CancerLinQ EHR data with cancer registry data led to more complete data for each source respectively, as registry data provides definitive diagnosis and more complete stage information and laboratory results, whereas EHR data provide more detailed treatment data and additional variables not captured by registries. © American Society of Clinical Oncology.</t>
  </si>
  <si>
    <t>Charlton,M.E.,Kahl,A.R.,McDowell,B.D.,Miller,R.S.,Komatsoulis,G.,Koskimaki,J.E.,Rivera,D.R.,Cronin,K.A.</t>
  </si>
  <si>
    <t>https://www.scopus.com/inward/record.uri?eid=2-s2.0-85129779350&amp;doi=10.1200%2FCCI.21.00149&amp;partnerID=40&amp;md5=dd2c5d19c7fd75c2ab9fe7f59cfe58ba</t>
  </si>
  <si>
    <t>Cancer screening simulation models: a state of the art review.</t>
  </si>
  <si>
    <t>Nowadays, various simulation approaches for evaluation and decision making in cancer screening can be found in the literature. This paper presents an overview of approaches used to assess screening programs for breast, lung, colorectal, prostate, and cervical cancers. Our main objectives are to describe methodological approaches and trends for different cancer sites and study populations, and to evaluate quality of cancer screening simulation studies.</t>
  </si>
  <si>
    <t>Bespalov Aleksandr,Barchuk Anton,Auvinen Anssi,Nevalainen Jaakko</t>
  </si>
  <si>
    <t>https://research.ebsco.com/linkprocessor/plink?id=c08113d4-5965-36f3-aa8a-c2e708938f7b</t>
  </si>
  <si>
    <t>Early Detection of Cancer,Neoplasms diagnosis,Cohort Studies,Humans,Male,Mass Screening</t>
  </si>
  <si>
    <t>Cancer Survivors’ Long-Term Health Service Costs in Queensland, Australia: Results of a Population-Level Data Linkage Study (Cos-Q)</t>
  </si>
  <si>
    <t>Worldwide, the number of cancer survivors is rapidly increasing. The aim of this study was to quantify long-term health service costs of cancer survivorship on a population level. The study cohort comprised residents of Queensland, Australia, diagnosed with a first primary malignancy between 1997 and 2015. Administrative databases were linked with cancer registry records to capture all health service utilization. Health service costs between 2013–2016 were analyzed using a bottom-up costing approach. The cumulative mean annual healthcare expenditure (2013–2016) for the cohort of N = 230,380 individuals was AU$3.66 billion. The highest costs were incurred by patients with a history of prostate (AU$538 m), breast (AU$496 m) or colorectal (AU$476 m) cancers. Costs by time since diagnosis were typically highest in the first year after diagnosis and decreased over time. Overall mean annual healthcare costs per person (2013–2016) were AU$15,889 (SD: AU$25,065) and highest costs per individual were for myeloma (AU$45,951), brain (AU$30,264) or liver cancer (AU$29,619) patients. Our results inform policy makers in Australia of the long-term health service costs of cancer survivors, provide data for economic evaluations and reinforce the benefits of investing in cancer prevention. © 2022 by the authors.</t>
  </si>
  <si>
    <t>Merollini,K.M.D.,Gordon,L.G.,Ho,Y.M.,Aitken,J.F.,Kimlin,M.G.</t>
  </si>
  <si>
    <t>https://www.scopus.com/inward/record.uri?eid=2-s2.0-85136342668&amp;doi=10.3390%2Fijerph19159473&amp;partnerID=40&amp;md5=8f60b9592a98ed634251ca319cfdb230</t>
  </si>
  <si>
    <t>cancer survivors,costs and cost analysis,health economics,health service use</t>
  </si>
  <si>
    <t>International Journal of Environmental Research and Public Health</t>
  </si>
  <si>
    <t>CancerBERT: a cancer domain-specific language model for extracting breast cancer phenotypes from electronic health records</t>
  </si>
  <si>
    <t>Objective Accurate extraction of breast cancer patients' phenotypes is important for clinical decision support and clinical research. This study developed and evaluated cancer domain pretrained CancerBERT models for extracting breast cancer phenotypes from clinical texts. We also investigated the effect of customized cancer-related vocabulary on the performance of CancerBERT models. Materials and Methods A cancer-related corpus of breast cancer patients was extracted from the electronic health records of a local hospital. We annotated named entities in 200 pathology reports and 50 clinical notes for 8 cancer phenotypes for fine-tuning and evaluation. We kept pretraining the BlueBERT model on the cancer corpus with expanded vocabularies (using both term frequency-based and manually reviewed methods) to obtain CancerBERT models. The CancerBERT models were evaluated and compared with other baseline models on the cancer phenotype extraction task. Results All CancerBERT models outperformed all other models on the cancer phenotyping NER task. Both CancerBERT models with customized vocabularies outperformed the CancerBERT with the original BERT vocabulary. The CancerBERT model with manually reviewed customized vocabulary achieved the best performance with macro F1 scores equal to 0.876 (95% CI, 0.873-0.879) and 0.904 (95% CI, 0.902-0.906) for exact match and lenient match, respectively. Conclusions The CancerBERT models were developed to extract the cancer phenotypes in clinical notes and pathology reports. The results validated that using customized vocabulary may further improve the performances of domain specific BERT models in clinical NLP tasks. The CancerBERT models developed in the study would further help clinical decision support.</t>
  </si>
  <si>
    <t>Zhou SC,Wang N,Wang LW,Liu HF,Zhang R</t>
  </si>
  <si>
    <t>https://www.webofscience.com/wos/woscc/full-record/WOS:000773047600001</t>
  </si>
  <si>
    <t>natural language processing; CancerBERT; cancer phenotyping; electronic health record; name entity recognition</t>
  </si>
  <si>
    <t>JOURNAL OF THE AMERICAN MEDICAL INFORMATICS ASSOCIATION</t>
  </si>
  <si>
    <t>Cancer-related hospitalisations and 'unknown' stage prostate cancer: A population-based record linkage study</t>
  </si>
  <si>
    <t>Objectives: To identify reasons for prostate cancer stage being recorded as 'unknown' in Australia's largest population-based cancer registry. Design: Prospective population-based cohort. Setting: New South Wales (NSW) is the most populous state in Australia, with almost one third of the total national population. Participants: NSW Cancer Registry (NSWCR) records for prostate cancer cases diagnosed in 2001-2009 were linked to the NSW Admitted Patient Data Collection (APDC) for 2000-2010. All patients in this study had a minimum of 12 months follow-up in the hospital episode records after their date of diagnosis as recorded by the NSWCR. Main outcome measures: Incidence of 'unknown' stage prostate cancer and cancer-specific survival. Results: Of 50 597 prostate cancer cases, 39.9% were recorded as having 'unknown' stage. Up to 4 months after diagnosis, 77.2% of cases without a hospitalreported cancer diagnosis were recorded as having 'unknown' stage. Among those patients with a hospital-reported cancer diagnosis, stage was 'unknown' for 7.6% of cases who received a radical prostatectomy (RP) and for 34.0% of cases who had procedures other than RP. In the latter group, the factors that were related to having 'unknown' stage were living in disadvantaged areas (adjusted OR (aOR) range: 1.13 to 1.20), attending a private hospital (aOR range: 1.25 to 2.13), having day-only admission for care (aOR=1.23, 95% CI 1.11 to 1.36), or having procedures other than multiple procedures with imaging (eg, biopsy only, aOR range: 1.11 to 1.45). Conclusions: Over half of 'unknown' stage prostate cancer cases did not have a hospital-reported prostate cancer diagnosis within the 4 months after initial diagnosis. We identified differences in the likelihood of cases being recorded as 'unknown' stage based on socioeconomic status and facility type, which suggests that further investigation of reporting practices in relation to diagnostic and treatment pathways is required.</t>
  </si>
  <si>
    <t>Luo,Q.,Yu,X.Q.,Smith,D.P.,Goldsbury,D.E.,Cooke-Yarborough,C.,Patel,M.I.,O'Connell,D.L.</t>
  </si>
  <si>
    <t>https://www.scopus.com/inward/record.uri?eid=2-s2.0-85009502274&amp;doi=10.1136%2Fbmjopen-2016-014259&amp;partnerID=40&amp;md5=f2e738ce77d6c91f068a2a627b4d6f00</t>
  </si>
  <si>
    <t>BMJ Open</t>
  </si>
  <si>
    <t>Case-linked analysis of clinical trial enrollment among adolescents and young adults at a National Cancer Institute-Designated comprehensive cancer center</t>
  </si>
  <si>
    <t>BACKGROUND Poor accrual to cancer clinical trials may contribute to the lower improvement in survival observed for adolescents and young adults (AYAs) (those aged 15-39 years) with cancer. This has been difficult to quantify without reliable mechanisms to link incident cases with study enrollments. Using unique resources available at their National Cancer Institute-designated comprehensive cancer center, the authors compared the percentage of AYAs, children, and older adults enrolled onto cancer clinical trials and determined predictors of enrollment. METHODS Patients diagnosed with cancer from January 2008 through December 2012 at 1 pediatric and 2 adult University of Southern California hospitals were identified through the California Cancer Registry and individually linked to institutional trial enrollment databases. The availability of clinical trials was assessed. RESULTS Across the center, the enrollment percentage for AYAs (6%) was equal to that of older adults (6%), but was less than that for children (22%) (P &lt;.01). Within the children's hospital, the AYA enrollment percentage was also less than that for children (15% vs 23%, respectively; P&lt;.01). On multivariate analysis, diagnosis and site of care were found to be predictive of AYA enrollment onto therapeutic and nontherapeutic studies. Hispanic and Asian/Pacific Islander individuals were more likely to enroll onto nontherapeutic studies compared with non-Hispanic whites, but no racial/ethnic difference was observed for therapeutic studies. CONCLUSIONS In the current study, the percentages of AYAs and older adults enrolled onto therapeutic trials were low but similar. Diagnosis, site of care, and race/ethnicity appear to be predictive of enrollment. Prospective mechanisms must be instituted to capture reasons for nonenrollment of AYAs and develop corrective interventions. Cancer 2015;121:4398-406. © 2015 American Cancer Society.</t>
  </si>
  <si>
    <t>Collins,C.L.,Malvar,J.,Hamilton,A.S.,Deapen,D.M.,Freyer,D.R.</t>
  </si>
  <si>
    <t>https://www.scopus.com/inward/record.uri?eid=2-s2.0-84949315644&amp;doi=10.1002%2Fcncr.29669&amp;partnerID=40&amp;md5=81304755c2fe3c17b4d9a1d5d39711a7</t>
  </si>
  <si>
    <t>adolescent,clinical oncology,clinical trial as topic,young adult</t>
  </si>
  <si>
    <t>Cervical cancer screening history prior to a diagnosis of cervical cancer in Danish women aged 60 years and older—A national cohort study</t>
  </si>
  <si>
    <t>The incidence and mortality of cervical cancer are high in Danish women aged 60 years and older who are about to exit the cervical cancer screening program. The present study aimed to describe the screening history in women ≥60 years old, diagnosed with cervical cancer in Denmark, 2009-2013. We retrieved information on cases of cervical cancer and previous cervical cancer screening from national registries. During the study period, a total of 1907 women were diagnosed with cervical cancer, 574 (30.1%) of which were ≥60 years old. The majority of women were diagnosed with squamous cell carcinoma (73.7%) and advanced-stage disease (ASD, ie, ≥FIGO IIB; 63.1%). The proportion of ASD increased with age, from 51.9% in women aged 60-64% to 76.7% in women aged 75-79. Among screened women (n = 377), 22.8% had a cervical cytology within 5 years of diagnosis, 73.3% of which were normal, and 45.1% were diagnosed with ASD. Women who had been sufficiently screened prior to screening exit (≥2 normal cytology test in the age interval 50-59) accounted for 18.1%. Of note, 53.8% of the sufficiently screened women were diagnosed with ASD. Sufficiently screened women were less likely to be diagnosed with ASD compared to never-screened women (53.8% vs 67.5%, P &lt; 0.020), but no difference was observed between sufficiently and insufficiently screened women (53.8% vs 63.4%, P = 0.091). Our findings suggest that cancer in older women may occur due to insufficient screening prior to screening exit, a low sensitivity of screening, and premature screening exit. © 2018 The Authors. Cancer Medicine published by John Wiley &amp; Sons Ltd.</t>
  </si>
  <si>
    <t>Hammer,A.,Soegaard,V.,Maimburg,R.D.,Blaakaer,J.</t>
  </si>
  <si>
    <t>https://www.scopus.com/inward/record.uri?eid=2-s2.0-85059471136&amp;doi=10.1002%2Fcam4.1926&amp;partnerID=40&amp;md5=1182e1667574662d816c178e43550289</t>
  </si>
  <si>
    <t>cancer prevention,epidemiology and prevention,gynecological oncology,screening</t>
  </si>
  <si>
    <t>Challenges and opportunities beyond structured data in analysis of electronic health records.</t>
  </si>
  <si>
    <t>Electronic health records (EHR) contain a lot of valuable information about individual patients and the whole population. Besides structured data, unstructured data in EHRs can provide extra, valuable information but the analytics processes are complex, time‐consuming, and often require excessive manual effort. Among unstructured data, clinical text and images are the two most popular and important sources of information. Advanced statistical algorithms in natural language processing, machine learning, deep learning, and radiomics have increasingly been used for analyzing clinical text and images. Although there exist many challenges that have not been fully addressed, which can hinder the use of unstructured data, there are clear opportunities for well‐designed diagnosis and decision support tools that efficiently incorporate both structured and unstructured data for extracting useful information and provide better outcomes. However, access to clinical data is still very restricted due to data sensitivity and ethical issues. Data quality is also an important challenge in which methods for improving data completeness, conformity and plausibility are needed. Further, generalizing and explaining the result of machine learning models are important problems for healthcare, and these are open challenges. A possible solution to improve data quality and accessibility of unstructured data is developing machine learning methods that can generate clinically relevant synthetic data, and accelerating further research on privacy preserving techniques such as deidentification and pseudonymization of clinical text. This article is categorized under:Applications of Computational Statistics &gt; Health and Medical Data/Informatics</t>
  </si>
  <si>
    <t>Tayefi Maryam,Ngo Phuong,Chomutare Taridzo,Dalianis Hercules,Salvi Elisa,Budrionis Andrius,Godtliebsen Fred</t>
  </si>
  <si>
    <t>https://research.ebsco.com/linkprocessor/plink?id=a447018c-7123-325d-bbfc-1f8991807c3a</t>
  </si>
  <si>
    <t>Electronic health records,Deep learning,Medical informatics,Natural language processing,Information resources,Data analysis,Machine learning</t>
  </si>
  <si>
    <t>WIREs: Computational Statistics</t>
  </si>
  <si>
    <t>Changing trends of adult lymphoma in the Kingdom of Saudi Arabia - comparison of data sources</t>
  </si>
  <si>
    <t>Background: Lymphoma is one of the most common malignancies affecting the young Saudi population. This disease has diversified pathologies and clinical stages that necessitate well optimized clinical management. Regular updates of epidemiological behavior of lymphoma from various parts of the world are available but studies from the Kingdom of Saudi Arabia (KSA) in this field are not consistent. Objectives: The aim of this study was to investigate the current trends in presentation and distribution of lymphoma with special reference to incidence and mortality, gender, age, histopathological subtypes, and clinical stages at King Faisal Specialist Hospital and Research Centre (KFSH&amp;RC). Materials and Methods: Our study included lymphoma data from Saudi Cancer Registry, and relative comparison against KFSH&amp;RC tumor registry data, Gulf country data and International Agency for Research on Cancer data. Results: Common tumors in the West (lung, colon, and prostate) were found to be much less frequent in KSA while leukemia, lymphoma and thyroid cancers were more common. Non-Hodgkin Lymphoma (NHL) ranked 3rd most common cancer with age-adjusted incidence of 6/100,000. Estimated age adjusted mortality was 4/100,000 in KSA. There was a peak rise in incidence of lymphoma in 1997-2007. Most common NHL was diffuse large B cell lymphoma at KFSH&amp;RC. A total of 434 cases were diagnosed in 5 years with 55% of them at advanced stage and 35% demonstrating bulky disease and high risk. KFSH&amp;RC registered 35% of Hodgkins and 21% of total NHL identified in entire Saudi Cancer Registry, 2009. Conclusions: Results of this study are very unique, and reveal diverse trends. The findings provide valuable insights in the understanding of current epidemiological features of lymphoma in this part of the world.</t>
  </si>
  <si>
    <t>Rauf,M.S.,Akhtar,S.,Maghfoor,I.</t>
  </si>
  <si>
    <t>https://www.scopus.com/inward/record.uri?eid=2-s2.0-84928570617&amp;doi=10.7314%2FAPJCP.2015.16.5.2069&amp;partnerID=40&amp;md5=0030be357edef0ab3162c39fb6fef83e</t>
  </si>
  <si>
    <t>Epidemiology,Kingdom of Saudi Arabia,Lymphoma,Saudi cancer incidence and mortality</t>
  </si>
  <si>
    <t>Asian Pacific Journal of Cancer Prevention</t>
  </si>
  <si>
    <t>Characteristics and outcomes of gallbladder cancer patients at the Tata Medical Center, Kolkata 2017–2019.</t>
  </si>
  <si>
    <t>Background: The north and north‐eastern regions of India have among the highest incidence of gallbladder cancer (GBC) in the world. We report the clinicopathological charateristics and outcome of GBC patients in India. Methods: Electronic medical records of patients diagnosed with GBC at Tata Medical Center, Kolkata between 2017 and 2019 were analyzed. Results: There were 698 cases of confirmed GBC with a median age of 58 (IQR: 50–65) years and female:male ratio of 1.96. At presentation, 91% (496/544) had stage III/IV disease and 30% (189/640) had incidental GBC. The 2‐year overall survival (OS) was 100% (95% CI: 100–100); 61% (95% CI: 45–83); 30% (95% CI: 21–43); and 9% (95% CI: 6–13) for stages I–IV, respectively (p = &lt;0.0001). For all patients, the 2‐year OS in patients who had a radical cholecystectomy followed by adjuvant therapy (N = 36) was 50% (95% CI: 39–64), compared to 29% (95% CI: 22–38) for those who had a simple cholecystectomy and/or chemotherapy (N = 265) and 9% (95% CI: 6–14) in patients who were palliated (N = 107) (p = &lt;0.0001). Conclusion: The combined surgical/chemotherapy approach for patients with stage II GBC showed the best outcomes. Early detection of GBC remains problematic with the majority of patients presenting with stage III–IV and who have a median survival of 9.1 months. Our data suggests that the tumor is chemoresponsive and multi‐center collaborative clinical trials to identify alternative therapies are urgently required.</t>
  </si>
  <si>
    <t>Dutta Anindita,Mungle Tushar,Chowdhury Nandita,Banerjee Pritha,Gehani Anisha,Sen Saugata,Mallath Mohandas,Roy Paromita,Krishnan Shekhar,Ganguly Sandip,Banerjee Sudeep,Roy Manas,Saha Vaskar</t>
  </si>
  <si>
    <t>https://research.ebsco.com/linkprocessor/plink?id=9e0ddfb2-fb75-332e-b8e3-0339194d6114</t>
  </si>
  <si>
    <t>Cancer prognosis,Gallbladder cancer,Electronic health records,Medical centers,Survival rate,Overall survival,Kolkata (India),India,All Other Outpatient Care Centers,HMO Medical Centers</t>
  </si>
  <si>
    <t>Characterization and survival of patients with metastatic basal cell carcinoma in the Department of Veterans Affairs: a retrospective electronic health record review.</t>
  </si>
  <si>
    <t>Available descriptive statistics for patients with metastatic basal cell carcinoma (mBCC) are limited. To describe disease characteristics, treatment patterns, survival outcomes, and prognostic factors of patients with mBCC, we conducted a retrospective review of electronic health records in the Department of Veterans Affairs (VA). The primary outcome was survival. Data were also collected on demographics, comorbidities, medications, and procedures. Median (IQR) age of patients with mBCC (n = 475) was 72.0 (17.0) years; 97.9% of patients were male. Almost two-thirds of patients received no initial therapy for mBCC. Median overall survival was 40.5 months [95% CI (confidence interval) 4.8-140.0], and was shorter in patients with distant metastases (17.1 months; 95% CI 2.8-58.0) than in those with regional metastases (59.4 months; 95% CI 17.6-140.0). Because the VA mBCC population is largely male and elderly, the generalizability of these results in other populations is limited and must be interpreted cautiously. Data from this large cohort add valuable information on a rare and poorly researched disease and refine previously wide estimates of overall survival for mBCC.</t>
  </si>
  <si>
    <t>Stevens Vanessa W,Stenehjem David D,Patterson Olga V,Kamauu Aaron W C,Yim Yeun Mi,Morlock Robert J,DuVall Scott L</t>
  </si>
  <si>
    <t>https://research.ebsco.com/linkprocessor/plink?id=d14d2843-6b49-3e37-9d02-d8c610f45016</t>
  </si>
  <si>
    <t>Carcinoma, Basal Cell mortality,Skin Neoplasms mortality,United States Department of Veterans Affairs statistics &amp; numerical data,Veterans Health statistics &amp; numerical data,Aged,Aged, 80 and over,Carcinoma, Basal Cell secondary,Carcinoma, Basal Cell therapy,Comorbidity,Electronic Health Records statistics &amp; numerical data,Female,Humans,Male,Middle Aged,Retrospective Studies,Skin Neoplasms pathology,Skin Neoplasms therapy,United States epidemiology</t>
  </si>
  <si>
    <t>Archives of dermatological research</t>
  </si>
  <si>
    <t>Characterizing clinical findings of Sjögren's Disease patients in community practices using matched electronic dental-health record data.</t>
  </si>
  <si>
    <t>Established classifications exist to confirm Sjögren's Disease (SD) (previously referred as Sjögren's Syndrome) and recruit patients for research. However, no established classification exists for diagnosis in clinical settings causing delayed diagnosis. SD patients experience a huge dental disease burden impairing their quality of life. This study established criteria to characterize Indiana University School of Dentistry (IUSD) patients' SD based on symptoms and signs in the electronic health record (EHR) data available through the state-wide Indiana health information exchange (IHIE). Association between SD diagnosis, and comorbidities including other autoimmune conditions, and documentation of SD diagnosis in electronic dental record (EDR) were also determined. The IUSD patients' EDR were linked with their EHR data in the IHIE and queried for SD diagnostic ICD9/10 codes. The resulting cohorts' EHR clinical findings were characterized and classified using diagnostic criteria based on clinical experts' recommendations. Descriptive statistics were performed, and Chi-square tests determined the association between the different SD presentations and comorbidities including other autoimmune conditions. Eighty-three percent of IUSD patients had an EHR of which 377 patients had a SD diagnosis. They were characterized as positive (24%), uncertain (20%) and negative (56%) based on EHR clinical findings. Dry eyes and mouth were reported for 51% and positive Anti-Ro/SSA antibodies and anti-nuclear antibody (ANA) for 17% of this study cohort. One comorbidity was present in 98% and other autoimmune condition/s were present in 53% respectively. Significant differences were observed between the three SD clinical characteristics/classifications and certain medical and autoimmune conditions (p&lt;0.05). Sixty-nine percent of patients' EDR did not mention SD, highlighting the huge gap in reporting SD during dental care. This study of SD patients diagnosed in community practices characterized three different SD clinical presentations, which can be used to generate SD study cohorts for longitudinal studies using EHR data. The results emphasize the heterogenous SD clinical presentations and the need for further research to diagnose SD early in community practice settings where most people seek care.</t>
  </si>
  <si>
    <t>Felix Gomez Grace Gomez,Hugenberg Steven T.,Zunt Susan,Patel Jay S.,Wang Mei,Rajapuri Anushri Singh,Lembcke Lauren R.,Rajendran Divya,Smith Jonas C.,Cheriyan Biju,Boyd LaKeisha J.,Eckert George J.,Grannis Shaun J.,Srinivasan Mythily,Zero Domenick T.,Thyvalikakath Thankam P.</t>
  </si>
  <si>
    <t>https://research.ebsco.com/linkprocessor/plink?id=d7a3879e-789e-3ddb-be7b-5f7fff9a2291</t>
  </si>
  <si>
    <t>Electronic records,Health information exchanges,Sjogren's syndrome,Electronic health records,Data recorders &amp; recording</t>
  </si>
  <si>
    <t>Characterizing the real-world economic burden of metastatic castration-sensitive prostate cancer in the United States</t>
  </si>
  <si>
    <t>Aims: To describe healthcare resource utilization (HRU) and costs of patients with metastatic castration-sensitive prostate cancer (mCSPC). Methods: Linked data from Flatiron Metastatic PC Core Registry and Komodo’s Healthcare Map were evaluated (01/2016-12/2021). Patients with chart-confirmed diagnoses for metastatic PC without confirmed castration resistance in Flatiron who initiated androgen deprivation therapy (ADT) monotherapy or advanced therapy for mCSPC in 2017 or later (index date) with a corresponding pharmacy or medical claim in Komodo Health were included. Advanced therapies considered were androgen-receptor signaling inhibitors, chemotherapies, estrogens, immunotherapies, poly ADP-ribose polymerase inhibitors, and radiopharmaceuticals. Patients with &lt;12 months of continuous insurance eligibility before index were excluded. Per-patient-per-month (PPPM) all-cause and PC-related HRU and costs (medical and pharmacy; from a payer’s perspective in 2022 $USD) were described in the 12-month baseline period and follow-up period (from the index date to castration resistance, end of continuous insurance eligibility, end of data availability, or death). Results: Of 871 patients included (mean age: 70.6 years), 52% initiated ADT monotherapy as their index treatment without documented advanced therapy use. During baseline, 31% of patients had a PC-related inpatient admission and 94% had a PC-related outpatient visit; mean all-cause costs were $2551 PPPM and PC-related costs were $839 PPPM with $787 PPPM attributable to medical costs. Patients had a mean follow-up of 15 months, during which 38% had a PC-related inpatient admission and 98% had a PC-related outpatient visit; mean all-cause costs were $5950 PPPM with PC-related total costs of $4363 PPPM, including medical costs of $2012 PPPM. Limitations: All analyses were descriptive; statistical testing was not performed. Treatment effectiveness and clinical outcomes were not assessed. Conclusion: This real-world study demonstrated a significant economic burden in mCSPC patients, and a propensity to use ADT monotherapy in clinical practice despite the availability and guideline recommendations of advanced life-prolonging therapies. © 2024 Analysis Group, Inc. developed the article as work made for hire for the sponsor of the underlying study, Janssen Scientific Affairs, LLC, a Johnson &amp; Johnson company. Published by Informa UK Limited, trading as Taylor &amp; Francis Group.</t>
  </si>
  <si>
    <t>Kaye,D.R.,Khilfeh,I.,Muser,E.,Morrison,L.,Kinkead,F.,Lefebvre,P.,Pilon,D.,George,D.</t>
  </si>
  <si>
    <t>https://www.scopus.com/inward/record.uri?eid=2-s2.0-85187483687&amp;doi=10.1080%2F13696998.2024.2323901&amp;partnerID=40&amp;md5=43de78563b626a673f23a60b8d89055c</t>
  </si>
  <si>
    <t>electronic medical records,Healthcare resource utilization,medical and prescription claims,metastatic castration-sensitive prostate cancer,patient stratification,real-world evidence,total cost of care</t>
  </si>
  <si>
    <t>Journal of Medical Economics</t>
  </si>
  <si>
    <t>Class imbalance in out-of-distribution datasets: Improving the robustness of the TextCNN for the classification of rare cancer types</t>
  </si>
  <si>
    <t>In the last decade, the widespread adoption of electronic health record documentation has created huge opportunities for information mining. Natural language processing (NLP) techniques using machine and deep learning are becoming increasingly widespread for information extraction tasks from unstructured clinical notes. Disparities in performance when deploying machine learning models in the real world have recently received considerable attention. In the clinical NLP domain, the robustness of convolutional neural networks (CNNs) for classifying cancer pathology reports under natural distribution shifts remains understudied. In this research, we aim to quantify and improve the performance of the CNN for text classification on out-of-distribution (OOD) datasets resulting from the natural evolution of clinical text in pathology reports. We identified class imbalance due to different prevalence of cancer types as one of the sources of performance drop and analyzed the impact of previous methods for addressing class imbalance when deploying models in real-world domains. Our results show that our novel class-specialized ensemble technique outperforms other methods for the classification of rare cancer types in terms of macro F1 scores. We also found that traditional ensemble methods perform better in top classes, leading to higher micro F1 scores. Based on our findings, we formulate a series of recommendations for other ML practitioners on how to build robust models with extremely imbalanced datasets in biomedical NLP applications. © 2021</t>
  </si>
  <si>
    <t>de Angeli,K.,Gao,S.,Danciu,I.,Durbin,E.B.,Wu,X.-C.,Stroup,A.,Doherty,J.,Schwartz,S.,Wiggins,C.,Damesyn,M.,Coyle,L.,Penberthy,L.,Tourassi,G.D.,Yoon,H.-J.</t>
  </si>
  <si>
    <t>https://www.scopus.com/inward/record.uri?eid=2-s2.0-85120156672&amp;doi=10.1016%2Fj.jbi.2021.103957&amp;partnerID=40&amp;md5=7f71fe3c089a12a0c3b6d69e492c75c9</t>
  </si>
  <si>
    <t>Class Imbalance,CNN,Deep Learning,Ensemble,NLP,Text Classification</t>
  </si>
  <si>
    <t>Classification algorithm for congenital Zika Syndrome: characterizations, diagnosis and validation.</t>
  </si>
  <si>
    <t>Zika virus was responsible for the microcephaly epidemic in Brazil which began in October 2015 and brought great challenges to the scientific community and health professionals in terms of diagnosis and classification. Due to the difficulties in correctly identifying Zika cases, it is necessary to develop an automatic procedure to classify the probability of a CZS case from the clinical data. This work presents a machine learning algorithm capable of achieving this from structured and unstructured available data. The proposed algorithm reached 83% accuracy with textual information in medical records and image reports and 76% accuracy in classifying data without textual information. Therefore, the proposed algorithm has the potential to classify CZS cases in order to clarify the real effects of this epidemic, as well as to contribute to health surveillance in monitoring possible future epidemics.</t>
  </si>
  <si>
    <t>Veiga Rafael V.,Schuler-Faccini Lavinia,França Giovanny V. A.,Andrade Roberto F. S.,Teixeira Maria Glória,Costa Larissa C.,Paixão Enny S.,Costa Maria da Conceição N.,Barreto Maurício L.,Oliveira Juliane F.,Oliveira Wanderson K.,Cardim Luciana L.,Rodrigues Moreno S.</t>
  </si>
  <si>
    <t>https://research.ebsco.com/linkprocessor/plink?id=be520378-1711-3f85-9240-3db5cf9c7d91</t>
  </si>
  <si>
    <t>Zika virus infections,Viral disease diagnosis,Medical personnel,Medical records,Probability theory</t>
  </si>
  <si>
    <t>Classifying tumor event attributes in radiology reports.</t>
  </si>
  <si>
    <t>Radiology reports contain vital diagnostic information that characterizes patient disease progression. However, information from reports is represented in free text, which is difficult to query against for secondary use. Automatic extraction of important information, such as tumor events using natural language processing, offers possibilities in improved clinical decision support, cohort identification, and retrospective evidence-based research for cancer patients. The goal of this work was to classify tumor event attributes: negation, temporality, and malignancy, using biomedical ontology and linguistically enriched features. We report our results on an annotated corpus of 101 hepatocellular carcinoma patient radiology reports, and show that the improved classification improves overall template structuring. Classification performances for negation identification, past temporality classification, and malignancy classification were at 0.94, 0.62, and 0.77 F1, respectively. Incorporating the attributes into full templates led to an improvement of 0.72 F1 for tumor-related events over a baseline of 0.65 F1. Improvement of negation, malignancy, and temporality classifications led to significant improvements in template extraction for the majority of categories. We present our machine-learning approach to identifying these several tumor event attributes from radiology reports, as well as highlight challenges and areas for improvement.</t>
  </si>
  <si>
    <t>Yim Wen‐wai,Kwan Sharon W.,Yetisgen Meliha</t>
  </si>
  <si>
    <t>https://research.ebsco.com/linkprocessor/plink?id=e0318dea-d3ff-3685-bba3-44457873165e</t>
  </si>
  <si>
    <t>Medical information storage &amp; retrieval systems,Medical records,Natural language processing,Medical subject headings,Hepatocellular carcinoma,Report writing,Research funding</t>
  </si>
  <si>
    <t>Journal of the Association for Information Science &amp; Technology</t>
  </si>
  <si>
    <t>Clinical bioinformatics desiderata for molecular tumor boards.</t>
  </si>
  <si>
    <t>Clinical Bioinformatics is a knowledge framework required to interpret data of medical interest via computational methods. This area became of dramatic importance in precision oncology, fueled by cancer genomic profiling: most definitions of Molecular Tumor Boards require the presence of bioinformaticians. However, all available literature remained rather vague on what are the specific needs in terms of digital tools and expertise to tackle and interpret genomics data to assign novel targeted or biomarker-driven targeted therapies to cancer patients. To fill this gap, in this article, we present a catalog of software families and human skills required for the tumor board bioinformatician, with specific examples of real-world applications associated with each element presented.</t>
  </si>
  <si>
    <t>Pallocca Matteo,Betti Martina,Baldinelli Sara,Palombo Ramona,Bucci Gabriele,Mazzarella Luca,Tonon Giovanni,Ciliberto Gennaro</t>
  </si>
  <si>
    <t>https://research.ebsco.com/linkprocessor/plink?id=67a4d304-e752-37ed-aec0-a8256b27cf68</t>
  </si>
  <si>
    <t>Medical informatics,Digital technology,Cancer patients,Genomics,Cancer treatment</t>
  </si>
  <si>
    <t>Clinical Concept-Based Radiology Reports Classification Pipeline for Lung Carcinoma.</t>
  </si>
  <si>
    <t>Rising incidence and mortality of cancer have led to an incremental amount of research in the field. To learn from preexisting data, it has become important to capture maximum information related to disease type, stage, treatment, and outcomes. Medical imaging reports are rich in this kind of information but are only present as free text. The extraction of information from such unstructured text reports is labor-intensive. The use of Natural Language Processing (NLP) tools to extract information from radiology reports can make it less time-consuming as well as more effective. In this study, we have developed and compared different models for the classification of lung carcinoma reports using clinical concepts. This study was approved by the institutional ethics committee as a retrospective study with a waiver of informed consent. A clinical concept-based classification pipeline for lung carcinoma radiology reports was developed using rule-based as well as machine learning models and compared. The machine learning models used were XGBoost and two more deep learning model architectures with bidirectional long short-term neural networks. A corpus consisting of 1700 radiology reports including computed tomography (CT) and positron emission tomography/computed tomography (PET/CT) reports were used for development and testing. Five hundred one radiology reports from MIMIC-III Clinical Database version 1.4 was used for external validation. The pipeline achieved an overall F1 score of 0.94 on the internal set and 0.74 on external validation with the rule-based algorithm using expert input giving the best performance. Among the machine learning models, the Bi-LSTM_dropout model performed better than the ML model using XGBoost and the Bi-LSTM_simple model on internal set, whereas on external validation, the Bi-LSTM_simple model performed relatively better than other 2. This pipeline can be used for clinical concept-based classification of radiology reports related to lung carcinoma from a huge corpus and also for automated annotation of these reports.</t>
  </si>
  <si>
    <t>Mithun Sneha,Jha Ashish Kumar,Sherkhane Umesh B,Jaiswar Vinay,Purandare Nilendu C,Dekker Andre,Puts Sander,Bermejo Inigo,Rangarajan V,Zegers Catharina M L,Wee Leonard</t>
  </si>
  <si>
    <t>https://research.ebsco.com/linkprocessor/plink?id=16f355bb-f473-3d63-b7ca-1c1bf8a0f09f</t>
  </si>
  <si>
    <t>Radiology,Carcinoma,Humans,Retrospective Studies,Positron Emission Tomography Computed Tomography,Natural Language Processing,Lung</t>
  </si>
  <si>
    <t>Clinical Data Abstraction: A Research Study</t>
  </si>
  <si>
    <t>This is the second part in a two-part research study on clinical data abstraction.1 Clinical data abstraction is the process of capturing key administrative and clinical data elements from a medical record. Very little is known about how the abstraction function is organized and managed today. A research study to gather data on how the clinical data abstraction function is managed in healthcare organizations across the country was performed. Results show that the majority of the healthcare organizations surveyed have a decentralized system, still perform the abstraction in-house as part of the coding workflow, and use manual abstraction followed by natural language processing (NLP) and simple query. The qualifications and training of abstractors varied across abstraction functions, however coders followed by nurses and health information management (HIM) professionals were the three top performers in abstraction. While, in general, abstraction is decentralized in most enterprises, two enterprise-wide abstraction models emerged from our study. In Model 1, the HIM department is responsible for coding, as well as all of the abstraction functions except the cancer registry and trauma registry abstraction. In Model 2, the quality department is responsible for all of the abstraction functions except the cancer registry, trauma registry, and coding function. © © 2021 by the American Health Information Management Association.</t>
  </si>
  <si>
    <t>Watzlaf,V.J.M.,Sheridan,P.T.,Alzu'bi,A.A.,Chau,L.</t>
  </si>
  <si>
    <t>https://www.scopus.com/inward/record.uri?eid=2-s2.0-85106879839&amp;partnerID=40&amp;md5=3b76057de305eac5f09f34cc575897f6</t>
  </si>
  <si>
    <t>Abstraction,clinical,descriptive research study,electronic health record,models,natural language processing,query</t>
  </si>
  <si>
    <t>Perspectives in Health Information Management</t>
  </si>
  <si>
    <t>Clinical data for paediatric research: the Swiss approach: Proceedings of the National Symposium in Bern, Switzerland, Dec 5-6, 2019.</t>
  </si>
  <si>
    <t>Background and purpose: Continuous improvement of health and healthcare system is hampered by inefficient processes of generating new evidence, particularly in the case of rare diseases and paediatrics. Currently, most evidence is generated through specific research projects, which typically require extra encounters with patients, are costly and entail long delays between the recognition of specific needs in healthcare and the generation of necessary evidence to address those needs. The Swiss Personalised Health Network (SPHN) aims to improve the use of data obtained during routine healthcare encounters by harmonizing data across Switzerland and facilitating accessibility for research. The project "Harmonising the collection of health-related data and biospecimens in paediatric hospitals throughout Switzerland (SwissPedData)" was an infrastructure development project funded by the SPHN, which aimed to identify and describe available data on child health in Switzerland and to agree on a standardised core dataset for electronic health records across all paediatric teaching hospitals. Here, we describe the results of a two-day symposium that aimed to summarise what had been achieved in the SwissPedData project, to put it in an international context, and to discuss the next steps for a sustainable future. The target audience included clinicians and researchers who produce and use health-related data on children in Switzerland. Key highlights: The symposium consisted of state-of-the-art lectures from national and international keynote speakers, workshops and plenary discussions. This manuscript summarises the talks and discussions in four sections: (I) a description of the Swiss Personalized Health Network and the results of the SwissPedData project; (II) examples of similar initiatives from other countries; (III) an overview of existing health-related datasets and projects in Switzerland; and (IV) a summary of the lessons learned and future prospective from workshops and plenary discussions. Implications: Streamlined processes linking initial collection of information during routine healthcare encounters, standardised recording of this information in electronic health records and fast accessibility for research are essential to accelerate research in child health and make it affordable. Ongoing projects prove that this is feasible in Switzerland and elsewhere. International collaboration is vital to success. The next steps include the implementation of the SwissPedData core dataset in the clinical information systems of Swiss hospitals, the use of this data to address priority research questions, and the acquisition of sustainable funding to support a slim central infrastructure and local support in each hospital. This will lay the foundation for a national paediatric learning health system in Switzerland.</t>
  </si>
  <si>
    <t>Rakic Milenko,Jaboyedoff Manon,Bachmann Sara,Berger Christoph,Diezi Manuel,do Canto Philipp,Forrest Christopher B.,Frey Urs,Fuchs Oliver,Gervaix Alain,Gluecksberg Amalia Stefani,Grotzer Michael,Heininger Ulrich,Kahlert Christian R.,Kaiser Daniela,Kopp Matthias V.,Lauener Roger,Neuhaus Thomas J.,Paioni Paolo,Posfay-Barbe Klara</t>
  </si>
  <si>
    <t>https://research.ebsco.com/linkprocessor/plink?id=7055a6e1-2084-3833-b4b0-fe64e0b02276</t>
  </si>
  <si>
    <t>Electronic health records,Medical personnel,Hospitals,Teaching hospitals,Conferences &amp; conventions,Switzerland,Bern (Switzerland),Convention and Trade Show Organizers,General Medical and Surgical Hospitals,General (except paediatric) hospitals</t>
  </si>
  <si>
    <t>BMC Proceedings</t>
  </si>
  <si>
    <t>Clinical Databases in Spine Surgery: Strength in Numbers.</t>
  </si>
  <si>
    <t>Mummaneni Praveen V,Bydon Mohamad</t>
  </si>
  <si>
    <t>https://research.ebsco.com/linkprocessor/plink?id=32dd2a61-9e08-3eeb-8f23-606123967aa2</t>
  </si>
  <si>
    <t>Spine surgery,Postoperative Complications,Humans</t>
  </si>
  <si>
    <t>Neurosurgery</t>
  </si>
  <si>
    <t>Clinical documentation to predict factors associated with urinary incontinence following prostatectomy for prostate cancer</t>
  </si>
  <si>
    <t>Background: Advances in data collection provide opportunities to use population samples in identifying risk factors for urinary incontinence (UI), which occurs in up to 71% of men with prostate cancer following prostatectomy. Most studies on patient-centered outcomes use surveys or manual chart abstraction for data collection, which can be costly and difficult to scale. We sought to evaluate rates of and risk factors for UI following prostatectomy using natural language processing on electronic health record (EHR) data. Methods: We conducted a retrospective analysis of patients undergoing prostatectomy for prostate cancer between January 2008 and August 2018 using EHR data from an academic medical center. UI incidence for each patient in the cohort was assessed using natural language processing from clinical notes generated pre-and postoperatively. Multivariable logistic regression was used to evaluate potential risk factors for postoperative UI at various time points within 2 years following surgery. Results: We identified 3792 patients who underwent prostatectomy for prostate cancer. We found a significant association between preoperative UI and UI in the first (odds ratio [OR], 2.30; 95% confidence interval [CI], 1.24–4.28) and second (OR 2.24, 95% CI 1.04–4.83) years following surgery. Preoperative body mass index was also associated with UI in the second postoperative year (OR 1.11, 95% CI 1.02–1.21). Conclusion: We show that a natural language processing approach using clinical narratives can be used to assess risk for UI in prostate cancer patients. Unstructured clinical narrative text can help advance future population-level research in patient-centered outcomes and quality of care. © 2020 Li et al.</t>
  </si>
  <si>
    <t>Li,K.,Banerjee,I.,Magnani,C.J.,Blayney,D.W.,Brooks,J.D.,Hernandez-Boussard,T.</t>
  </si>
  <si>
    <t>https://www.scopus.com/inward/record.uri?eid=2-s2.0-85078756721&amp;doi=10.2147%2FRRU.S234178&amp;partnerID=40&amp;md5=3d5384a18bef1fae90d88038b249f2dd</t>
  </si>
  <si>
    <t>Natural language processing,Patient-centered outcomes,Prostate cancer,Soft labels,Urinary incontinence</t>
  </si>
  <si>
    <t>Research and Reports in Urology</t>
  </si>
  <si>
    <t>Clinical Natural Language Processing for Radiation Oncology: A Review and Practical Primer.</t>
  </si>
  <si>
    <t>Natural language processing (NLP), which aims to convert human language into expressions that can be analyzed by computers, is one of the most rapidly developing and widely used technologies in the field of artificial intelligence. Natural language processing algorithms convert unstructured free text data into structured data that can be extracted and analyzed at scale. In medicine, this unlocking of the rich, expressive data within clinical free text in electronic medical records will help untap the full potential of big data for research and clinical purposes. Recent major NLP algorithmic advances have significantly improved the performance of these algorithms, leading to a surge in academic and industry interest in developing tools to automate information extraction and phenotyping from clinical texts. Thus, these technologies are poised to transform medical research and alter clinical practices in the future. Radiation oncology stands to benefit from NLP algorithms if they are appropriately developed and deployed, as they may enable advances such as automated inclusion of radiation therapy details into cancer registries, discovery of novel insights about cancer care, and improved patient data curation and presentation at the point of care. However, challenges remain before the full value of NLP is realized, such as the plethora of jargon specific to radiation oncology, nonstandard nomenclature, a lack of publicly available labeled data for model development, and interoperability limitations between radiation oncology data silos. Successful development and implementation of high quality and high value NLP models for radiation oncology will require close collaboration between computer scientists and the radiation oncology community. Here, we present a primer on artificial intelligence algorithms in general and NLP algorithms in particular; provide guidance on how to assess the performance of such algorithms; review prior research on NLP algorithms for oncology; and describe future avenues for NLP in radiation oncology research and clinics.</t>
  </si>
  <si>
    <t>Bitterman Danielle S,Miller Timothy A,Mak Raymond H,Savova Guergana K</t>
  </si>
  <si>
    <t>https://research.ebsco.com/linkprocessor/plink?id=2c0889ed-149e-3c97-bcec-e39dcd7de29b</t>
  </si>
  <si>
    <t>Natural Language Processing,Radiation Oncology,Algorithms,Humans,Artificial Intelligence,Electronic Health Records</t>
  </si>
  <si>
    <t>International journal of radiation oncology, biology, physics</t>
  </si>
  <si>
    <t>Clinical Radiology Exhibits.</t>
  </si>
  <si>
    <t>https://research.ebsco.com/linkprocessor/plink?id=cc971277-066c-3a67-bc9a-02c94795e823</t>
  </si>
  <si>
    <t>Journal of Medical Imaging &amp; Radiation Oncology</t>
  </si>
  <si>
    <t>Clinical Radiology Oral.</t>
  </si>
  <si>
    <t>The article explores the impact of Clinical Decision Support (CDS) implementation on radiology workflow at a hospital in Melbourne, Australia, showing potential benefits such as reduced unnecessary test orders and improved resource utilization. Adherence to the STARD 2015 guideline in medical imaging DTA studies was found to be suboptimal, with recommendations for improving reporting to enhance research quality. Other studies evaluated the appropriateness of imaging requests in emergency departments, overuse of neuroimaging, and the association of certain signs with injury severity in motor vehicle collision patients. Additionally, AI models were successful in identifying missed cancers in breast screening programs, indicating their potential to enhance cancer detection.</t>
  </si>
  <si>
    <t>https://research.ebsco.com/linkprocessor/plink?id=0058ace6-a95f-3a45-8461-6402cfce5fc6</t>
  </si>
  <si>
    <t>Breast,Medical care,Medical communication,Positron emission tomography computed tomography,Medical personnel,Magnetic resonance imaging,Fracture healing,Sinus of valsalva,Diagnostic Imaging Centers</t>
  </si>
  <si>
    <t>Clock-like Mutation Signature May Be Prognostic for Worse Survival Than Signatures of UV Damage in Cutaneous Melanoma.</t>
  </si>
  <si>
    <t>Simple Summary: Although immunotherapy and targeted therapy have dramatically improved melanoma survival, some patients rapidly progress and decease within a few months after a stage IV diagnosis. Up until now, pathological, clinical and biological markers are known prognostic factors for survival of melanoma, while still no prognostic genetic alterations have been identified. Therefore, we aimed to find genetic alterations that predict a short or long survival by sequencing 190 melanoma-related genes of tumor material from 79 patients to contribute to the growing body of knowledge regarding mutational profiling. While no individual gene mutations or combinations of alterations could be linked to overall survival in our study cohort, a clock-like mutational signature according to the Catalog of Somatic Mutations in Cancer (COSMIC) was associated with poor survival whereas a UV mutational signature was prognostic for a longer survival. Those findings are congruent with earlier findings of other authors. Therefore, the prognostic relevance of mutational signatures must be further evaluated in prospective studies. Novel treatment modalities comprising immune checkpoint inhibitors and targeted therapies have revolutionized treatment of metastatic melanoma. Still, some patients suffer from rapid progression and decease within months after a diagnosis of stage IV melanoma. We aimed to assess whether genomic alterations may predict survival after the development of stage IV disease, irrespective of received therapy. We analyzed tumor samples of 79 patients with stage IV melanoma using a custom next-generation gene-sequencing panel, MelArray, designed to detect alterations in 190 melanoma-relevant genes. We classified the patients: first, as short survivors (survival ≤6 months after stage IV disease, n = 22) and long survivors (survival &gt;6 months, n = 57); second, by using a cut-off of one year; and third, by comparing the longest surviving 20 patients to the shortest surviving 20. Among analyzed genes, no individual gene alterations, or combinations of alterations, could be dichotomously associated with survival. However, the cohort's mutational profiles closely matched three known mutational signatures curated by the Catalog of Somatic Mutations in Cancer (COSMIC): UV signature COSMIC_7 (cosine-similarity 0.932), clock-like signature COSMIC_5 (cosine-similarity 0.829), and COSMIC_30 (cosine-similarity 0.726). Patients with UV signature had longer survival compared to patients with clock-like and COSMIC 30 (p &lt; 0.0001). Subgroup dichotomization at 6 months showed that 75% of patients with UV signature survived longer than 6 months, and about 75% of patients with clock-like signature survived less than 6 months after development of stage IV disease. In our cohort, clock-like COSMIC_5 mutational signature predicted poor survival while a UV signature COSMIC_7 predicted longer survival. The prognostic value of mutational signatures should be evaluated in prospective studies.</t>
  </si>
  <si>
    <t>Fröhlich Fabienne,Ramelyte Egle,Turko Patrick,Dzung Andreas,Freiberger Sandra N.,Mangana Joanna,Levesque Mitchell P.,Dummer Reinhard</t>
  </si>
  <si>
    <t>https://research.ebsco.com/linkprocessor/plink?id=59effc0f-abcf-38d7-b413-c0215e4698dc</t>
  </si>
  <si>
    <t>Melanoma prognosis,Melanoma treatment,Genetic mutation,DNA,Sequence analysis,Melanoma,Cross-sectional method,Oncogenes,Retrospective studies,Cancer patients,Comparative studies,Genomics,Gene expression profiling,Descriptive statistics,Ultraviolet radiation,Overall survival</t>
  </si>
  <si>
    <t>Co-existence of leiomyomas, adenomyosis and endometriosis in women with endometrial cancer.</t>
  </si>
  <si>
    <t>Leiomyomas, adenomyosis, and endometriosis are reported to be risk factors for endometrial carcinoma (EC), and adenomyosis and endometriosis also for ovarian carcinoma (OC). We aimed to describe the prevalence of these conditions in EC patients with or without an OC diagnosis, and to investigate their relationship with EC risk and prognostic factors in these patients. We evaluated the co-existence of these three conditions in 1399 EC patients, and compared the prevalence of epidemiological risk factors and tumor prognostic features in patients with each condition versus not. Prevalence of conditions was also assessed in the subset of patients with prior/concurrent OC. The observed coexistence of leiomyomas, adenomyosis and endometriosis significantly deviated from that expected (P = 1.2 × 10&lt;sup&gt;−8&lt;/sup&gt;). Patients were more likely to: report a younger age at menarche (P&lt;sub&gt;Trend&lt;/sub&gt; = 0.004) if they had leiomyomas; have used oral contraceptives (P = 6.6 × 10&lt;sup&gt;−5&lt;/sup&gt;) or had ≥2 full-term pregnancies (P&lt;sub&gt;Trend&lt;/sub&gt; = 2.0 × 10&lt;sup&gt;−9&lt;/sup&gt;) if they had adenomyosis; be diagnosed with EC at younger age (P = 5.0 × 10&lt;sup&gt;−11&lt;/sup&gt;) if they had endometriosis. Patients with prior/concurrent OC were more likely to be diagnosed at younger age (P = 5.0 × 10&lt;sup&gt;−5&lt;/sup&gt;), have endometriosis (P = 9.9 × 10&lt;sup&gt;−7&lt;/sup&gt;), and present with higher stage EC (P&lt;sub&gt;Trend&lt;/sub&gt; = 6.6 × 10&lt;sup&gt;−5&lt;/sup&gt;). These findings justify further consideration of these gynecologic conditions as independent risk and prognostic factors for EC.</t>
  </si>
  <si>
    <t>Johnatty Sharon E.,Stewart Colin J. R.,Smith Deborah,Nguyen Anthony,O' Dwyer John,O'Mara Tracy A.,Webb Penelope M.,Spurdle Amanda B.</t>
  </si>
  <si>
    <t>https://research.ebsco.com/linkprocessor/plink?id=baf50e30-2c53-310b-bde9-124d4ec57c7e</t>
  </si>
  <si>
    <t>Smooth muscle tumors,Endometriosis,Endometrial cancer,Disease risk factors,Carcinoma</t>
  </si>
  <si>
    <t>Coffee consumption is associated with a reduced risk of colorectal cancer recurrence and all-cause mortality</t>
  </si>
  <si>
    <t>Coffee consumption has been associated with a reduced risk of developing colorectal cancer (CRC). However, it is not clear whether coffee consumption is related to CRC progression. Hence, we assessed the association of coffee consumption with CRC recurrence and all-cause mortality using data from a prospective cohort study of 1719 stage I–III CRC patients in the Netherlands. Coffee consumption and other lifestyle characteristics were self-reported using questionnaires at the time of diagnosis. We retrieved recurrence and all-cause mortality data from the Netherlands Cancer Registry and the Personal Records Database, respectively. Cox proportional hazard regression models with and without restricted cubic splines were used to calculate hazard ratios (HR) and 95% confidence intervals (CI) adjusted for age, sex, education, smoking status, cancer stage and tumor location. We observed 257 recurrences during a 6.2-year median follow-up and 309 deaths during a 6.6-year median follow-up. Consuming more than 4 cups/d of coffee compared to an intake of &lt;2 cups/d was associated with a 32% lower risk of CRC recurrence (95% CI: 0.49, 0.94,). The association between coffee consumption and all-cause mortality was U-shaped; coffee intake seemed optimal at 3–5 cups/d with the lowest risk at 4 cups/d (HR: 0.68, 95% CI: 0.53, 0.88). Our results suggest that coffee consumption may be associated with a lower risk of CRC recurrence and all-cause mortality. The association between coffee consumption and all-cause mortality appeared nonlinear. More studies are needed to understand the mechanism by which coffee consumption might improve CRC prognosis. © 2024 The Authors. International Journal of Cancer published by John Wiley &amp; Sons Ltd on behalf of UICC.</t>
  </si>
  <si>
    <t>Oyelere,A.M.,Kok,D.E.,Bos,D.,Gunter,M.J.,Ferrari,P.,Keski-Rahkonen,P.,de Wilt,J.H.W.,van Halteren,H.K.,Kouwenhoven,E.A.,van Duijnhoven,F.J.B.,Kampman,E.</t>
  </si>
  <si>
    <t>https://www.scopus.com/inward/record.uri?eid=2-s2.0-85185307443&amp;doi=10.1002%2Fijc.34879&amp;partnerID=40&amp;md5=afcce18dce987e5b16da12fd766e3a0e</t>
  </si>
  <si>
    <t>all-cause mortality,coffee consumption,colorectal cancer,recurrence</t>
  </si>
  <si>
    <t>International Journal of Cancer</t>
  </si>
  <si>
    <t>Cohort profile of the South London and Maudsley NHS Foundation Trust Biomedical Research Centre (SLaM BRC) Case Register: Current status and recent enhancement of an Electronic Mental Health Record-derived data resource</t>
  </si>
  <si>
    <t>Purpose: The South London and Maudsley National Health Service (NHS) Foundation Trust Biomedical Research Centre (SLaM BRC) Case Register and its Clinical Record Interactive Search (CRIS) application were developed in 2008, generating a research repository of real-time, anonymised, structured and open-text data derived from the electronic health record system used by SLaM, a large mental healthcare provider in southeast London. In this paper, we update this register's descriptive data, and describe the substantial expansion and extension of the data resource since its original development. Participants: Descriptive data were generated from the SLaM BRC Case Register on 31 December 2014. Currently, there are over 250 000 patient records accessed through CRIS. Findings to date: Since 2008, the most significant developments in the SLaM BRC Case Register have been the introduction of natural language processing to extract structured data from open-text fields, linkages to external sources of data, and the addition of a parallel relational database (Structured Query Language) output. Natural language processing applications to date have brought in new and hitherto inaccessible data on cognitive function, education, social care receipt, smoking, diagnostic statements and pharmacotherapy. In addition, through external data linkages, large volumes of supplementary information have been accessed on mortality, hospital attendances and cancer registrations. Future plans: Coupled with robust data security and governance structures, electronic health records provide potentially transformative information on mental disorders and outcomes in routine clinical care. The SLaM BRC Case Register continues to grow as a database, with approximately 20 000 new cases added each year, in addition to extension of follow-up for existing cases. Data linkages and natural language processing present important opportunities to enhance this type of research resource further, achieving both volume and depth of data. However, research projects still need to be carefully tailored, so that they take into account the nature and quality of the source information.</t>
  </si>
  <si>
    <t>Perera,G.,Broadbent,M.,Callard,F.,Chang,C.-K.,Downs,J.,Dutta,R.,Fernandes,A.,Hayes,R.D.,Henderson,M.,Jackson,R.,Jewell,A.,Kadra-Scalzo,G.,Little,R.,Pritchard,M.,Shetty,H.,Tulloch,A.,Stewart,R.</t>
  </si>
  <si>
    <t>https://www.scopus.com/inward/record.uri?eid=2-s2.0-84960334067&amp;doi=10.1136%2Fbmjopen-2015-008721&amp;partnerID=40&amp;md5=90a646f9dbacb894f7e09b1ae2757a74</t>
  </si>
  <si>
    <t>Cohort profile of the South London and Maudsley NHS Foundation Trust Biomedical Research Centre (SLaM BRC) Case Register: current status and recent enhancement of an Electronic Mental Health Record-derived data resource.</t>
  </si>
  <si>
    <t>The South London and Maudsley National Health Service (NHS) Foundation Trust Biomedical Research Centre (SLaM BRC) Case Register and its Clinical Record Interactive Search (CRIS) application were developed in 2008, generating a research repository of real-time, anonymised, structured and open-text data derived from the electronic health record system used by SLaM, a large mental healthcare provider in southeast London. In this paper, we update this register's descriptive data, and describe the substantial expansion and extension of the data resource since its original development.</t>
  </si>
  <si>
    <t>Perera Gayan,Broadbent Matthew,Callard Felicity,Chang Chin-Kuo,Downs Johnny,Dutta Rina,Fernandes Andrea,Hayes Richard D,Henderson Max,Jackson Richard,Jewell Amelia,Kadra Giouliana,Little Ryan,Pritchard Megan,Shetty Hitesh,Tulloch Alex,Stewart Robert</t>
  </si>
  <si>
    <t>https://research.ebsco.com/linkprocessor/plink?id=117f9aec-c33e-366d-9cd4-c552b1494357</t>
  </si>
  <si>
    <t>Demography,Electronic Health Records,Mental Disorders epidemiology,Mental Health Services statistics &amp; numerical data,Registries,Adult,Aged,Aged, 80 and over,Data Mining methods,Databases, Factual,Female,Humans,London,Male,Mental Disorders classification,Middle Aged,Young Adult</t>
  </si>
  <si>
    <t>Cohort profile: Mental Health Living Longer: A population-wide data linkage to understand and reduce premature mortality in mental health service users in New South Wales, Australia</t>
  </si>
  <si>
    <t>Purpose Health systems must move from recognition to action if we are to address premature mortality in people with mental illness. Population data registers are an essential tool for planning and monitoring improvement efforts. The Mental Health Living Longer (MHLL) programme establishes a population-wide data linkage to support research translation and service reform in New South Wales (NSW), Australia. Participants A total of 8.6 million people who have had contact with NSW public and private health services between July 2001 and June 2018 are currently included in the study. Data include more than 120 million linked records from NSW data collections covering public and private hospital care, emergency departments, ambulance, community mental health services, cancer notifications and care, and death registrations. Linkage is occurring with population-wide breast and cervical cancer screening programmes. Data will be updated 6 monthly. Findings to date The cohort includes 970 145 people who have received mental healthcare: 79% have received community mental healthcare, 35% a general hospital admission with a primary mental health diagnosis and 25% have received specialist mental health inpatient care. The most frequent pattern of care is receipt of community mental healthcare only (50%). The median age of the mental health cohort is 34 years, and three-quarters are younger than 53 years. Eleven per cent of the mental health cohort had died during the observation period. Their median age at death was 69 years, which was younger than the median age at death for people accessing other health services. Future plans The MHLL programme will examine (i) all-cause mortality, (ii) suicide, (iii) cancer mortality and (iv) medical mortality. Within each theme, the programme will quantify the problem in mental health service users compared with the NSW population, describe the people most affected, describe the care received, identify predictors of premature mortality, and identify variation and opportunities for change. © © Author(s) (or their employer(s)) 2019. Re-use permitted under CC BY-NC. No commercial re-use. See rights and permissions. Published by BMJ.</t>
  </si>
  <si>
    <t>Sara,G.,Arumuganathan,M.,Chen,W.,Wu,F.,Currow,D.,Large,M.,Mulder,C.,Ramanuj,P.P.,Burgess,P.M.</t>
  </si>
  <si>
    <t>https://www.scopus.com/inward/record.uri?eid=2-s2.0-85075278244&amp;doi=10.1136%2Fbmjopen-2019-033588&amp;partnerID=40&amp;md5=528847edb2ae6f4a2d9dff851fd03702</t>
  </si>
  <si>
    <t>epidemiology,psychiatry,public health</t>
  </si>
  <si>
    <t>Cohort profile: Prescriptions dispensed in the community linked to the national cancer registry in England</t>
  </si>
  <si>
    <t>Purpose The linked prescriptions cancer registry data resource was set up to extend our understanding of the pathway for patients with cancer past secondary care into the community, to ultimately improve patient outcomes. Participants The linked prescriptions cancer registry data resource is currently available for April to July 2015, for all patients diagnosed with cancer in England with a dispensed prescription in that time frame. The dispensed prescriptions data are collected by National Health Service (NHS) Prescription Services, and the cancer registry data are processed by Public Health England. All data are routine healthcare data, used for secondary purposes, linked using a pseudonymised version of the patient's NHS number and date of birth. Detailed demographic and clinical information on the type of cancer diagnosed and treatment is collected by the cancer registry. The dispensed prescriptions data contain basic demographic information, geography measures of the dispensed prescription, drug information (quantity, strength and presentation), cost of the drug and the date that the dispensed prescription was submitted to NHS Business Services Authority. Findings to date Findings include a study of end of life prescribing in the community among patients with cancer, an investigation of repeat prescriptions to derive measures of prior morbidity status in patients with cancer and studies of prescription activity surrounding the date of cancer diagnosis. Future plans This English linked resource could be used for cancer epidemiological studies of diagnostic pathways, health outcomes and inequalities; to establish primary care comorbidity indices and for guideline concordance studies of treatment, particularly hormonal therapy, as a major treatment modality for breast and prostate cancer which has been largely delivered in the community setting for a number of years. © Article author(s) (or their employer(s) unless otherwise stated in the text of the article) 2018. All rights reserved. No commercial use is permitted unless otherwise expressly granted.</t>
  </si>
  <si>
    <t>Henson,K.E.,Brock,R.,Shand,B.,Coupland,V.H.,Elliss-Brookes,L.,Lyratzopoulos,G.,Godfrey,P.,Haigh,A.,Hunter,K.,Mccabe,M.G.,Mitchell,G.,Monckton,N.,Robson,R.,Round,T.,Wong,K.,Rashbass,J.</t>
  </si>
  <si>
    <t>https://www.scopus.com/inward/record.uri?eid=2-s2.0-85049942829&amp;doi=10.1136%2Fbmjopen-2017-020980&amp;partnerID=40&amp;md5=26c925b1b4c492e1d9243f9df7d4485a</t>
  </si>
  <si>
    <t>epidemiology,health informatics,oncology,primary care</t>
  </si>
  <si>
    <t>Cohort profile: The Clinical and Multi-omic (CAMO) cohort, part of the Norwegian Women and Cancer (NOWAC) study</t>
  </si>
  <si>
    <t>Introduction Breast cancer is the most common cancer worldwide and the leading cause of cancer related deaths among women. The high incidence and mortality of breast cancer calls for improved prevention, diagnostics, and treatment, including identification of new prognostic and predictive biomarkers for use in precision medicine. Material and methods With the aim of compiling a cohort amenable to integrative study designs, we collected detailed epidemiological and clinical data, blood samples, and tumor tissue from a subset of participants from the prospective, population-based Norwegian Women and Cancer (NOWAC) study. These study participants were diagnosed with invasive breast cancer in North Norway before 2013 according to the Cancer Registry of Norway and constitute the Clinical and Multi-omic (CAMO) cohort. Prospectively collected questionnaire data on lifestyle and reproductive factors and blood samples were extracted from the NOWAC study, clinical and histopathological data were manually curated from medical records, and archived tumor tissue collected. Results The lifestyle and reproductive characteristics of the study participants in the CAMO cohort (n = 388) were largely similar to those of the breast cancer patients in NOWAC (n = 10 356). The majority of the cancers in the CAMO cohort were tumor grade 2 and of the luminal A subtype. Approx. 80% were estrogen receptor positive, 13% were HER2 positive, and 12% were triple negative breast cancers. Lymph node metastases were present in 31% at diagnosis. The epidemiological dataset in the CAMO cohort is complemented by mRNA, miRNA, and metabolomics analyses in plasma, as well as miRNA profiling in tumor tissue. Additionally, histological analyses at the level of proteins and miRNAs in tumor tissue are currently ongoing. Conclusion The CAMO cohort provides data suitable for epidemiological, clinical, molecular, and multiomics investigations, thereby enabling a systems epidemiology approach to translational breast cancer research. © 2023 Delgado et al. This is an open access article distributed under the terms of the Creative Commons Attribution License, which permits unrestricted use, distribution, and reproduction in any medium, provided the original author and source are credited.</t>
  </si>
  <si>
    <t>Delgado,A.B.,Tylden,E.S.,Lukic,M.,Moi,L.,Busund,L.-T.R.,Lund,E.,Olsen,K.S.</t>
  </si>
  <si>
    <t>https://www.scopus.com/inward/record.uri?eid=2-s2.0-85147536671&amp;doi=10.1371%2Fjournal.pone.0281218&amp;partnerID=40&amp;md5=9cf247d2386ecd30e8f27eccb96b6201</t>
  </si>
  <si>
    <t>Collaborating on Data, Science, and Infrastructure: The 20-Year Journey of the Cancer Research Network.</t>
  </si>
  <si>
    <t>The Cancer Research Network (CRN) is a consortium of 12 research groups, each affiliated with a nonprofit integrated health care delivery system, that was first funded in 1998. The overall goal of the CRN is to support and facilitate collaborative cancer research within its component delivery systems. This paper describes the CRN's 20-year experience and evolution. The network combined its members' scientific capabilities and data resources to create an infrastructure that has ultimately supported over 275 projects. Insights about the strengths and limitations of electronic health data for research, approaches to optimizing multidisciplinary collaboration, and the role of a health services research infrastructure to complement traditional clinical trials and large observational datasets are described, along with recommendations for other research consortia.</t>
  </si>
  <si>
    <t>Doria-Rose V. Paul,Greenlee Robert T.,Buist Diana S. M.,Miglioretti Diana L.,Corley Douglas A.,Brown Jeffrey S.,Clancy Heather A.,Tuzzio Leah,Moy Lisa M.,Hornbrook Mark C.,Brown Martin L.,Ritzwoller Debra P.,Kushi Lawrence H.,Greene Sarah M.</t>
  </si>
  <si>
    <t>https://research.ebsco.com/linkprocessor/plink?id=dcd06aeb-31c0-3d93-a96b-9ed6670977f2</t>
  </si>
  <si>
    <t>Integrated health care delivery,Electronic health records,Medical care,Research teams,Quality of service</t>
  </si>
  <si>
    <t>Comparative assessment of manual chart review and ICD claims data in evaluating immunotherapy-related adverse events.</t>
  </si>
  <si>
    <t>The aim of this retrospective study was to demonstrate that irAEs, specifically gastrointestinal and pulmonary, examined through International Classification of Disease (ICD) data leads to underrepresentation of true irAEs and overrepresentation of false irAEs, thereby concluding that ICD claims data are a poor approach to electronic health record (EHR) data mining for irAEs in immunotherapy clinical research.</t>
  </si>
  <si>
    <t>Nashed Andrew,Zhang Shijun,Chiang Chien-Wei,Zitu M,Otterson Gregory A,Presley Carolyn J,Kendra Kari,Patel Sandip H,Johns Andrew,Li Mingjia,Grogan Madison,Lopez Gabrielle,Owen Dwight H,Li Lang</t>
  </si>
  <si>
    <t>https://research.ebsco.com/linkprocessor/plink?id=3338d01a-ff57-36c5-9049-c9d19db0f2a8</t>
  </si>
  <si>
    <t>Immune Checkpoint Inhibitors adverse effects,Immunotherapy adverse effects,International Classification of Diseases standards,Neoplasms complications,Humans,Middle Aged,Prospective Studies,Retrospective Studies</t>
  </si>
  <si>
    <t>Comparing Diagnostic Performance of Digital Breast Tomosynthesis and Full-Field Digital Mammography</t>
  </si>
  <si>
    <t>Objective: Compare diagnostic performance of screening full-field digital mammography (FFDM), a hybrid FFDM and digital breast tomosynthesis (DBT) environment, and DBT only. Materials and Methods: This institutional review board–approved, retrospective study consisted of all patients undergoing screening mammography at an urban academic medical center and outpatient imaging facility between January 1, 2011, and December 31, 2017. We used the electronic health record data warehouse to extract report data and patient demographics. A validated natural language processing algorithm extracted BI-RADS score from each report. An institutional cancer registry identified cancer diagnoses. Primary outcomes of recall rate, cancer detection rate (CDR), and positive predictive value 1 (PPV1) were calculated for three periods: FFDM-only environment, hybrid environment, and DBT-only environment. A χ2 test was used to compare recall rate, CDR, and PPV1. Results: A total of 179,028 screening mammograms comprised the study cohort: 41,818 (23.3%) during the FFDM-only period, 83,125 (46.4%) during the hybrid period, and 54,084 (30.2%) during the DBT-only period. Recall rates were 10.4% (4,279 of 41,280) for the FFDM-only period, 10.6% (8,761 of 82,917) for the hybrid period, and 10.8% (5,850 of 54,020) for the DBT-only period (P = .96). CDR (cancers per 1,000 examinations) was 2.6 per 1,000, 4.9 per 1,000, and 6.0 per 1,000 for FFDM only, hybrid, and DBT only, respectively (P &lt; .01). PPV1s (number of cancers per number of recalls) were 2.5% for the FFDM-only period, 4.6% for the hybrid period, and 5.6% for the DBT-only period (P &lt; .01). Conclusion: Recall rates were not significantly different within the three periods in the breast imaging practice. However, PPV1 and CDR were significantly higher with DBT only. © 2020 American College of Radiology</t>
  </si>
  <si>
    <t>Cochon,L.R.,Giesś,C.S.,Khorasani,R.</t>
  </si>
  <si>
    <t>https://www.scopus.com/inward/record.uri?eid=2-s2.0-85087946459&amp;doi=10.1016%2Fj.jacr.2020.01.010&amp;partnerID=40&amp;md5=e64e1f80d878abc1f0529840e16de12a</t>
  </si>
  <si>
    <t>Callbacks,cancer detection rate,DBT,FFDM,screening mammography</t>
  </si>
  <si>
    <t>Journal of the American College of Radiology</t>
  </si>
  <si>
    <t>Comparing diagnostic performance of digital breast tomosynthesis and full-field digital mammography in a hybrid screening environment</t>
  </si>
  <si>
    <t>OBJECTIVE. The purpose of this study is to compare the diagnostic performance of screening digital breast tomosynthesis (DBT) to that of full-field digital mammography (FFDM) in a mixed DBT and FFDM imaging environment. MATERIALS AND METHODS. This retrospective observational study consisted of all female patients undergoing screening DBT or FFDM at an academic medical center and outpatient imaging facility between October 2012 and May 2015. Patient demographics and personal history of breast cancer were collected from the electronic medical record. A natural language processing algorithm extracted patients' breast density, current or prior imaging findings, and BI-RADS category from their most recent prior imaging examinations. To control for differential selection of FFDM versus DBT, we applied propensity score matching based on patient age, imaging site, and prior imaging findings. An institutional breast cancer registry identified cancer diagnoses. Primary outcomes of recall rate, cancer detection rate, and positive predictive value 1 (PPV1) were compared between matched FFDM and DBT groups. RESULTS. Among 68,794 screening examinations, we matched 16,264 FFDM with 21,074 DBT examinations (total, 37,338 examinations) using nearest neighbor propensity score matching. Recall rates were 10.3% (1683/16,264) for FFDM and 10.7% (2254/21,074) for DBT (p = 0.26). Cancer detection rates (number of cancers/1000 examinations) were 1.8/1000 for FFDM and 3.8/1000 for DBT (p = 0.005). The PPV1 (number of cancers/number of recalls) was 1.8% (26/1478) for FFDM and 3.6% (37/1036) for DBT (p = 0.006). CONCLUSION. FFDM and DBT recall rates were not significantly different in a mixed FFDM and DBT breast imaging practice. However, the PPV1 of recalled cases and the cancer detection rate (the primary screening objective) were significantly higher with DBT compared with FFDM. © American Roentgen Ray Society.</t>
  </si>
  <si>
    <t>Giesś,C.S.,Pourjabbar,S.,Ip,I.K.,Lacson,R.,Alper,E.,Khorasani,R.</t>
  </si>
  <si>
    <t>https://www.scopus.com/inward/record.uri?eid=2-s2.0-85029937494&amp;doi=10.2214%2FAJR.17.17983&amp;partnerID=40&amp;md5=53e449322c54e42774d740783906ee1d</t>
  </si>
  <si>
    <t>Breast,Cancer detection,Digital breast tomosynthesis,Full-field digital mammography,Screening</t>
  </si>
  <si>
    <t>American Journal of Roentgenology</t>
  </si>
  <si>
    <t>Comparison of accuracy and speed of information identification by nonpathologists in synoptic reports with different formats</t>
  </si>
  <si>
    <t>Context.-The College of American Pathologists requires synoptic reports for specific types of pathology reports. Objective.-To compare the accuracy and speed of information retrieval in synoptic reports of different formats. Design.-We assessed the performance of 28 nonpathologists from 4 different types of users (cancer registrars, MDs, medical non-MDs, and nonmedical) at identifying specific information in various formatted synoptic reports, using a computerized quiz that measured both accuracy and speed. Results.-There was no significant difference in the accuracy of data identification for any user group or in any format. While there were significant differences in raw time between users, these were eliminated when normalized times were used. Compared with the standard format of a required data element (RDE) and response on 1 line, both a list of responses without an RDE (21%, P , .001) and a paired response with more concise text (33%, P , .001) were significantly faster. In contrast, both the 2-line format (RDE header on one line, response indented on the second line) (12%, P , .001) and a report with the RDE response pairs in a random order were significantly slower (16%, P , .001). Conclusions.-There are significant differences in ease of use by nonpathologists between different synoptic report formats. Such information may be useful in deciding between different format options.</t>
  </si>
  <si>
    <t>Renshaw,A.A.,Gould,E.W.</t>
  </si>
  <si>
    <t>https://www.scopus.com/inward/record.uri?eid=2-s2.0-85014440512&amp;doi=10.5858%2Farpa.2016-0216-OA&amp;partnerID=40&amp;md5=26012fd1d3604288a5947abce76b05bd</t>
  </si>
  <si>
    <t>Archives of Pathology and Laboratory Medicine</t>
  </si>
  <si>
    <t>Comparison of Cancer Specific Outcomes following Minimally Invasive and Open Surgical Resection of Early Stage Kidney Cancer from a National Cancer Registry</t>
  </si>
  <si>
    <t>Purpose:With anecdotal observations of atypical recurrences following minimally invasive surgery and alongside new concerns following cervical cancer surgery, there is a need to evaluate cancer specific outcomes for minimally invasive kidney cancer surgery using national data. We evaluated cancer specific outcomes following minimally invasive surgery vs open surgery for early stage kidney cancer.Materials and Methods:We performed a retrospective population based cohort study using data from the SEER (Surveillance, Epidemiology, and End Results) program linked with Medicare claims that included beneficiaries at least 66 years old diagnosed between 2004 and 2013 with early stage, nonurothelial kidney cancer who underwent surgical resection within a year of diagnosis. We compared overall survival, disease specific survival, rate of second kidney cancer surgery and rate of postoperative systemic cancer therapy based on whether surgery was minimally invasive surgery or an open resection. Multivariable regression was used to account for confounders.Results:A total of 5,150 patients were included in analysis and 3,062 (59.5%) underwent minimally invasive surgery. On multivariable analysis minimally invasive surgery was not associated with differences in overall survival (HR 0.94, 95% CI 0.84-1.06) or disease specific survival (HR 0.96, 95% CI 0.83-1.11). Patients treated with minimally invasive surgery were more likely to receive systemic cancer therapy (HR 1.31, 95% CI 1.09-1.59). No difference in the rate of second surgery associated with surgical approach was observed.Conclusions:Use of minimally invasive surgery for early stage kidney cancer was not associated with differences in overall or disease specific survival, or the rate of second kidney cancer surgery. Patients treated with minimally invasive surgery received more postoperative systemic therapy, which could represent a disparate cancer specific outcome associated with minimally invasive surgery. © 2020 Lippincott Williams and Wilkins. All rights reserved.</t>
  </si>
  <si>
    <t>Auffenberg,G.B.,Curry,M.,Gennarelli,R.,Blum,K.A.,Elkin,E.,Russo,P.</t>
  </si>
  <si>
    <t>https://www.scopus.com/inward/record.uri?eid=2-s2.0-85087744792&amp;doi=10.1097%2FJU.0000000000000741&amp;partnerID=40&amp;md5=e8d0b5d0063add871b49327a6e8f3046</t>
  </si>
  <si>
    <t>health care,kidney neoplasms,minimally invasive surgical procedures,outcome assessment</t>
  </si>
  <si>
    <t>Journal of Urology</t>
  </si>
  <si>
    <t>Comparison of machine learning methods versus traditional Cox regression for survival prediction in cancer using real-world data: a systematic literature review and meta-analysis.</t>
  </si>
  <si>
    <t>Huang Yinan,Bazzazzadehgan Shadi,Li Jieni,Arabshomali Arman,Li Mai,Bhattacharya Kaustuv,Bentley John P</t>
  </si>
  <si>
    <t>https://research.ebsco.com/linkprocessor/plink?id=82de3e07-59f4-32ad-9874-93870c02f9b9</t>
  </si>
  <si>
    <t>Machine Learning,Neoplasms mortality,Neoplasms diagnosis,Neoplasms therapy,Humans,Proportional Hazards Models,Prognosis,Algorithms,Area Under Curve,Survival Analysis</t>
  </si>
  <si>
    <t>Completeness and accuracy of death registry data in Golestan, Iran</t>
  </si>
  <si>
    <t>Background: We aimed to evaluate completeness and accuracy of the Golestan Death Registry (GDR) to identify cancer-related causes of death (CCoD). Methods: The GDR data (2004-2015) were compared with cancer data collected from clinical/pathological sources (the considered gold standard) by the Golestan Population-Based Cancer Registry (GPCR). Using a linkage method, matched cases, including subjects with CCoD and those with ill-defined cause of death (ICoD) (garbage codes), were identified and entered into the final analysis as study subjects. The completeness (percentage of study subjects with CCoD) and accuracy (number of subjects with correct CoD from the total number of study subjects) of the GDR were calculated. Results: In total, 3,766 matched cases were enrolled. Overall, the completeness and accuracy of the GDR for identifying CCoD were 92.7% and 53.2%, respectively. There were variations by cancer site and age group, with completeness and accuracy highest for brain cancer (96.3%) and leukaemia (79.8%) while the lowest accuracy was observed for colorectal cancer (29.9%). The completeness and accuracy of GDR was higher in patients aged under 60 years (95.7% and 53.6%, respectively). We also found higher completeness (93.7%) and accuracy (55.8%) in residents of rural areas. Conclusion: Linkage of death registry data with cancer registry data can be a significant resource for evaluating quality of the death registry data. Our findings suggested that completeness of the GDR for identifying CCoD is reasonable, but accuracy is relatively low. Access to clinical and pathological data from other sources and enhanced training of death certifiers can improve the present situation. © 2018 The Author(s).</t>
  </si>
  <si>
    <t>Hasanpour-Heidari,S.,Jafari-Delouei,N.,Shokoohifar,N.,Sedaghat,S.M.,Moghaddami,A.,Hosseinpour,R.,Poorabbasi,M.,Gholami,M.,Semnani,S.,Naeimi Tabiee,M.,Honarvar,M.R.,Fazel,A.,Etemadi,A.,Bray,F.,Roshandel,G.</t>
  </si>
  <si>
    <t>https://www.scopus.com/inward/record.uri?eid=2-s2.0-85062434706&amp;partnerID=40&amp;md5=d3150850d3a78ef2e382ff4c4c9d4496</t>
  </si>
  <si>
    <t>Accuracy,Cancer,Completeness,Death registry,Iran</t>
  </si>
  <si>
    <t>Archives of Iranian Medicine</t>
  </si>
  <si>
    <t>Completeness and accuracy of national cancer and death registration for outcome ascertainment in trials—an ovarian cancer exemplar</t>
  </si>
  <si>
    <t>Background: There is a trend to increasing use of routinely collected health data to ascertain outcome measures in trials. We report on the completeness and accuracy of national ovarian cancer and death registration in the United Kingdom Collaborative Trial of Ovarian Cancer Screening (UKCTOCS). Methods: Of the 202,638 participants, 202,632 were successfully linked and followed through national cancer and death registries of Northern Ireland, Wales and England. Women with registrations of any of 19 pre-defined ICD-10 codes suggestive of tubo-ovarian cancer or notification of ovarian/tubal/peritoneal cancer from hospital episode statistics or trial sites were identified. Copies of hospital and primary care notes were retrieved and reviewed by an independent outcomes review committee. National registration of site and cause of death as ovarian/tubal/peritoneal cancer (C56/C57/C48) obtained up to 3 months after trial censorship was compared to that assigned by outcomes review (reference standard). Results: Outcome review was undertaken in 3110 women on whom notification was received between 2001 and 2014. Ovarian cancer was confirmed in 1324 of whom 1125 had a relevant cancer registration. Sensitivity and specificity of ovarian/tubal/peritoneal cancer registration were 85.0% (1125/1324; 95% CI 83.7–86.2%) and 94.0% (1679/1786; 95% CI 93.2–94.8%), respectively. Of 2041 death registrations reviewed, 681 were confirmed to have a tubo-ovarian cancer of whom 605 had relevant death registration. Sensitivity and specificity were 88.8% (605/681; 95% CI 86.4–91.2%) and 96.7% (1482/1533, 95% CI 95.8–97.6%), respectively. When multiple electronic health record sources were considered, sensitivity for cancer site increased to 91.1% (1206/1324, 95% CI 89.4–92.5%) and for cause of death 94.0% (640/681, 95% CI 91.9–95.5%). Of 1232 with cancer registration, 8.7% (107/1232) were wrongly designated as ovarian/tubal/peritoneal cancers by the registry and 4.0% (47/1172) of confirmed tubo-ovarian cancers were mis-registered. In 656 with death registrations, 7.8% (51/656) were wrongly assigned as due to ovarian/tubal/peritoneal cancers while 6.2% (40/645) of confirmed tubo-ovarian cancer deaths were mis-registered. Conclusion: Follow-up of trial participants for tubo-ovarian cancer using national registry data will result in incomplete ascertainment, particularly of the site due in part to the latency of registration. This can be reduced by using other routinely collected data such as hospital episode statistics. Central adjudication by experts though resource intensive adds value by improving the accuracy of diagnoses. Trial registration: ISRCTN: ISRCTN22488978. Registered on 6 April 2000 © 2021, The Author(s).</t>
  </si>
  <si>
    <t>Kalsi,J.K.,Ryan,A.,Gentry-Maharaj,A.,Margolin-Crump,D.,Singh,N.,Burnell,M.,Benjamin,E.,Apostolidou,S.,Habib,M.,Massingham,S.,Karpinskyj,C.,Woolas,R.,Widschwendter,M.,Fallowfield,L.,Campbell,S.,Skates,S.,McGuire,A.,Parmar,M.,Jacobs,I.,Menon,U.</t>
  </si>
  <si>
    <t>https://www.scopus.com/inward/record.uri?eid=2-s2.0-85099938116&amp;doi=10.1186%2Fs13063-020-04968-x&amp;partnerID=40&amp;md5=686d3358d5a9067dfd02ee13d8e7fa60</t>
  </si>
  <si>
    <t>Adjudication,Outcomes review,Ovarian cancer,Randomised controlled trial,Registry,Screening,UKCTOCS</t>
  </si>
  <si>
    <t>Trials</t>
  </si>
  <si>
    <t>Compliance with recommended cancer patient pathway timeframes and choice of treatment differed by cancer type and place of residence among cancer patients in Norway in 2015–2016</t>
  </si>
  <si>
    <t>Background: Cancer patient pathways (CPPs) were implemented in Norway to reduce unnecessary waiting times, regional variations, and to increase the predictability of cancer care for the patients. This study aimed to determine if 70% of cancer patients started treatment within the recommended time frames, and to identify potential delays. Methods: Patients registered with a colorectal, lung, breast, or prostate cancer diagnosis at the Cancer Registry of Norway in 2015–2016 were linked with the Norwegian Patient Registry and Statistics Norway. Adjusting for sociodemographic variables, multivariable quantile (median) regressions were used to examine the association between place of residence and median time to start of examination, treatment decision, and start of treatment. Results: The study included 20 668 patients. The proportions of patients who went through the CPP within the recommended time frames were highest among colon (84%) and breast (76%) cancer patients who underwent surgery and lung cancer patients who started systemic anticancer treatment (76%), and lowest for prostate cancer patients who underwent surgery (43%). The time from treatment decision to start of treatment was the main source of delay for all cancers. Travelling outside the resident health trust prolonged waiting time and was associated with a reduced odds of receiving surgery and radiotherapy for lung and rectal cancer patients, respectively. Conclusions: Achievement of national recommendations of the CCP times differed by cancer type and treatment. Identified bottlenecks in the pathway should be targeted to decrease waiting times. Further, CPP guidelines should be re-examined to determine their ongoing relevance. © 2022, The Author(s).</t>
  </si>
  <si>
    <t>Nilssen,Y.,Brustugun,O.T.,Eriksen,M.T.,Guren,M.G.,Haug,E.S.,Naume,B.,Schlichting,E.,Møller,B.</t>
  </si>
  <si>
    <t>https://www.scopus.com/inward/record.uri?eid=2-s2.0-85125569628&amp;doi=10.1186%2Fs12885-022-09306-9&amp;partnerID=40&amp;md5=b5aab8f73d255f84382e97afbcd634e5</t>
  </si>
  <si>
    <t>Breast cancer,Cancer patient pathways,Colorectal cancer,Lung cancer,Prostate cancer,Waiting time</t>
  </si>
  <si>
    <t>BMC Cancer</t>
  </si>
  <si>
    <t>Comprehensive study of semi-supervised learning for DNA methylation-based supervised classification of central nervous system tumors.</t>
  </si>
  <si>
    <t>Precision medicine for cancer treatment relies on an accurate pathological diagnosis. The number of known tumor classes has increased rapidly, and reliance on traditional methods of histopathologic classification alone has become unfeasible. To help reduce variability, validation costs, and standardize the histopathological diagnostic process, supervised machine learning models using DNA-methylation data have been developed for tumor classification. These methods require large labeled training data sets to obtain clinically acceptable classification accuracy. While there is abundant unlabeled epigenetic data across multiple databases, labeling pathology data for machine learning models is time-consuming and resource-intensive, especially for rare tumor types. Semi-supervised learning (SSL) approaches have been used to maximize the utility of labeled and unlabeled data for classification tasks and are effectively applied in genomics. SSL methods have not yet been explored with epigenetic data nor demonstrated beneficial to central nervous system (CNS) tumor classification.</t>
  </si>
  <si>
    <t>Tran Quynh T,Alom Md Zahangir,Orr Brent A</t>
  </si>
  <si>
    <t>https://research.ebsco.com/linkprocessor/plink?id=f30fd4ae-9d7c-393a-8b1f-5938dac771a6</t>
  </si>
  <si>
    <t>Algorithms,Central Nervous System Neoplasms,DNA Methylation,Humans,Supervised Machine Learning,Support Vector Machine</t>
  </si>
  <si>
    <t>BMC bioinformatics</t>
  </si>
  <si>
    <t>Comprehensive trends in incidence, treatment, survival and mortality of first primary invasive breast cancer stratified by age, stage and receptor subtype in the Netherlands between 1989 and 2017</t>
  </si>
  <si>
    <t>Our study aimed to provide a comprehensive overview of trends in incidence, survival, mortality and treatment of first primary invasive breast cancer (BC), according to age, stage and receptor subtype in the Netherlands between 1989 and 2017. Data from all women diagnosed with first primary stage I to IV BC (N = 320 249) were obtained from the Netherlands Cancer Registry. BC mortality and general population data were retrieved from Statistics Netherlands. Age-standardised incidence and mortality rates were calculated with annual percentage change (APC) and average annual percentage change (AAPC) statistics. The relative survival (RS) was used as estimator for disease-specific survival. The BC incidence for all BC patients combined significantly increased until 2013 from 126 to 158 per 100 000 person-years, after which a declining trend was observed. Surgery became less extensive, but (neo-)adjuvant systemic treatments and their combinations were given more frequently. The RS improved for all age groups and for most stages and receptor subtypes, but remained stable for all subtypes since 2012 to 2013 and since 2000 to 2009 for Stage IV BC at 15 years of follow-up. Overall, the 5- and 10-year RS increased from 76.8% (95% confidence interval [CI]: 76.1, 77.4) and 55.9% (95% CI: 54.7, 57.1) in 1989 to 1999 to 91.0% (95% CI: 90.5, 91.5) and 82.9% (95% CI: 82.2, 83.5), respectively, in 2010 to 2016. BC mortality improved regardless of age and overall decreased from 57 to 35 per 100 000 person-years between 1989 and 2017. In conclusion, the BC incidence in the Netherlands has steadily increased since 1989, but the latest trends show promising declines. Survival improved markedly for most patients and the mortality decreased regardless of age. © 2020 The Authors. International Journal of Cancer published by John Wiley &amp; Sons Ltd on behalf of UICC.</t>
  </si>
  <si>
    <t>van der Meer,D.J.,Kramer,I.,van Maaren,M.C.,van Diest,P.J.,Linn,S.,Maduro,J.H.,J.a Strobbe,L.,Siesling,S.,Schmidt,M.K.,Voogd,A.C.</t>
  </si>
  <si>
    <t>https://www.scopus.com/inward/record.uri?eid=2-s2.0-85097616956&amp;doi=10.1002%2Fijc.33417&amp;partnerID=40&amp;md5=6171a0ea688feefbaabcfec9d9e5aed3</t>
  </si>
  <si>
    <t>breast cancer,incidence,mortality,survival,treatment</t>
  </si>
  <si>
    <t>Compulsory military service as a measure of later physical and cognitive performance in male survivors of childhood cancer</t>
  </si>
  <si>
    <t>Background: Compromised physical fitness and cognitive difficulties have been reported as late effects of cancer treatment during childhood. To assess this issue, the military rankings of cancer survivors in medical checkups at call-up, and conscripts’ physical and cognitive performance during the first weeks of compulsory military education were compared to those of matched population controls without a history of cancer. Material and methods: A total of 1680 male patients born between 1960 and 1992 with a malignancy diagnosed before the age of 16 who were alive at the call-up age (18 years) were identified using the Finnish Cancer Registry, and five age, sex and place of residence matched controls for each patient using the Population Register Centre. Data on military service were gathered from Finnish Defense Forces. A conditional logistic regression analysis, the GEE-method with the cumulative logit link function, the chi-square test, the chi-square test for trend and a one-way analysis of variance were used in different analyses. Results: Cancer survivors were exempted from military service more often than the controls (p &lt;.001). The fit-for-service frequency was highest for survivors of kidney tumors (68%) and lowest after irradiated brain tumors (19%). In service, the results of the 12-min running test were poorer than those of controls for leukemia/non-Hodgkin lymphoma (p =.03) and brain tumor (p =.01) survivors. Interestingly, the standing long-jump test was the only muscle test for which survivor groups performed worse than controls. Performance on cognitive tests only differed from controls in brain tumor survivors. Conclusions: Exemption from service is still common under the current guidelines, but fit-for-service survivors do well in military education. These results can be used for reassuring survivors that completion of military service is possible for those fulfilling the national general guidelines for military fitness. © 2017 Acta Oncologica Foundation.</t>
  </si>
  <si>
    <t>Ahomäki,R.,Harila,A.,Parkkola,K.,Matomäki,J.,Lähteenmäki,P.M.</t>
  </si>
  <si>
    <t>https://www.scopus.com/inward/record.uri?eid=2-s2.0-85023774039&amp;doi=10.1080%2F0284186X.2017.1351037&amp;partnerID=40&amp;md5=29544b76ab64cdafb56196efcb07f27e</t>
  </si>
  <si>
    <t>Acta Oncologica</t>
  </si>
  <si>
    <t>Computer-based coding of free-text job descriptions to efficiently identify occupations in epidemiological studies.</t>
  </si>
  <si>
    <t>Mapping job titles to standardised occupation classification (SOC) codes is an important step in identifying occupational risk factors in epidemiological studies. Because manual coding is time-consuming and has moderate reliability, we developed an algorithm called SOCcer (Standardized Occupation Coding for Computer-assisted Epidemiologic Research) to assign SOC-2010 codes based on free-text job description components.</t>
  </si>
  <si>
    <t>Russ Daniel E,Ho Kwan-Yuet,Colt Joanne S,Armenti Karla R,Baris Dalsu,Chow Wong-Ho,Davis Faith,Johnson Alison,Purdue Mark P,Karagas Margaret R,Schwartz Kendra,Schwenn Molly,Silverman Debra T,Johnson Calvin A,Friesen Melissa C</t>
  </si>
  <si>
    <t>https://research.ebsco.com/linkprocessor/plink?id=3a892d11-5fd4-3328-be63-18f239d0eadc</t>
  </si>
  <si>
    <t>Industry classification,Job Description,Natural Language Processing,Occupations classification,Algorithms,Carcinoma, Renal Cell,Case-Control Studies,Epidemiologic Methods,Epidemiologic Studies,Humans,Logistic Models,Reproducibility of Results,Software,United States,United States Occupational Safety and Health Administration</t>
  </si>
  <si>
    <t>Occupational and environmental medicine</t>
  </si>
  <si>
    <t>Construction of a knowledge graph for breast cancer diagnosis based on Chinese electronic medical records: development and usability study.</t>
  </si>
  <si>
    <t>Electronic medical records (EMRs) contain a wealth of information related to breast cancer diagnosis and treatment. Extracting relevant features from these medical records and constructing a knowledge graph can significantly contribute to an efficient data analysis and decision support system for breast cancer diagnosis.</t>
  </si>
  <si>
    <t>Li Xiaolong,Sun Shuifa,Tang Tinglong,Lu Ji,Zhang Lijuan,Yin Jie,Geng Qian,Wu Yirong</t>
  </si>
  <si>
    <t>https://research.ebsco.com/linkprocessor/plink?id=367591b2-1e7e-3feb-8e1b-214d2a132af1</t>
  </si>
  <si>
    <t>Breast Neoplasms diagnostic imaging,Electronic Health Records,Female,Humans,East Asian People,Pattern Recognition, Automated,Semantics,Information Storage and Retrieval,Computer Simulation,Data Visualization</t>
  </si>
  <si>
    <t>Construction of the cervical cancer common terminology for promoting semantic interoperability and utilization of Chinese clinical data.</t>
  </si>
  <si>
    <t>&lt;bold&gt;Background: &lt;/bold&gt;We aimed to build a common terminology in the domain of cervical cancer, named Cervical Cancer Common Terminology (CCCT), that will facilitate clinical data exchange, ensure quality of data and support large scale data analysis.&lt;bold&gt;Methods: &lt;/bold&gt;The standard concepts and relations of CCCT were collected from ICD-10-CM Chinese Version, ICD-9-PC Chinese Version, officially issued commonly used Chinese clinical terms, Chinese guidelines for diagnosis and treatment of cervical cancer and Chinese medical book Lin Qiaozhi Gynecologic Oncology. 2062 cervical cancer electronic medical records (EMRs) from 16 hospitals, belong to different regions and hospital tiers, were collected for terminology enrichment and building common terms and relations. Concepts hierarchies, terms and relationships were built using Protégé. The performance of natural language processing results was evaluated by average precision, recall, and F1-score. The usability of CCCT were evaluated by terminology coverage.&lt;bold&gt;Results: &lt;/bold&gt;A total of 880 standard concepts, 1182 common terms, 16 relations and 6 attributes were defined in CCCT, which organized in 6 levels and 11 classes. Initial evaluation of the natural language processing results demonstrated average precision, recall, and F1-score percentages of 96%, 72.6%, and 88.5%. The average terminology coverage for three classes of terms, clinical manifestation, treatment, and pathology, were 87.22%, 92.63%, and 89.85%, respectively. Flexible Chinese expressions exist between regions, traditions, cultures, and language habits within the country, linguistic variations in different settings and diverse translation of introduced western language terms are the main reasons of uncovered terms.&lt;bold&gt;Conclusions: &lt;/bold&gt;Our study demonstrated the initial results of CCCT construction. This study is an ongoing work, with the update of medical knowledge, more standard clinical concepts will be added in, and with more EMRs to be collected and analyzed, the term coverage will be continuing improved. In the future, CCCT will effectively support clinical data analysis in large scale.</t>
  </si>
  <si>
    <t>Hong Na,Chang Fengxiang,Ou Zhengjie,Wang Yishang,Yang Yating,Guo Qiang,Ma Jianhui,Zhao Dan</t>
  </si>
  <si>
    <t>https://research.ebsco.com/linkprocessor/plink?id=b23d9a9a-390b-329f-a5fc-8cb68ad0759c</t>
  </si>
  <si>
    <t>Cervical cancer,Natural language processing,Symptoms,Cervical cancer diagnosis,Electronic health records,Semantics,Research,Research methodology,Language &amp; languages,Medical cooperation,Evaluation research,Comparative studies,Research funding,China,Cervix uteri tumors</t>
  </si>
  <si>
    <t>BMC Medical Informatics &amp; Decision Making</t>
  </si>
  <si>
    <t>Construction, validation, and visualization of a web-based nomogram to predict overall survival in small-cell lung cancer patients with brain metastasis</t>
  </si>
  <si>
    <t>Introduction: Brain metastasis (BM) is an aggressive complication with an extremely poor prognosis in patients with small-cell lung cancer (SCLC). A well-constructed prognostic model could help in providing timely survival consultation or optimizing treatments. Methods: We analyzed clinical data from SCLC patients between 2000 and 2018 based on the Surveillance, Epidemiology, and End Results (SEER) database. We identified significant prognostic factors and integrated them using a multivariable Cox regression approach. Internal validation of the model was performed through a bootstrap resampling procedure. Model performance was evaluated based on the area under the curve (AUC) and calibration curve. Results: A total of 2,454 SCLC patients' clinical data was collected from the database. It was determined that seven clinical parameters were associated with prognosis in SCLC patients with BM. A satisfactory level of discrimination was achieved by the predictive model, with 6-, 12-, and 18-month AUC values of 0.726, 0.707, and 0.737 in the training cohort; and 0.759, 0.742, and 0.744 in the validation cohort. As measured by survival rate probabilities, the calibration curve agreed well with actual observations. Furthermore, prognostic scores were found to significantly alter the survival curves of different risk groups. We then deployed the prognostic model onto a website server so that users can access it easily. Conclusions: In this study, a nomogram and a web-based predictor were developed to predict overall survival in SCLC patients with BM. It may assist physicians in making informed clinical decisions and determining the best treatment plan for each patient. © The Author(s), under exclusive licence to Springer Nature Switzerland AG 2023.</t>
  </si>
  <si>
    <t>Liang,M.,Chen,M.,Singh,S.,Singh,S.</t>
  </si>
  <si>
    <t>https://www.scopus.com/inward/record.uri?eid=2-s2.0-85174268002&amp;doi=10.1007%2Fs10552-023-01805-9&amp;partnerID=40&amp;md5=fe06b66a7913b26b32ef4593fe7cd786</t>
  </si>
  <si>
    <t>Brain metastasis,Nomogram,Prognosis,SEER,Small-cell lung cancer,Survival</t>
  </si>
  <si>
    <t>Cancer Causes and Control</t>
  </si>
  <si>
    <t>Contrasting effects of comorbidities on emergency colon cancer diagnosis: A longitudinal data-linkage study in England</t>
  </si>
  <si>
    <t>Background: One in three colon cancers are diagnosed as an emergency, which is associated with worse cancer outcomes. Chronic conditions (comorbidities) affect large proportions of adults and they might influence the risk of emergency presentations (EP). Methods: We aimed to evaluate the effect of specific pre-existing comorbidities on the risk of colon cancer being diagnosed following an EP rather than through non-emergency routes. The cohort study included 5745 colon cancer patients diagnosed in England 2005-2010, with individually-linked cancer registry, primary and secondary care data. In addition to multivariable analyses we also used potential-outcomes methods. Results: Colon cancer patients with comorbidities consulted their GP more frequently with cancer symptoms during the pre-diagnostic year, compared with non-comorbid cancer patients. EP occurred more frequently in patients with 'serious' or complex comorbidities (diabetes, cardiac and respiratory diseases) diagnosed/treated in hospital during the years pre-cancer diagnosis (43% EP in comorbid versus 27% in non-comorbid individuals; multivariable analysis Odds Ratio (OR), controlling for socio-demographic factors and symptoms: men OR = 2.40; 95% CI 2.0-2.9 and women OR = 1.98; 95% CI 1.6-2.4. Among women younger than 60, gynaecological (OR = 3.41; 95% CI 1.2-9.9) or recent onset gastro-intestinal conditions (OR = 2.84; 95% CI 1.1-7.7) increased the risk of EP. In contrast, primary care visits for hypertension monitoring decreased EPs for both genders. Conclusions: Patients with comorbidities have a greater risk of being diagnosed with cancer as an emergency, although they consult more frequently with cancer symptoms during the year pre-cancer diagnosis. This suggests that comorbidities may interfere with diagnostic reasoning or investigations due to 'competing demands' or because they provide 'alternative explanations'. In contrast, the management of chronic risk factors such as hypertension may offer opportunities for earlier diagnosis. Interventions are needed to support the diagnostic process in comorbid patients. Appropriate guidelines and diagnostic services to support the evaluation of new or changing symptoms in comorbid patients may be useful. © 2019 The Author(s).</t>
  </si>
  <si>
    <t>Renzi,C.,Lyratzopoulos,G.,Hamilton,W.,Maringe,C.,Rachet,B.</t>
  </si>
  <si>
    <t>https://www.scopus.com/inward/record.uri?eid=2-s2.0-85066047914&amp;doi=10.1186%2Fs12913-019-4075-4&amp;partnerID=40&amp;md5=72d654ad95641a6a20bca1309a0299d3</t>
  </si>
  <si>
    <t>Chronic conditions,Colon cancer,Comorbidity,Diagnosis,Emergency presentations,Symptoms</t>
  </si>
  <si>
    <t>BMC Health Services Research</t>
  </si>
  <si>
    <t>Contribution of clinical breast exam to cancer detection in women participating in a modern screening program.</t>
  </si>
  <si>
    <t>&lt;bold&gt;Purpose: &lt;/bold&gt;Despite the controversy surrounding the role of clinical breast exam (CBE) in modern breast cancer screening, it is widely practiced. We examined the contribution of CBE in women undergoing routine screening mammography and in women under the screening age.&lt;bold&gt;Methods: &lt;/bold&gt;A retrospective cohort study including all women participating in a voluntary health screening program between 2007 and 2016. All participants undergo CBE; Screening mammography is done selectively based on age, breast imaging history and insurance coverage. Data collected included demographics, risk factors, previous imaging, and findings on CBE and mammography. Cancer detection rates within 3 months of the visit were calculated separately for women undergoing routine screening mammography, and women under the screening age.&lt;bold&gt;Results: &lt;/bold&gt;There were 14,857 CBE completed in 8378; women; 7% were abnormal. Within 3 months of the visit, 35 breast cancers (2.4 per 1000 visits) were diagnosed. In women within the screening age who completed a mammogram less than one year prior to the visit (N = 1898), 4 cancers (2.1 cancers per 1000 visits) were diagnosed. Only one was diagnosed in a woman with an abnormal CBE, suggesting that the cancer detection rate of CBE in women undergoing regular screening is very low (0.5 per 1000 visits). In women under the screening age (45), 3 cancers (0.4 per 1000 visits) were diagnosed; all were visualized on mammography, one had an abnormal CBE.&lt;bold&gt;Conclusions: &lt;/bold&gt;The contribution of CBE to cancer detection in women undergoing routine screening and in women under the screening age is rare.</t>
  </si>
  <si>
    <t>Menes Tehillah S.,Coster Dan,Coster Daniel,Shenhar-Tsarfaty Shani</t>
  </si>
  <si>
    <t>https://research.ebsco.com/linkprocessor/plink?id=2364d63a-909e-3e4d-9226-15f7b5d6a35f</t>
  </si>
  <si>
    <t>Early detection of cancer,Breast exams,Breast cancer,Breast imaging,Diagnosis</t>
  </si>
  <si>
    <t>BMC Women's Health</t>
  </si>
  <si>
    <t>Convolutional Networks and Transformers for Mammography Classification: An Experimental Study.</t>
  </si>
  <si>
    <t>Convolutional Neural Networks (CNN) have received a large share of research in mammography image analysis due to their capability of extracting hierarchical features directly from raw data. Recently, Vision Transformers are emerging as viable alternative to CNNs in medical imaging, in some cases performing on par or better than their convolutional counterparts. In this work, we conduct an extensive experimental study to compare the most recent CNN and Vision Transformer architectures for whole mammograms classification. We selected, trained and tested 33 different models, 19 convolutional- and 14 transformer-based, on the largest publicly available mammography image database OMI-DB. We also performed an analysis of the performance at eight different image resolutions and considering all the individual lesion categories in isolation (masses, calcifications, focal asymmetries, architectural distortions). Our findings confirm the potential of visual transformers, which performed on par with traditional CNNs like ResNet, but at the same time show a superiority of modern convolutional networks like EfficientNet.</t>
  </si>
  <si>
    <t>Cantone Marco,Marrocco Claudio,Tortorella Francesco,Bria Alessandro</t>
  </si>
  <si>
    <t>https://research.ebsco.com/linkprocessor/plink?id=a55cf63a-e06e-30c2-b15b-e8c0c1a843da</t>
  </si>
  <si>
    <t>Mammograms,Computer-aided diagnosis,Image analysis,Convolutional neural networks,Image databases,Diagnostic Imaging Centers</t>
  </si>
  <si>
    <t>CoraL: interpretable contrastive meta-learning for the prediction of cancer-associated ncRNA-encoded small peptides.</t>
  </si>
  <si>
    <t>NcRNA-encoded small peptides (ncPEPs) have recently emerged as promising targets and biomarkers for cancer immunotherapy. Therefore, identifying cancer-associated ncPEPs is crucial for cancer research. In this work, we propose CoraL, a novel supervised contrastive meta-learning framework for predicting cancer-associated ncPEPs. Specifically, the proposed meta-learning strategy enables our model to learn meta-knowledge from different types of peptides and train a promising predictive model even with few labeled samples. The results show that our model is capable of making high-confidence predictions on unseen cancer biomarkers with only five samples, potentially accelerating the discovery of novel cancer biomarkers for immunotherapy. Moreover, our approach remarkably outperforms existing deep learning models on 15 cancer-associated ncPEPs datasets, demonstrating its effectiveness and robustness. Interestingly, our model exhibits outstanding performance when extended for the identification of short open reading frames derived from ncPEPs, demonstrating the strong prediction ability of CoraL at the transcriptome level. Importantly, our feature interpretation analysis discovers unique sequential patterns as the fingerprint for each cancer-associated ncPEPs, revealing the relationship among certain cancer biomarkers that are validated by relevant literature and motif comparison. Overall, we expect CoraL to be a useful tool to decipher the pathogenesis of cancer and provide valuable information for cancer research. The dataset and source code of our proposed method can be found at https://github.com/Johnsunnn/CoraL.</t>
  </si>
  <si>
    <t>Li Zhongshen,Jin Junru,He Wenjia,Long Wentao,Yu Haoqing,Gao Xin,Nakai Kenta,Zou Quan,Wei Leyi</t>
  </si>
  <si>
    <t>https://research.ebsco.com/linkprocessor/plink?id=27ed0cd2-c7c4-3499-a814-0d5bef5b0e12</t>
  </si>
  <si>
    <t>Tumor markers,Peptides,Human fingerprints,Corals,Deep learning,Carcinogenesis,Source code</t>
  </si>
  <si>
    <t>Core Concepts in Pharmacoepidemiology: Principled Use of Artificial Intelligence and Machine Learning in Pharmacoepidemiology and Healthcare Research.</t>
  </si>
  <si>
    <t>Artificial intelligence (AI) and machine learning (ML) are important tools across many fields of health and medical research. Pharmacoepidemiologists can bring essential methodological rigor and study design expertise to the design and use of these technologies within healthcare settings. AI/ML-based tools also play a role in pharmacoepidemiology research, as we may apply them to answer our own research questions, take responsibility for evaluating medical devices with AI/ML components, or participate in interdisciplinary research to create new AI/ML algorithms. While epidemiologic expertise is essential to deploying AI/ML responsibly and ethically, the rapid advancement of these technologies in the past decade has resulted in a knowledge gap for many in the field. This article provides a brief overview of core AI/ML concepts, followed by a discussion of potential applications of AI/ML in pharmacoepidemiology research, and closes with a review of important concepts across application areas, including interpretability and fairness. This review is intended to provide an accessible, practical overview of AI/ML for pharmacoepidemiology research, with references to further, more detailed resources on fundamental topics.</t>
  </si>
  <si>
    <t>Rough Kathryn,Rashidi Emaan S,Tai Caroline G,Lucia Rachel M,Mack Christina D,Largent Joan A</t>
  </si>
  <si>
    <t>https://research.ebsco.com/linkprocessor/plink?id=ac6f6f00-f6a5-3e5b-b3b5-ffd09b552d2f</t>
  </si>
  <si>
    <t>Pharmacoepidemiology methods,Machine Learning,Artificial Intelligence,Humans,Health Services Research,Research Design,Algorithms</t>
  </si>
  <si>
    <t>Pharmacoepidemiology and drug safety</t>
  </si>
  <si>
    <t>Core Data Elements in Acute Myeloid Leukemia: A Unified Medical Language System–Based Semantic Analysis and Experts' Review.</t>
  </si>
  <si>
    <t xml:space="preserve">Background: For cancer domains such as acute myeloid leukemia (AML), a large set of data elements is obtained from different institutions with heterogeneous data definitions within one patient course. The lack of clinical data harmonization impedes cross-institutional electronic data exchange and future meta-analyses. Objective: This study aimed to identify and harmonize a semantic core of common data elements (CDEs) in clinical routine and research documentation, based on a systematic metadata analysis of existing documentation models. Methods: Lists of relevant data items were collected and reviewed by hematologists from two university hospitals regarding routine documentation and several case report forms of clinical trials for AML. In addition, existing registries and international recommendations were included. Data items were coded to medical concepts via the Unified Medical Language System (UMLS) by a physician and reviewed by another physician. On the basis of the coded concepts, the data sources were analyzed for concept overlaps and identification of most frequent concepts. The most frequent concepts were then implemented as data elements in the standardized format of the Operational Data Model by the Clinical Data Interchange Standards Consortium. Results: A total of 3265 medical concepts were identified, of which 1414 were unique. Among the 1414 unique medical concepts, the 50 most frequent ones cover 26.98% of all concept occurrences within the collected AML documentation. The top 100 concepts represent 39.48% of all concepts' occurrences. Implementation of CDEs is available on a European research infrastructure and can be downloaded in different formats for reuse in different electronic data capture systems. Conclusions: Information management is a complex process for research-intense disease entities as AML that is associated with a large set of lab-based diagnostics and different treatment options. Our systematic UMLS-based analysis revealed the existence of a core data set and an exemplary reusable implementation for harmonized data capture is available on an established metadata repository. [ABSTRACT FROM AUTHOR] </t>
  </si>
  <si>
    <t>1,2,1,1</t>
  </si>
  <si>
    <t>https://research.ebsco.com/linkprocessor/plink?id=626619be-c095-38a0-bf6c-43b620233c5a</t>
  </si>
  <si>
    <t>CORR Insights®: Is the Number of National Database Research Studies in Musculoskeletal Sarcoma Increasing, and Are These Studies Reliable?</t>
  </si>
  <si>
    <t>[No abstract available]</t>
  </si>
  <si>
    <t>Wai,E.K.</t>
  </si>
  <si>
    <t>https://www.scopus.com/inward/record.uri?eid=2-s2.0-85148479893&amp;doi=10.1097%2FCORR.0000000000002369&amp;partnerID=40&amp;md5=a4a3efb35b5feb93fff87604002671d1</t>
  </si>
  <si>
    <t>Clinical Orthopaedics and Related Research</t>
  </si>
  <si>
    <t>Correlates of Taxane-Induced Neuropathy, an Electronic Health Record Based Observational Study</t>
  </si>
  <si>
    <t>Background: Chemotherapy-induced peripheral neuropathy (CIPN) is a common therapeutic complication affecting cancer patients’ quality-of-life. We evaluated clinical characteristics, demographics, and lifestyle factors in association with CIPN following taxane treatment. Methods: Data were extracted from the electronic health record of 3387 patients diagnosed with a primary cancer and receiving taxane (i.e., paclitaxel or docetaxel) at Vanderbilt University Medical Center. Neuropathy was assessed via a validated computer algorithm. Univariate and multivariate regression models were applied to evaluate odds ratios (ORs) and 95% confidence intervals (CIs) of CIPN-associated factors. Results: Female sex (OR = 1.28, 95% CI = 1.01–1.62), high body-mass index (BMI) (OR = 1.31, 95% CI = 1.06–1.61 for overweight, and OR = 1.49, 95% CI = 1.21–1.83 for obesity), diabetes (OR = 1.66, 95% CI = 1.34–2.06), high mean taxane dose (OR = 1.05, 95% CI = 1.03–1.08 per 10 mg/m2), and more treatment cycles (1.12, 95% CI = 1.10–1.14) were positively associated with CIPN. Concurrent chemotherapy (OR = 0.74, 95% CI = 0.58–0.94) and concurrent radiotherapy (OR = 0.77, 95% CI = 0.59–1.00) were inversely associated with CIPN. Obesity and diabetes both had a stronger association with docetaxel CIPN compared to paclitaxel, although interaction was only significant for diabetes and taxane (p = 0.019). Increased BMI was associated with CIPN only among non-diabetic patients (OR:1.34 for overweight and 1.68 for obesity), while diabetes increased CIPN risk across all BMI strata (ORs were 2.65, 2.41, and 2.15 for normal weight, overweight, and obese, respectively) compared to normal-weight non-diabetic patients (p for interaction = 0.039). Conclusions: Female sex, obesity, and diabetes are significantly associated with taxine-induced CIPN. Further research is needed to identify clinical and pharmacologic strategies to prevent and mitigate CIPN in at-risk patient populations. © 2023 by the authors.</t>
  </si>
  <si>
    <t>Dorand,R.D.,Zheng,N.S.,Agarwal,R.,Carroll,R.J.,Rubinstein,S.M.,Winkfield,K.M.,Wei,W.-Q.,Berlin,J.,Shu,X.-O.</t>
  </si>
  <si>
    <t>https://www.scopus.com/inward/record.uri?eid=2-s2.0-85147805487&amp;doi=10.3390%2Fcancers15030754&amp;partnerID=40&amp;md5=345aa695d110a80e26f3e07bbccf03e0</t>
  </si>
  <si>
    <t>chemotherapy,peripheral neuropathy,taxane</t>
  </si>
  <si>
    <t>Correlates of Taxane-Induced Neuropathy, an Electronic Health Record Based Observational Study.</t>
  </si>
  <si>
    <t>Simple Summary: Chemotherapy-induced peripheral neuropathy (CIPN) is a common adverse effect of taxane chemotherapy. We investigated the associations of demographic and treatment variables with the risk of developing CIPN using electronic health record data. We found higher doses, more taxane cycles, female sex, overweight and obesity, or a history of diabetes were associated with developing CIPN in patients treated with taxane, while concurrent chemotherapy or concurrent radiotherapy were related to a reduced risk. Further studies are needed to uncover the underlying reasons for the observed associations. Background: Chemotherapy-induced peripheral neuropathy (CIPN) is a common therapeutic complication affecting cancer patients' quality-of-life. We evaluated clinical characteristics, demographics, and lifestyle factors in association with CIPN following taxane treatment. Methods: Data were extracted from the electronic health record of 3387 patients diagnosed with a primary cancer and receiving taxane (i.e., paclitaxel or docetaxel) at Vanderbilt University Medical Center. Neuropathy was assessed via a validated computer algorithm. Univariate and multivariate regression models were applied to evaluate odds ratios (ORs) and 95% confidence intervals (CIs) of CIPN-associated factors. Results: Female sex (OR = 1.28, 95% CI = 1.01–1.62), high body-mass index (BMI) (OR = 1.31, 95% CI = 1.06–1.61 for overweight, and OR = 1.49, 95% CI = 1.21–1.83 for obesity), diabetes (OR = 1.66, 95% CI = 1.34–2.06), high mean taxane dose (OR = 1.05, 95% CI = 1.03–1.08 per 10 mg/m&lt;sup&gt;2&lt;/sup&gt;), and more treatment cycles (1.12, 95% CI = 1.10–1.14) were positively associated with CIPN. Concurrent chemotherapy (OR = 0.74, 95% CI = 0.58–0.94) and concurrent radiotherapy (OR = 0.77, 95% CI = 0.59–1.00) were inversely associated with CIPN. Obesity and diabetes both had a stronger association with docetaxel CIPN compared to paclitaxel, although interaction was only significant for diabetes and taxane (p = 0.019). Increased BMI was associated with CIPN only among non-diabetic patients (OR:1.34 for overweight and 1.68 for obesity), while diabetes increased CIPN risk across all BMI strata (ORs were 2.65, 2.41, and 2.15 for normal weight, overweight, and obese, respectively) compared to normal-weight non-diabetic patients (p for interaction = 0.039). Conclusions: Female sex, obesity, and diabetes are significantly associated with taxine-induced CIPN. Further research is needed to identify clinical and pharmacologic strategies to prevent and mitigate CIPN in at-risk patient populations.</t>
  </si>
  <si>
    <t>Dorand R. Dixon,Zheng Neil S.,Agarwal Rajiv,Carroll Robert J.,Rubinstein Samuel M.,Winkfield Karen M.,Wei Wei-Qi,Berlin Jordan,Shu Xiao-Ou</t>
  </si>
  <si>
    <t>https://research.ebsco.com/linkprocessor/plink?id=67d41294-5ba9-3637-928b-054fd0fa1a2a</t>
  </si>
  <si>
    <t>Diabetes complications,Obesity complications,Lifestyles,Statistics,Peripheral neuropathy,Terpenes,Academic medical centers,Confidence intervals,Scientific observation,Cancer chemotherapy,Multivariate analysis,Regression analysis,Sex distribution,Symptoms,Docetaxel,Research funding,Electronic health records,Odds ratio,Body mass index,Paclitaxel,Algorithms</t>
  </si>
  <si>
    <t>CT Scan Analysis of Liver Lesion Segmentation with U-Net-ResNeXt Architecture.</t>
  </si>
  <si>
    <t>Image segmentation in the medical field has resulted in detection of various tumors like brain, intestine, skin and liver etc. Segmentation can be performed manually, but the process may be time consuming and the outcomes might be faulty. Hence, automatic liver tumor segmentation helps to detect heterogeneous tumor and non heterogeneous tumor sizes of the liver. The liver tumor is a grievous disease and needs superior treatment in the initial stages to rescue human life. So, in this study an automated Liver Tumor Segmentation architecture with U-net ResNeXt-50 is proposed which uses LiTS17 dataset that contains 130 abdominal CT images. The proposed architecture follows preprocessing steps including augmentation, windowing, conversion format, and normalization. Followed by the U-Net-ResNeXt-50 architecture to segment out the liver and the tumor. At high level U-Net has the encoder-decoder architecture, where the encoder uses the pre-trained network (ResNeXt-50) and decoder segments out the tumor part of the liver. The proposed model achieved performance accuracy of 99.86 and 90.29 F1-score respectively.</t>
  </si>
  <si>
    <t>Shivaji Rao Sonwane Suchitra,Rao K. Gangadhara</t>
  </si>
  <si>
    <t>https://research.ebsco.com/linkprocessor/plink?id=d02fab62-4eb8-3646-bd71-306e860fee65</t>
  </si>
  <si>
    <t>Computed tomography,Image segmentation,Liver tumors,Data analysis,Deep learning,Irradiation Apparatus Manufacturing</t>
  </si>
  <si>
    <t>Journal of Neonatal Surgery</t>
  </si>
  <si>
    <t>CUA 2025 abstracts.</t>
  </si>
  <si>
    <t>https://research.ebsco.com/linkprocessor/plink?id=19e3add0-7a4d-31dc-a92f-e8db1d173fe0</t>
  </si>
  <si>
    <t>Urologists,Information resources,Urinary organ diseases,Conferences &amp; conventions,Genitourinary organs,Canada,Convention and Trade Show Organizers</t>
  </si>
  <si>
    <t>Canadian Urological Association Journal</t>
  </si>
  <si>
    <t>Current AI technologies in cancer diagnostics and treatment.</t>
  </si>
  <si>
    <t>Declarations. Ethics approval and consent to participate: Not applicable. Competing interests: The authors declare no competing interests.</t>
  </si>
  <si>
    <t>Tiwari Ashutosh,Mishra Soumya,Kuo Tsung-Rong</t>
  </si>
  <si>
    <t>https://research.ebsco.com/linkprocessor/plink?id=81dae6c5-5d66-3025-be22-e1033f661de5</t>
  </si>
  <si>
    <t>Neoplasms diagnosis,Neoplasms therapy,Artificial Intelligence,Humans,Precision Medicine methods,Biomarkers, Tumor,Genomics</t>
  </si>
  <si>
    <t>Current state of funded National Institutes of Health grants focused on individuals living with advanced and metastatic cancers: a portfolio analysis.</t>
  </si>
  <si>
    <t>The National Cancer Institute has supported cancer survivorship science for many years, yet few funded studies have examined the needs of individuals living with cancer that is advanced or has metastasized. This report analyzes currently active National Institutes of Health (NIH) grants focused on survivorship for patients living with advanced or metastatic cancers to identify emerging research topics in this population and gaps in current science.</t>
  </si>
  <si>
    <t>Mollica Michelle A,Tesauro Gina,Tonorezos Emily S,Jacobsen Paul B,Smith Ashley Wilder,Gallicchio Lisa</t>
  </si>
  <si>
    <t>https://research.ebsco.com/linkprocessor/plink?id=3f58d05e-bc52-37a7-a759-d058a7d9ab6b</t>
  </si>
  <si>
    <t>United States,Biomedical Research,Neoplasms therapy,Financing, Organized,Humans,National Institutes of Health (U.S.),Survivorship,United States</t>
  </si>
  <si>
    <t>Journal of cancer survivorship : research and practice</t>
  </si>
  <si>
    <t>Customizable Natural Language Processing Biomarker Extraction Tool</t>
  </si>
  <si>
    <t>PURPOSE Natural language processing (NLP) in pathology reports to extract biomarker information is an ongoing area of research. MetaMap is a natural language processing tool developed and funded by the National Library of Medicine to map biomedical text to the Unified Medical Language System Metathesaurus by applying specific tags to clinically relevant terms. Although results are useful without additional postprocessing, these tags lack important contextual information. METHODS Our novel method takes terminology-driven semantic tags and incorporates those into a semantic frame that is task-specific to add necessary context to MetaMap. We use important contextual information to capture biomarker results to support Community Health System’s use of Precision Medicine treatments for patients with cancer. For each biomarker, the name, type, numeric quantifiers, non-numeric qualifiers, and the time frame are extracted. These fields then associate biomarkers with their context in the pathology report such as test type, probe intensity, copy-number changes, and even failed results. A selection of 6,713 relevant reports contained the following standard-of-care biomarkers formetastatic breast cancer: breast cancer gene 1 and 2, estrogen receptor, progesterone receptor, human epidermal growth factor receptor 2, and programmed death-ligand 1. RESULTS The method was tested on pathology reports from the internal pathology laboratory at Henry Ford Health System. A certified tumor registrar reviewed 400 tests, which showed &gt; 95% accuracy for all extracted biomarker types. CONCLUSION Using this new method, it is possible to extract high-quality, contextual biomarker information, and this represents a significant advance in biomarker extraction. © 2021 by American Society of Clinical Oncology.</t>
  </si>
  <si>
    <t>Holmes,B.,Chitale,D.,Loving,J.,Tran,M.,Subramanian,V.,Berry,A.,Rioth,M.,Warrier,R.,Brown,T.</t>
  </si>
  <si>
    <t>https://www.scopus.com/inward/record.uri?eid=2-s2.0-85114660563&amp;doi=10.1200%2FCCI.21.00017&amp;partnerID=40&amp;md5=a652a2b7aff955f889c3f05cbe618ba8</t>
  </si>
  <si>
    <t>DAta Linkage to Enhance Cancer Care (DaLECC): Protocol of a Large Australian Data Linkage Study</t>
  </si>
  <si>
    <t>Cancer is a leading cause of global morbidity and mortality, accounting for 250 Disability-Adjusted Life Years and 10 million deaths in 2019. Minimising unwarranted variation and ensuring appropriate cost-effective treatment across primary and tertiary care to improve health outcomes is a key health priority. There are few studies that have used linked data to explore healthcare utilisation prior to diagnosis in addition to post-diagnosis patterns of care. This protocol outlines the aims of the DaLECC project and key methodological features of the linked dataset. The primary aim of this project is to explore predictors of variations in pre- and post-cancer diagnosis care, and to explore the economic and health impact of any variation. The cohort of patients includes all South Australian residents diagnosed with cancer between 2011 and 2020, who were recorded on the South Australian Cancer Registry. These cancer registry records are being linked with state and national healthcare databases to capture health service utilisation and costs for a minimum of one-year prior to diagnosis and to a maximum of 10 years post-diagnosis. Healthcare utilisation includes state databases for inpatient separations and emergency department presentations and national databases for Medicare services and pharmaceuticals. Our results will identify barriers to timely receipt of care, estimate the impact of variations in the use of health care, and provide evidence to support interventions to improve health outcomes to inform national and local decisions to enhance the access and uptake of health care services. © 2023 by the authors.</t>
  </si>
  <si>
    <t>Edney,L.C.,Roseleur,J.,Bright,T.,Watson,D.I.,Arnolda,G.,Braithwaite,J.,Delaney,G.P.,Liauw,W.,Mitchell,R.,Karnon,J.</t>
  </si>
  <si>
    <t>https://www.scopus.com/inward/record.uri?eid=2-s2.0-85163120184&amp;doi=10.3390%2Fijerph20115987&amp;partnerID=40&amp;md5=337e76a051e76a45d1ec8c190a072d25</t>
  </si>
  <si>
    <t>cancer,comorbidities,cost analysis,cost effectiveness,economic burden,economic evaluation,health services research,patient outcomes,primary care,quality of life,survivorship</t>
  </si>
  <si>
    <t>Data mining of digitized health records in a resource-constrained setting reveals that timely immunophenotyping is associated with improved breast cancer outcomes.</t>
  </si>
  <si>
    <t>Organizations that issue guidance on breast cancer recommend the use of immunohistochemistry (IHC) for providing appropriate and precise care. However, little focus has been directed to the identification of maximum allowable turnaround times for IHC, which is necessary given the diversity of hospital settings in the world. Much less effort has been committed to the development of digital tools that allow hospital administrators to monitor service utilization histories of their patients.</t>
  </si>
  <si>
    <t>López-Pineda Arturo,Rodríguez-Moran Mario F,Álvarez-Aguilar Cleto,Fuentes Valle Sarah M,Acosta-Rosales Román,Bhatt Ami S,Sheth Shruti N,Bustamante Carlos D</t>
  </si>
  <si>
    <t>https://research.ebsco.com/linkprocessor/plink?id=6f02771c-1e5c-398b-93b9-df8b60be316e</t>
  </si>
  <si>
    <t>Antineoplastic Agents therapeutic use,Breast Neoplasms drug therapy,Breast Neoplasms immunology,Data Mining,Immunophenotyping methods,Adult,Aged,Breast Neoplasms pathology,Electronic Health Records,Female,Humans,Mexico,Middle Aged,Precision Medicine,Retrospective Studies,Treatment Outcome</t>
  </si>
  <si>
    <t>BMC cancer</t>
  </si>
  <si>
    <t>Data Resource Profile: Harmonized Electronic Health Records from the National Biobank Consortium of Taiwan (NBCT).</t>
  </si>
  <si>
    <t>Yang Yi-Hsin,Lee Yung-Hsin,Lee Hsiu-An,Chang Li-Hsin,Chen Chun-Ying,Chen Shih-Cheng,Huang Shiu-Feng,Sytwu Huey-Kang</t>
  </si>
  <si>
    <t>https://research.ebsco.com/linkprocessor/plink?id=c5dc57d8-fb51-32ad-a515-89855398887a</t>
  </si>
  <si>
    <t>Electronic data processing,Medical research,Public health surveillance,Medical care,National health insurance,Animal health surveillance,Natural language processing,Data Processing, Hosting, and Related Services,Research and Development in the Physical, Engineering, and Life Sciences (except Biotechnology)</t>
  </si>
  <si>
    <t>International Journal of Epidemiology</t>
  </si>
  <si>
    <t>Decreased Risk of Colorectal Cancer after Colonoscopy in Patients 76-85 Years Old in the United States</t>
  </si>
  <si>
    <t>Background/Aims: The benefits of colonoscopy in reducing colorectal cancer (CRC) risk for patients over 75 years are controversial. We aimed to determine whether colonoscopy use is associated with a decreased risk of CRC in patients 76-85 years old in the United States (US). Patients and Methods: All patients in the Medicare 5% random sample of the Surveillance, Epidemiology and End Results-Medicare linked database 76-85 years old at outpatient colonoscopy between January 1, 1998 and December 31, 2002 were identified. Using the Kaplan-Meier method, we estimated the cumulative incidence of CRC in the above-mentioned colonoscopy group and compared with the control group of patients without colonoscopy. All patients were followed until diagnosis of CRC or carcinoma in situ, death or December 31, 2005. The multivariate Cox proportional hazards model was used in statistical analysis. CRC was separated by location into distal vs. proximal CRC in subgroup analysis. Results: Of 5,701 patients in the colonoscopy group, 37 (0.65%) patients were diagnosed with CRC, compared to 379 (1.55%) out of 24,437 patients in the control group (p &lt; 0.001). The cumulative incidences of distal and proximal CRC were lower in the colonoscopy group compared to those in the control group (5-year distal CRC: 0.26 vs. 0.77%; 5-year proximal CRC: 0.43 vs. 0.79%, both p &lt; 0.05). In multivariate Cox regression, colonoscopy was associated with decreased risk of all CRC (hazard ratio ((HR) 0.42, 95% CI 0.28-0.65), distal CRC (HR 0.36, 95% CI 0.18-0.70), and proximal CRC (HR 0.53, 95% CI 0.30-0.92)). Conclusion: Among patients 76-85 years old in the United States, colonoscopy use was associated with decreased risks of both distal and proximal CRC, with a smaller risk reduction in distal colon. Due to inherent limitations associated with our retrospective design, future prospective studies are needed to validate these findings. © 2015 S. Karger AG, Basel.</t>
  </si>
  <si>
    <t>Wang,Y.R.,Cangemi,J.R.,Loftus Jr.,E.V.,Picco,M.F.</t>
  </si>
  <si>
    <t>https://www.scopus.com/inward/record.uri?eid=2-s2.0-84949567721&amp;doi=10.1159%2F000442571&amp;partnerID=40&amp;md5=a8ac50bc191d62332c0c9a2f77a105eb</t>
  </si>
  <si>
    <t>Colonoscopy,Colorectal cancer,Elderly</t>
  </si>
  <si>
    <t>Digestion</t>
  </si>
  <si>
    <t>Deep active learning for classifying cancer pathology reports.</t>
  </si>
  <si>
    <t>Automated text classification has many important applications in the clinical setting; however, obtaining labelled data for training machine learning and deep learning models is often difficult and expensive. Active learning techniques may mitigate this challenge by reducing the amount of labelled data required to effectively train a model. In this study, we analyze the effectiveness of 11 active learning algorithms on classifying subsite and histology from cancer pathology reports using a Convolutional Neural Network as the text classification model.</t>
  </si>
  <si>
    <t>De Angeli Kevin,Gao Shang,Alawad Mohammed,Yoon Hong-Jun,Schaefferkoetter Noah,Wu Xiao-Cheng,Durbin Eric B,Doherty Jennifer,Stroup Antoinette,Coyle Linda,Penberthy Lynne,Tourassi Georgia</t>
  </si>
  <si>
    <t>https://research.ebsco.com/linkprocessor/plink?id=eca326ec-5089-36bc-90bd-deb7a738c741</t>
  </si>
  <si>
    <t>Machine Learning,Neoplasms genetics,Neoplasms pathology,Algorithms,Humans,Neural Networks, Computer</t>
  </si>
  <si>
    <t>Deep Learning for Smart Healthcare—A Survey on Brain Tumor Detection from Medical Imaging.</t>
  </si>
  <si>
    <t>Advances in technology have been able to affect all aspects of human life. For example, the use of technology in medicine has made significant contributions to human society. In this article, we focus on technology assistance for one of the most common and deadly diseases to exist, which is brain tumors. Every year, many people die due to brain tumors; based on "braintumor" website estimation in the U.S., about 700,000 people have primary brain tumors, and about 85,000 people are added to this estimation every year. To solve this problem, artificial intelligence has come to the aid of medicine and humans. Magnetic resonance imaging (MRI) is the most common method to diagnose brain tumors. Additionally, MRI is commonly used in medical imaging and image processing to diagnose dissimilarity in different parts of the body. In this study, we conducted a comprehensive review on the existing efforts for applying different types of deep learning methods on the MRI data and determined the existing challenges in the domain followed by potential future directions. One of the branches of deep learning that has been very successful in processing medical images is CNN. Therefore, in this survey, various architectures of CNN were reviewed with a focus on the processing of medical images, especially brain MRI images.</t>
  </si>
  <si>
    <t>Arabahmadi Mahsa,Farahbakhsh Reza,Rezazadeh Javad</t>
  </si>
  <si>
    <t>https://research.ebsco.com/linkprocessor/plink?id=c157b074-fec7-30f3-aea1-6eeaf29dfc6e</t>
  </si>
  <si>
    <t>Computer-assisted image analysis (Medicine),Deep learning,Brain tumors,Diagnostic imaging,Magnetic resonance imaging,Medical care,Other Electronic and Precision Equipment Repair and Maintenance,Diagnostic Imaging Centers</t>
  </si>
  <si>
    <t>Deep learning for survival prediction in triple-negative breast cancer: development and validation in real-world cohorts.</t>
  </si>
  <si>
    <t>Triple-negative breast cancer (TNBC) is an aggressive and heterogeneous disease, highlighting the need for better patient stratification to guide treatment. We developed a deep learning-based survival model and an individualized prognosis system using data from 37,818 TNBC patients in the SEER database (split into training [65%], validation [17.5%], and test [17.5%] sets). The survival model, built using the pysurvival algorithm, achieved strong performance (C-index: 0.824 in validation set, 0.816 in test set), outperforming traditional methods (CPH: 0.781 and 0.785; RSH: 0.779 and 0.766). External validation on a real-world cohort confirmed its robustness (C-index: 0.758). Our individualized prognosis system also showed higher predictive accuracy than traditional AJCC-TNM staging (AUC 0.821 vs. 0.771). These tools improve TNBC prognosis assessment, enable better patient stratification, and provide clinicians with significant treatment recommendations.</t>
  </si>
  <si>
    <t>Xu Yiyue,Li Butuo,Zou Bing,Fan Bingjie,Wang Shijiang,Yu Jinming,Dong Taotao,Wang Linlin</t>
  </si>
  <si>
    <t>https://research.ebsco.com/linkprocessor/plink?id=c5a46b83-e88d-31c9-83cb-416eed37e309</t>
  </si>
  <si>
    <t>Triple-negative breast cancer,Deep learning,Prognostic models,Survival analysis (Biometry),Predictive validity,Medical records,Cohort analysis,Patient care</t>
  </si>
  <si>
    <t>Deep Learning Models to Screen Electronic Health Records for Breast and Colorectal Cancer Progression: Performance Evaluation Study.</t>
  </si>
  <si>
    <t>Cancer progression is an important outcome in cancer research. However, it is frequently documented only in electronic health records (EHRs) as unstructured text, which requires lengthy and costly chart reviews to extract for retrospective studies.</t>
  </si>
  <si>
    <t>Lambert Pascal,Khan Rayyan,Pitz Marshall,Singh Harminder,Chen Helen,Decker Kathleen</t>
  </si>
  <si>
    <t>https://research.ebsco.com/linkprocessor/plink?id=ccf98224-fd6a-3e98-b98c-5f0c2a02cdc6</t>
  </si>
  <si>
    <t>JMIR AI</t>
  </si>
  <si>
    <t>Deep learning-based detection of patients with bone metastasis from Japanese radiology reports.</t>
  </si>
  <si>
    <t>Deep learning (DL) is a state-of-the-art technique for developing artificial intelligence in various domains and it improves the performance of natural language processing (NLP). Therefore, we aimed to develop a DL-based NLP model that classifies the status of bone metastasis (BM) in radiology reports to detect patients with BM.</t>
  </si>
  <si>
    <t>Doi Kentaro,Takegawa Hideki,Yui Midori,Anetai Yusuke,Koike Yuhei,Nakamura Satoaki,Tanigawa Noboru,Koziumi Masahiko,Nishio Teiji</t>
  </si>
  <si>
    <t>https://research.ebsco.com/linkprocessor/plink?id=faee5436-4cf9-31d4-9015-58d4925fe0ff</t>
  </si>
  <si>
    <t>Deep Learning,Radiology methods,Bone Neoplasms diagnosis,Bone Neoplasms secondary,Humans,Artificial Intelligence,East Asian People,Natural Language Processing</t>
  </si>
  <si>
    <t>Japanese journal of radiology</t>
  </si>
  <si>
    <t>Dental Research in the Digital Age: The Registry-Based Clinical Trial.</t>
  </si>
  <si>
    <t>With the global increase in the volume of digital health data recorded and accessible through national and institutional databases, such as clinical registries and evidence-based registries, new strategic approaches are now feasible in medical research. These approaches include the registry-based clinical trial (RBCT) design, where large-scale datasets-which grow exponentially over time (referred to as big data)-can be used to identify eligible study participants from a medical registry containing trial-specific inclusion criteria. The RBCT approach may also be used to establish historical control groups for prospective interventional studies that enable rapid recruitment with a lower study budget, while providing high statistical power. Hence, obstacles frequently encountered when conducting randomized controlled trials, such as difficulties in recruiting a sufficient sample size in a reasonable time period, may be overcome for specific research questions. This innovative study design of an RBCT aims to combine the external validity of medical registries with the internal validity of the traditional study designs, and has the potential to influence clinical decision making and healthcare policy. The aim of this perspective article is to describe this new methodological approach and to critically analyze the future possibilities and challenges of RBCTs in dental and implant research.</t>
  </si>
  <si>
    <t>Joda Tim,Settecase Eugenia,Heitz-Mayfield Lisa,Derks Jan,Jung Ronald E,Zitzmann Nicola U</t>
  </si>
  <si>
    <t>https://research.ebsco.com/linkprocessor/plink?id=5feeed53-5899-3723-a825-041bbb76334b</t>
  </si>
  <si>
    <t>Clinical oral implants research</t>
  </si>
  <si>
    <t>Detecting Lung Cancer Trends by Leveraging Real-World and Internet-Based Data: Infodemiology Study.</t>
  </si>
  <si>
    <t>Internet search data on health-related terms can reflect people's concerns about their health status in near real time, and hence serve as a supplementary metric of disease characteristics. However, studies using internet search data to monitor and predict chronic diseases at a geographically finer state-level scale are sparse.</t>
  </si>
  <si>
    <t>Xu Chenjie,Yang Hongxi,Sun Li,Cao Xinxi,Hou Yabing,Cai Qiliang,Jia Peng,Wang Yaogang</t>
  </si>
  <si>
    <t>https://research.ebsco.com/linkprocessor/plink?id=ed21140c-b7d3-3d8c-a4c8-81ce4fd8bae5</t>
  </si>
  <si>
    <t>Internet standards,Lung Neoplasms epidemiology,Cross-Sectional Studies,Humans,Incidence,Prevalence</t>
  </si>
  <si>
    <t>Detecting missing IS-A relations in the NCI Thesaurus using an enhanced hybrid approach.</t>
  </si>
  <si>
    <t>The National Cancer Institute (NCI) Thesaurus provides reference terminology for NCI and other systems. Previously, we proposed a hybrid prototype utilizing lexical features and role definitions of concepts in non-lattice subgraphs to identify missing IS-A relations in the NCI Thesaurus. However, no domain expert evaluation was provided in our previous work. In this paper, we further enhance the hybrid approach by leveraging a novel lexical feature-roots of noun chunks within concept names. Formal evaluation of our enhanced approach is also performed.</t>
  </si>
  <si>
    <t>Zheng Fengbo,Abeysinghe Rashmie,Sioutos Nicholas,Whiteman Lori,Remennik Lyubov,Cui Licong</t>
  </si>
  <si>
    <t>https://research.ebsco.com/linkprocessor/plink?id=fa0dfe99-1b95-343c-bded-8084c7b61168</t>
  </si>
  <si>
    <t>United States,Vocabulary, Controlled,Humans,National Cancer Institute (U.S.),United States</t>
  </si>
  <si>
    <t>Deterministic linkage for improving follow-up time in a Brazilian population-based cancer registry.</t>
  </si>
  <si>
    <t>Population-based cancer registries (PBCR) are the primary source of cancer incidence and survival statistics. The loss to follow-up of these patients is concerning since it reduces the reliability of any statistical analysis. The linkage techniques have been increasingly used to improve data quality in various information systems. The linkage was performed between the databases of the PBCR-Barretos and the mortality database of the state of São Paulo. To evaluate the improvement in the follow-up time of patients, the comparability of the two databases, pre- and post linkage, was made. Three analyses were performed: a comparative analysis of the absolute number of deaths, a comparative analysis of the follow-up time of patients and the survival analysis. After linkage, there was an increase of 813 deaths. The follow-up time of patients was extended and observed in most types of tumours. The comparability of the survival analyses at both time points also showed a decrease in survival probabilities for all tumour types. Deterministic linkage is effective in updating the vital status of registered patients, improving patient follow-up time, and maintaining good quality data from PBCRs, consequently producing more reliable rates, as seen for the survival analyses.</t>
  </si>
  <si>
    <t>Pereira Talita Fernanda,Aranha Valmir José,Waldvogel Bernadette Cunha,da Costa Allini Mafra,Tavares Guerreiro Fregnani José Humberto</t>
  </si>
  <si>
    <t>https://www.ncbi.nlm.nih.gov/pmc/articles/PMC10039007</t>
  </si>
  <si>
    <t>deterministic linkage,cancer registry,follow-up time,data quality,survival analysis,mortality database,Barretos,São Paulo,tumour,vital status</t>
  </si>
  <si>
    <t>Sci Rep</t>
  </si>
  <si>
    <t>MEDLINE</t>
  </si>
  <si>
    <t>Developing a Prognostic Information System for Personalized Care in Real Time.</t>
  </si>
  <si>
    <t>Context: Electronic medical records hold promise to transform clinical practice. However, technological and other barriers may preclude using them to guide care in real time. We used the Virtual Data Warehouse (VDW) to develop a tool that enables physicians to generate real-time, personalized prognostic information about survival after cancer. Case description: Patients with cancer often ask their oncologists, "Have you ever seen a patient like me?" To help oncologists answer this question, we developed a prototype Prognostic Information System (PRISM), a web-based tool that gathers data about the index patient from Kaiser Permanente's clinical information systems, selects a historical cohort of similar patients, and displays the survival curve of the similar patients relative to key points in their treatment course. Findings and major themes: The prototype was developed by a multidisciplinary team with expertise in oncology, research, and technology. We have completed two rounds of user testing and refinement. Successful development rested on: (1) executive support and a clinical champion; (2) collaboration among experts from multiple disciplines; (3) starting with simple cases rather than ambitious ones; (4) extensive research experience with the Virtual Data Warehouse, related databases, and an existing query tool; and (5) following agile software development principles, especially iterative user testing. Conclusion: Clinical data stored in health care systems' electronic medical records can be used to personalize clinical care in real time. Development of prognostic information systems can be accelerated by collaborations among researchers, technology specialists, and clinicians and by use of existing technology like the Virtual Data Warehouse.</t>
  </si>
  <si>
    <t>Lieu Tracy A.,Herrinton Lisa J.,Buzkov Dimitri E.,Liyan Liu,Lyons Deborah,Neugebauer Romain,Needham Tami,Ng Daniel,Prausnitz Stephanie,Stewart Kam,Van Den Eeden Stephen K.,Baer David M.</t>
  </si>
  <si>
    <t>https://research.ebsco.com/linkprocessor/plink?id=ad57694a-536a-3118-913d-df2039bf6fb0</t>
  </si>
  <si>
    <t>Medical care,Electronic health records,Data warehousing,Information storage &amp; retrieval systems,Electronic systems</t>
  </si>
  <si>
    <t>Developing and optimizing a computable phenotype for incident venous thromboembolism in a longitudinal cohort of patients with cancer</t>
  </si>
  <si>
    <t>Background: Research on venous thromboembolism (VTE) that relies only on the International Classification of Diseases (ICD) can misclassify outcomes. Our study aims to discover and validate an improved VTE computable phenotype for people with cancer. Methods: We used a cancer registry electronic health record (EHR)–linked longitudinal database. We derived three algorithms that were ICD/medication based, natural language processing (NLP) based, or all combined. We then randomly sampled 400 patients from patients with VTE codes (n = 1111) and 400 from those without VTE codes (n = 7396). Weighted sensitivity, specificity, positive predictive value (PPV), and negative predictive value (NPV) were calculated on the entire sample using inverse probability weighting, followed by bootstrapped receiver operating curve analysis to calculate the concordance statistic (c statistic). Results: Among 800 patients sampled, 280 had a confirmed acute VTE during the first year after cancer diagnosis. The ICD/medication algorithm had a weighted PPV of 95% and a weighted sensitivity of 81%, with a c statistic of 0.90 (95% confidence interval [CI], 0.89–0.91). Adding Current Procedural Terminology codes for inferior vena cava filter removal or early death did not improve the performance. The NLP algorithm had a weighted PPV of 80% and a weighted sensitivity of 90%, with a c statistic of 0.93 (95% CI, 0.92–0.94). The combined algorithm had a weighted PPV of 98% at the higher cutoff and a weighted sensitivity of 96% at the lower cutoff, with a c statistic of 0.98 (95% CI, 0.97–0.98). Conclusions: Our ICD/medication-based algorithm can accurately identify VTE phenotype among patients with cancer with a high PPV of 95%. The combined algorithm should be considered in EHR databases that have access to such capabilities. © 2022 The Authors. Research and Practice in Thrombosis and Haemostasis published by Wiley Periodicals LLC on behalf of International Society on Thrombosis and Haemostasis (ISTH).</t>
  </si>
  <si>
    <t>Li,A.,da Costa,W.L.,Guffey,D.,Milner,E.M.,Allam,A.K.,Kurian,K.M.,Novoa,F.J.,Poche,M.D.,Bandyo,R.,Granada,C.,Wallace,C.D.,Zakai,N.A.,Amos,C.I.</t>
  </si>
  <si>
    <t>https://www.scopus.com/inward/record.uri?eid=2-s2.0-85131939383&amp;doi=10.1002%2Frth2.12733&amp;partnerID=40&amp;md5=0cc93be777764fa3b84c9aee3e1beb1e</t>
  </si>
  <si>
    <t>administrative claims,health care,natural language processing,neoplasms,venous thromboembolism,venous thrombosis</t>
  </si>
  <si>
    <t>Research and Practice in Thrombosis and Haemostasis</t>
  </si>
  <si>
    <t>Developing and optimizing a computable phenotype for incident venous thromboembolism in a longitudinal cohort of patients with cancer.</t>
  </si>
  <si>
    <t>Research on venous thromboembolism (VTE) that relies only on the International Classification of Diseases (ICD) can misclassify outcomes. Our study aims to discover and validate an improved VTE computable phenotype for people with cancer.</t>
  </si>
  <si>
    <t>Li Ang,da Costa Wilson L Jr,Guffey Danielle,Milner Emily M,Allam Anthony K,Kurian Karen M,Novoa Francisco J,Poche Marguerite D,Bandyo Raka,Granada Carolina,Wallace Courtney D,Zakai Neil A,Amos Christopher I</t>
  </si>
  <si>
    <t>https://research.ebsco.com/linkprocessor/plink?id=b3f07782-700b-351e-b0d0-2a444953b80e</t>
  </si>
  <si>
    <t>Research and practice in thrombosis and haemostasis</t>
  </si>
  <si>
    <t>Developing case-finding algorithms for second events of oropharyngeal cancer using administrative data: A population-based validation study.</t>
  </si>
  <si>
    <t>Second event (recurrence or second primary cancer)-free survival is an important indicator for assessing treatment efficacy. However, second events are not explicitly documented in administrative data such as cancer registries. Thus, validated algorithms using administrative data are needed to identify second events of oropharyngeal cancers.</t>
  </si>
  <si>
    <t>Xu Yuan,Kong Shiying,Cheung Winson Y,Quan May Lynn,Nakoneshny Steven C,Dort Joseph C</t>
  </si>
  <si>
    <t>https://research.ebsco.com/linkprocessor/plink?id=cca7beff-53e8-3687-aa20-224e2fc3d950</t>
  </si>
  <si>
    <t>Alberta,Algorithms,Neoplasm Recurrence, Local epidemiology,Neoplasms, Second Primary epidemiology,Oropharyngeal Neoplasms epidemiology,Alberta epidemiology,Datasets as Topic,Female,Follow-Up Studies,Humans,Male,Middle Aged,Predictive Value of Tests,Retrospective Studies,Sensitivity and Specificity</t>
  </si>
  <si>
    <t>Head &amp; neck</t>
  </si>
  <si>
    <t>Developing prompts from large language model for extracting clinical information from pathology and ultrasound reports in breast cancer.</t>
  </si>
  <si>
    <t>Purpose: We aimed to evaluate the time and cost of developing prompts using large language model (LLM), tailored to extract clinical factors in breast cancer patients and their accuracy. Materials and Methods: We collected data from reports of surgical pathology and ultrasound from breast cancer patients who underwent radiotherapy from 2020 to 2022. We extracted the information using the Generative Pre-trained Transformer (GPT) for Sheets and Docs extension plugin and termed this the "LLM" method. The time and cost of developing the prompts with LLM methods were assessed and compared with those spent on collecting information with "full manual" and "LLM-assisted manual" methods. To assess accuracy, 340 patients were randomly selected, and the extracted information by LLM method were compared with those collected by "full manual" method. Results: Data from 2,931 patients were collected. We developed 12 prompts for Extract function and 12 for Format function to extract and standardize the information. The overall accuracy was 87.7%. For lymphovascular invasion, it was 98.2%. Developing and processing the prompts took 3.5 hours and 15 minutes, respectively. Utilizing the ChatGPT application programming interface cost US $65.8 and when factoring in the estimated wage, the total cost was US $95.4. In an estimated comparison, "LLM-assisted manual" and "LLM" methods were time- and cost-efficient compared to the "full manual" method. Conclusion: Developing and facilitating prompts for LLM to derive clinical factors was efficient to extract crucial information from huge medical records. This study demonstrated the potential of the application of natural language processing using LLM model in breast cancer patients. Prompts from the current study can be re-used for other research to collect clinical information.</t>
  </si>
  <si>
    <t>Hyeon Seok Choi,Jun Yeong Song,Kyung Hwan Shin,Ji Hyun Chang,Bum-Sup Jang</t>
  </si>
  <si>
    <t>https://research.ebsco.com/linkprocessor/plink?id=92cb4b2a-90f1-3eb9-a225-3cdcec512c76</t>
  </si>
  <si>
    <t>Language models,Natural language processing,Breast cancer,Breast ultrasound,Factor structure,ChatGPT</t>
  </si>
  <si>
    <t>Radiation Oncology Journal</t>
  </si>
  <si>
    <t>Developing the required data set for the integration of breast cancer registry systems in Iran</t>
  </si>
  <si>
    <t>Background: Breast cancer is a major public health concern due to its increasing incidence and mortality rates. A large volume of data is generated from different healthcare settings with inconsistent and heterogeneous data frameworks. There is an increasing demand to integrate breast cancer data between various information systems to answer specific research questions and future clinical trials. Thus, this study aimed to develop a minimum data set (MDS) for integrating breast cancer registry systems as a prerequisite for multi-center data exchange and research cooperation. Methods: The proposed MDS was developed using a multi-stage process. First, a systematic search was performed in scientific databases. Available data sets and registries related to breast cancer were also reviewed until data saturation. Then, a two-round Delphi survey was performed to reach an agreement on the primary data items. Finally, an additional Delphi stage was carried out to validate the content of the final MDS by calculating the individual item content validity index (CVI), overall scale CVI (S-CVI), and face validity. Results: After the literature review, the primary data set for breast cancer including 309 data items was identified. After the Delphi phase and calculation of I-CVI, S-CVI, and face validity, the breast cancer MDS was finalized with 14 classes and 205 data items. Conclusions: This agreed-upon MDS enables accurate, consistent, and comparable inter-organizational data collection between breast cancer care centers. This data homogeneity enhances the analytic power and depth of variables, thereby contributing to multicenter, large-scale, and more generalizable epidemiological and predictive studies on breast cancer. © 2022 The Authors</t>
  </si>
  <si>
    <t>Mirbagheri,E.,Shafiee,M.,Shanbehzadeh,M.,Kazemi-Arpanahi,H.</t>
  </si>
  <si>
    <t>https://www.scopus.com/inward/record.uri?eid=2-s2.0-85135576902&amp;doi=10.1016%2Fj.imu.2022.101011&amp;partnerID=40&amp;md5=c433efbc460e883d6dfb08f08bc74dba</t>
  </si>
  <si>
    <t>Breast neoplasms,Common data elements,Information management,Information systems,Registries</t>
  </si>
  <si>
    <t>Informatics in Medicine Unlocked</t>
  </si>
  <si>
    <t>Development and Use of Natural Language Processing for Identification of Distant Cancer Recurrence and Sites of Distant Recurrence Using Unstructured Electronic Health Record Data</t>
  </si>
  <si>
    <t>PURPOSE Large-scale analysis of real-world evidence is often limited to structured data fields that do not contain reliable information on recurrence status and disease sites. In this report, we describe a natural language processing (NLP) framework that uses data from free-text, unstructured reports to classify recurrence status and sites of recurrence for patients with breast and hepatocellular carcinomas (HCC). METHODS Using two cohorts of breast cancer and HCC cases, we validated the ability of a previously developed NLP model to distinguish between no recurrence, local recurrence, and distant recurrence, based on clinician notes, radiology reports, and pathology reports compared with manual curation. A second NLP model was trained and validated to identify sites of recurrence. We compared the ability of each NLP model to identify the presence, timing, and site of recurrence, when compared against manual chart review and International Classification of Diseases coding. RESULTS A total of 1,273 patients were included in the development and validation of the two models. The NLP model for recurrence detects distant recurrence with an area under the curve of 0.98 (95% CI, 0.96 to 0.99) and 0.95 (95% CI, 0.88 to 0.98) in breast and HCC cohorts, respectively. The mean accuracy of the NLP model for detecting any site of distant recurrence was 0.9 for breast cancer and 0.83 for HCC. The NLP model for recurrence identified a larger proportion of patients with distant recurrence in a breast cancer database (11.1%) compared with International Classification of Diseases coding (2.31%). CONCLUSION We developed two NLP models to identify distant cancer recurrence, timing of recurrence, and sites of recurrence based on unstructured electronic health record data. These models can be used to perform large-scale retrospective studies in oncology. (C) 2021 by American Society of Clinical Oncology</t>
  </si>
  <si>
    <t>Karimi YH,Blayney DW,Kurian AW,Shen J,Yamashita R,Rubin D,Banerjee I</t>
  </si>
  <si>
    <t>https://www.webofscience.com/wos/woscc/full-record/WOS:000838577700025</t>
  </si>
  <si>
    <t>Development and validation of an automated basal cell carcinoma histopathology information extraction system using natural language processing</t>
  </si>
  <si>
    <t>Introduction: Routinely collected healthcare data are a powerful research resource, but often lack detailed disease-specific information that is collected in clinical free text such as histopathology reports. We aim to use natural Language Processing (NLP) techniques to extract detailed clinical and pathological information from histopathology reports to enrich routinely collected data. Methods: We used the general architecture for text engineering (GATE) framework to build an NLP information extraction system using rule-based techniques. During validation, we deployed our rule-based NLP pipeline on 200 previously unseen, de-identified and pseudonymised basal cell carcinoma (BCC) histopathological reports from Swansea Bay University Health Board, Wales, UK. The results of our algorithm were compared with gold standard human annotation by two independent and blinded expert clinicians involved in skin cancer care. Results: We identified 11,224 items of information with a mean precision, recall, and F1 score of 86.0% (95% CI: 75.1–96.9), 84.2% (95% CI: 72.8–96.1), and 84.5% (95% CI: 73.0–95.1), respectively. The difference between clinician annotator F1 scores was 7.9% in comparison with 15.5% between the NLP pipeline and the gold standard corpus. Cohen's Kappa score on annotated tokens was 0.85. Conclusion: Using an NLP rule-based approach for named entity recognition in BCC, we have been able to develop and validate a pipeline with a potential application in improving the quality of cancer registry data, supporting service planning, and enhancing the quality of routinely collected data for research. 2022 Ali, Strafford, Dobbs, Fonferko-Shadrach, Lacey, Pickrell, Hutchings and Whitaker.</t>
  </si>
  <si>
    <t>Ali,S.,Strafford,H.,Dobbs,T.D.,Fonferko-Shadrach,B.,Lacey,A.S.,Pickrell,W.O.,Hutchings,H.,Whitaker,I.S.</t>
  </si>
  <si>
    <t>https://www.scopus.com/inward/record.uri?eid=2-s2.0-85142504868&amp;doi=10.3389%2Ffsurg.2022.870494&amp;partnerID=40&amp;md5=f448502f60ad23e14e9316ee2a8320af</t>
  </si>
  <si>
    <t>basal cell carcinoma (BCC),electronic health records (EHRs),information extraction (IE),Natural Language Processing (NLP),non-melanoma skin cancer (NMSC)</t>
  </si>
  <si>
    <t>Frontiers in Surgery</t>
  </si>
  <si>
    <t>Development and validation of case-finding algorithms for recurrence of breast cancer using routinely collected administrative data.</t>
  </si>
  <si>
    <t>Recurrence is not explicitly documented in cancer registry data that are widely used for research. Patterns of events after initial treatment such as oncology visits, re-operation, and receipt of subsequent chemotherapy or radiation may indicate recurrence. This study aimed to develop and validate algorithms for identifying breast cancer recurrence using routinely collected administrative data.</t>
  </si>
  <si>
    <t>Xu Yuan,Kong Shiying,Cheung Winson Y,Bouchard-Fortier Antoine,Dort Joseph C,Quan Hude,Buie Elizabeth M,McKinnon Geoff,Quan May Lynn</t>
  </si>
  <si>
    <t>https://research.ebsco.com/linkprocessor/plink?id=6b923aec-7ab5-3521-8064-b0edb198bdb5</t>
  </si>
  <si>
    <t>Alberta,Algorithms,Breast Neoplasms diagnosis,Breast Neoplasms epidemiology,Medical Informatics Applications,Adult,Alberta epidemiology,Breast Neoplasms therapy,Cohort Studies,Combined Modality Therapy,Databases, Factual,Female,Humans,Middle Aged,Neoplasm Recurrence, Local,Neoplasm Staging,Registries,Reproducibility of Results,Sensitivity and Specificity</t>
  </si>
  <si>
    <t>Development of a Large Colonoscopy-Based Longitudinal Cohort for Integrated Research of Colorectal Cancer: Partners Colonoscopy Cohort</t>
  </si>
  <si>
    <t>Background and Aims: Conventional adenomas (CAs) and serrated polyps (SPs) are precursors to colorectal cancer (CRC). Understanding metachronous cancer risk is poor due to lack of accurate large-volume datasets. We outline the use of natural language processing (NLP) in forming the Partners Colonoscopy Cohort, an integrated longitudinal cohort of patients undergoing colonoscopies. Methods: We identified endoscopy quality data from endoscopy reports for colonoscopies performed from 2007 to 2018 in a large integrated healthcare system, Mass General Brigham). Through modification of an established NLP pipeline, we extracted histopathological data (polyp location, histology and dysplasia) from corresponding pathology reports. Pathology and endoscopy data were merged by polyp location using a four-stage algorithm. NLP and merging procedures were validated by manual review of 500 pathology reports. Results: 305,656 colonoscopies in 213,924 patients were identified. After merging, 76,137 patients had matched polyp data for 334,750 polyps. CAs and SPs were present in 86,707 (28.5%) and 55,373 (18.2%) colonoscopies. Among patients with polyps at index screening colonoscopy, 14,931 (33.4%) had follow-up colonoscopy (median 46.4, interquartile range 33.8–62.4 months); 91 (0.2%) and 1127 (2.5%) patients developed metachronous CRC and high-risk polyps (polyps ≥ 10 mm or CAs having high-grade dysplasia/villous/tublovillous histology or SPs with dysplasia). Genetic data were available for 23,787 (31.7%) patients with polyps from the Partners Biobank. The validation study showed a positive predictive value of 100% for polyp histology and locations. Conclusion: We created the Partners Colonoscopy Cohort providing essential infrastructure for future studies to better understand the natural history of CRC and improve screening and post-polypectomy strategies. © 2021, The Author(s), under exclusive licence to Springer Science+Business Media, LLC part of Springer Nature.</t>
  </si>
  <si>
    <t>Vithayathil,M.,Smith,S.,Goryachev,S.D.,Nayor,J.,Song,M.</t>
  </si>
  <si>
    <t>https://www.scopus.com/inward/record.uri?eid=2-s2.0-85100866770&amp;doi=10.1007%2Fs10620-021-06882-x&amp;partnerID=40&amp;md5=73fa2a599a18f6bc73134bb1a74101e6</t>
  </si>
  <si>
    <t>Advanced adenoma,Molecular epidemiology,Natural language processing,Precision screening,Serrated polyp</t>
  </si>
  <si>
    <t>Digestive Diseases and Sciences</t>
  </si>
  <si>
    <t>Development of a Large Colonoscopy-Based Longitudinal Cohort for Integrated Research of Colorectal Cancer: Partners Colonoscopy Cohort.</t>
  </si>
  <si>
    <t>Conventional adenomas (CAs) and serrated polyps (SPs) are precursors to colorectal cancer (CRC). Understanding metachronous cancer risk is poor due to lack of accurate large-volume datasets. We outline the use of natural language processing (NLP) in forming the Partners Colonoscopy Cohort, an integrated longitudinal cohort of patients undergoing colonoscopies.</t>
  </si>
  <si>
    <t>Vithayathil Mathew,Smith Scott,Goryachev Sergey,Nayor Jennifer,Song Mingyang</t>
  </si>
  <si>
    <t>https://research.ebsco.com/linkprocessor/plink?id=1b086944-b0af-3ee7-907b-108359197140</t>
  </si>
  <si>
    <t>Adenoma,Colonic Polyps,Colonoscopy,Colorectal Neoplasms,Datasets as Topic,Adenomatous Polyps,Adult,Aged,Cohort Studies,Female,Humans,Longitudinal Studies,Male,Middle Aged,Natural Language Processing</t>
  </si>
  <si>
    <t>Digestive diseases and sciences</t>
  </si>
  <si>
    <t>Development of a Novel Tool for the Retrieval and Analysis of Hormone Receptor Expression Characteristics in Metastatic Breast Cancer via Data Mining on Pathology Reports.</t>
  </si>
  <si>
    <t>Information about the expression status of hormone receptors such as estrogen receptor (ER), progesterone receptor (PR), and Her-2 is crucial in the management and prognosis of breast cancer. Therefore, the retrieval and analysis of hormone receptor expression characteristics in metastatic breast cancer may be valuable in breast cancer study. Herein, we report a text mining tool based on word/phrase matching that retrieves hormone receptor expression data of regional or distant metastatic breast cancer from pathology reports. It was tested on pathology reports at the China Medical University Hospital from 2013 to 2018. The tool showed specificities of 91.6% and 63.3% for the detection of regional lymph node metastasis and distant metastasis, respectively. Sensitivity in immunohistochemical study result extraction in these cases was 98.6% for distant metastasis and 78.3% for regional lymph node metastasis. Statistical analysis on these retrieved data showed significant difference s in PR and Her-2 expressions between regional and metastatic breast cancer, which is compatible with previous studies. In conclusion, our study shows that metastatic breast cancer hormone receptor expression characteristics can be retrieved by text mining. The algorithm designed in this study may be useful in future studies about text mining in pathology reports.</t>
  </si>
  <si>
    <t>Chang Kai-Po,Wang John,Chang Chi-Chang,Chu Yen-Wei</t>
  </si>
  <si>
    <t>https://research.ebsco.com/linkprocessor/plink?id=2052ef32-a375-3e81-9f96-732e8403303f</t>
  </si>
  <si>
    <t>Academic medical centers,Algorithms,Breast tumors,Cell receptors,Gene expression,Immunohistochemistry,Information retrieval,Lymph nodes,Metastasis,Data mining,China</t>
  </si>
  <si>
    <t>BioMed Research International</t>
  </si>
  <si>
    <t>Development of a Structured Query Language and Natural Language Processing Algorithm to Identify Lung Nodules in a Cancer Centre</t>
  </si>
  <si>
    <t>Importance: The stratification of indeterminate lung nodules is a growing problem, but the burden of lung nodules on healthcare services is not well-described. Manual service evaluation and research cohort curation can be time-consuming and potentially improved by automation.Objective: To automate lung nodule identification in a tertiary cancer centre.Methods: This retrospective cohort study used Electronic Healthcare Records to identify CT reports generated between 31st October 2011 and 24th July 2020. A structured query language/natural language processing tool was developed to classify reports according to lung nodule status. Performance was externally validated. Sentences were used to train machine-learning classifiers to predict concerning nodule features in 2,000 patients.Results: 14,586 patients with lung nodules were identified. The cancer types most commonly associated with lung nodules were lung (39%), neuro-endocrine (38%), skin (35%), colorectal (33%) and sarcoma (33%). Lung nodule patients had a greater proportion of metastatic diagnoses (45 vs. 23%, p &lt; 0.001), a higher mean post-baseline scan number (6.56 vs. 1.93, p &lt; 0.001), and a shorter mean scan interval (4.1 vs. 5.9 months, p &lt; 0.001) than those without nodules. Inter-observer agreement for sentence classification was 0.94 internally and 0.98 externally. Sensitivity and specificity for nodule identification were 93 and 99% internally, and 100 and 100% at external validation, respectively. A linear-support vector machine model predicted concerning sentence features with 94% accuracy.Conclusion: We have developed and validated an accurate tool for automated lung nodule identification that is valuable for service evaluation and research data acquisition.</t>
  </si>
  <si>
    <t>Hunter B,Reis S,Campbell D,Matharu S,Ratnakumar P,Mercuri L,Hindocha S,Kalsi H,Mayer E,Glampson B,Robinson EJ,Al-Lazikani B,Scerri L,Bloch S,Lee RC</t>
  </si>
  <si>
    <t>https://www.webofscience.com/wos/woscc/full-record/WOS:000726601300001</t>
  </si>
  <si>
    <t>lung nodule; informatics; structured query language (SQL); natural language processing (NLP); machine learning</t>
  </si>
  <si>
    <t>FRONTIERS IN MEDICINE</t>
  </si>
  <si>
    <t>Development of a Synthetic Oncology Pathology Dataset for Large Language Model Evaluation in Medical Text Classification.</t>
  </si>
  <si>
    <t>Large Language Models (LLMs) offer promising applications in oncology pathology report classification, improving efficiency, accuracy, and automation. However, the use of real patient data is restricted due to legal and ethical concerns, necessitating privacy-compliant alternatives.</t>
  </si>
  <si>
    <t>Hackl Werner O,Neururer Sabrina B,Richter Stefan,Taha Hasan,Muehlboeck Helmut,Hickmann Christoph,Gscheidlinger Patricia,Danler Martin,Schweitzer Marco,Ueberegger Marko,Pfeifer Bernhard</t>
  </si>
  <si>
    <t>https://research.ebsco.com/linkprocessor/plink?id=da7c0c81-eb7d-30b7-a227-c03f110958ad</t>
  </si>
  <si>
    <t>Natural Language Processing,Neoplasms pathology,Neoplasms classification,Medical Oncology,Electronic Health Records classification,Humans,Male,Large Language Models</t>
  </si>
  <si>
    <t>Development of electronic medical records for clinical and research purposes: The breast cancer module using an implementation framework in a middle income country- Malaysia</t>
  </si>
  <si>
    <t>Background: Advances in medical domain has led to an increase of clinical data production which offers enhancement opportunities for clinical research sector. In this paper, we propose to expand the scope of Electronic Medical Records in the University Malaya Medical Center (UMMC) using different techniques in establishing interoperability functions between multiple clinical departments involving diagnosis, screening and treatment of breast cancer and building automatic systems for clinical audits as well as for potential data mining to enhance clinical breast cancer research in the future. Results: Quality Implementation Framework (QIF) was adopted to develop the breast cancer module as part of the in-house EMR system used at UMMC, called i-Pesakit©. The completion of the i-Pesakit© Breast Cancer Module requires management of clinical data electronically, integration of clinical data from multiple internal clinical departments towards setting up of a research focused patient data governance model. The 14 QIF steps were performed in four main phases involved in this study which are (i) initial considerations regarding host setting, (ii) creating structure for implementation, (iii) ongoing structure once implementation begins, and (iv) improving future applications. The architectural framework of the module incorporates both clinical and research needs that comply to the Personal Data Protection Act. Conclusion: The completion of the UMMC i-Pesakit© Breast Cancer Module required populating EMR including management of clinical data access, establishing information technology and research focused governance model and integrating clinical data from multiple internal clinical departments. This multidisciplinary collaboration has enhanced the quality of data capture in clinical service, benefited hospital data monitoring, quality assurance, audit reporting and research data management, as well as a framework for implementing a responsive EMR for a clinical and research organization in a typical middle-income country setting. Future applications include establishing integration with external organization such as the National Registration Department for mortality data, reporting of institutional data for national cancer registry as well as data mining for clinical research. We believe that integration of multiple clinical visit data sources provides a more comprehensive, accurate and real-time update of clinical data to be used for epidemiological studies and audits. © 2018 The Author(s).</t>
  </si>
  <si>
    <t>Nor,N.A.,Mohd Taib,N.A.,Saad,M.,Zaini,H.S.,Ahmad,Z.,Ahmad,Y.,Dhillon,S.K.</t>
  </si>
  <si>
    <t>https://www.scopus.com/inward/record.uri?eid=2-s2.0-85061104709&amp;doi=10.1186%2Fs12859-018-2406-9&amp;partnerID=40&amp;md5=7d1380d2ff19d30e9652d47aab2abe46</t>
  </si>
  <si>
    <t>Breast Cancer,Database mirroring,Electronic medical record,Medical system,Quality implementation framework</t>
  </si>
  <si>
    <t>BMC Bioinformatics</t>
  </si>
  <si>
    <t>Development of South Australian-Victorian Prostate Cancer Health Outcomes Research Dataset</t>
  </si>
  <si>
    <t>Background: Prostate cancer is the most commonly diagnosed and prevalent malignancy reported to Australian cancer registries, with numerous studies from single institutions summarizing patient outcomes at individual hospitals or States. In order to provide an overview of patterns of care of men with prostate cancer across multiple institutions in Australia, a specialized dataset was developed. This dataset, containing amalgamated data from South Australian and Victorian prostate cancer registries, is called the South Australian-Victorian Prostate Cancer Health Outcomes Research Dataset (SA-VIC PCHORD). Results: A total of 13,598 de-identified records of men with prostate cancer diagnosed and consented between 2008 and 2013 in South Australia and Victoria were merged into the SA-VIC PCHORD. SA-VIC PCHORD contains detailed information about socio-demographic, diagnostic and treatment characteristics of patients with prostate cancer in South Australia and Victoria. Data from individual registries are available to researchers and can be accessed under individual data access policies in each State. Conclusions: The SA-VIC PCHORD will be used for numerous studies summarizing trends in diagnostic characteristics, survival and patterns of care in men with prostate cancer in Victoria and South Australia. It is expected that in the future the SA-VIC PCHORD will become a principal component of the recently developed bi-national Australian and New Zealand Prostate Cancer Outcomes Registry to collect and report patterns of care and standardised patient reported outcome measures of men nation-wide in Australia and New Zealand. © 2016 Ruseckaite et al.</t>
  </si>
  <si>
    <t>Ruseckaite,R.,Beckmann,K.,O’Callaghan,M.,Roder,D.M.,Moretti,K.,Zalcberg,J.,Millar,J.,Evans,S.</t>
  </si>
  <si>
    <t>https://www.scopus.com/inward/record.uri?eid=2-s2.0-84960301824&amp;doi=10.1186%2Fs13104-016-1855-3&amp;partnerID=40&amp;md5=50682c058fb34172430a82b6a7268248</t>
  </si>
  <si>
    <t>Clinical registry,Patterns of care,Prostate cancer,South Australian-Victorian Prostate Cancer Health Outcomes Research Data</t>
  </si>
  <si>
    <t>BMC Research Notes</t>
  </si>
  <si>
    <t>Discerning the survival advantage among patients with prostate cancer who undergo radical prostatectomy or radiotherapy: The limitations of cancer registry data</t>
  </si>
  <si>
    <t>BACKGROUND: The objective of this study was to compare the overall survival of patients who undergo radical prostatectomy or radiotherapy versus noncancer controls to discern whether there is a survival advantage according to prostate cancer treatment and the impact of selection bias on these results. METHODS: A matched cohort study was performed using the Surveillance, Epidemiology, and End Results (SEER)-Medicare–linked database. In total, 34,473 patients ages 66 to 75 years were identified who were without significant comorbidity, were diagnosed with localized prostate cancer, and received treatment treated with surgery or radiotherapy between 2004 and 2011. These patients were matched to a noncancer control cohort. The rates of all-cause mortality that occurred within the study period were compared. Cox proportional hazards regression analysis was used to identify determinants associated with overall survival. RESULTS: Of 34,473 patients who were included in the analysis, 21,740 (63%) received radiation therapy, and 12,733 (37%) underwent surgery. There was improved survival in patients who underwent surgery (hazard ratio, 0.35; 95% confidence interval, 0.32-0.38) and in those who received radiotherapy (hazard ratio, 0.72; 95% confidence interval, 0.68-0.75) compared with noncancer controls. Overall survival improved significantly in both treatment groups, with the greatest benefit observed among patients who underwent surgery (log rank P &lt;.001). CONCLUSIONS: Population-based data indicated that patients with prostate cancer who received treatment with either surgery or radiotherapy had improved overall survival compared with a cohort of matched noncancer controls. Surgery produce longer survival compared with radiation therapy. These results suggest an inherent selection-bias because of unmeasured confounding variables. Cancer 2017;123:1617–1624. © 2017 American Cancer Society. © 2017 American Cancer Society</t>
  </si>
  <si>
    <t>Williams,S.B.,Huo,J.,Chamie,K.,Smaldone,M.C.,Kosarek,C.D.,Fang,J.E.,Ynalvez,L.A.,Kim,S.P.,Hoffman,K.E.,Giordano,S.H.,Chapin,B.F.</t>
  </si>
  <si>
    <t>https://www.scopus.com/inward/record.uri?eid=2-s2.0-85010197160&amp;doi=10.1002%2Fcncr.30506&amp;partnerID=40&amp;md5=d4c68d14724828503a73985198d97d67</t>
  </si>
  <si>
    <t>outcomes,prostate cancer,prostatectomy,survival,treatments,utilization</t>
  </si>
  <si>
    <t>Disparities in Breast Cancer Diagnostics: How Radiologists Can Level the Inequalities.</t>
  </si>
  <si>
    <t>Simple Summary: This paper delves into the persistent issue of unequal access to medical imaging, with a particular focus on breast cancer screening and its impact on marginalized communities and racial/ethnic minorities. Central to our discussion is the role of scientific mobility among radiologists in fostering healthcare policy changes that promote diversity and cultural competence. We propose various strategies to bridge this gap, including cultural education, sensitivity training, and diversifying the radiology workforce. These measures aim to improve communication with diverse patient groups and reduce healthcare disparities. Additionally, we explore the challenges and advantages of teleradiology as a means to extend medical imaging services to underserved areas. In the context of artificial intelligence, we emphasize the critical need to validate algorithms across diverse populations to ensure unbiased and equitable healthcare outcomes. Overall, this paper underscores the importance of international collaboration in addressing global access barriers, presenting it as a key to mitigating disparities in medical imaging access and contributing to the pursuit of equitable healthcare. Access to medical imaging is pivotal in healthcare, playing a crucial role in the prevention, diagnosis, and management of diseases. However, disparities persist in this scenario, disproportionately affecting marginalized communities, racial and ethnic minorities, and individuals facing linguistic or cultural barriers. This paper critically assesses methods to mitigate these disparities, with a focus on breast cancer screening. We underscore scientific mobility as a vital tool for radiologists to advocate for healthcare policy changes: it not only enhances diversity and cultural competence within the radiology community but also fosters international cooperation and knowledge exchange among healthcare institutions. Efforts to ensure cultural competency among radiologists are discussed, including ongoing cultural education, sensitivity training, and workforce diversification. These initiatives are key to improving patient communication and reducing healthcare disparities. This paper also highlights the crucial role of policy changes and legislation in promoting equal access to essential screening services like mammography. We explore the challenges and potential of teleradiology in improving access to medical imaging in remote and underserved areas. In the era of artificial intelligence, this paper emphasizes the necessity of validating its models across a spectrum of populations to prevent bias and achieve equitable healthcare outcomes. Finally, the importance of international collaboration is illustrated, showcasing its role in sharing insights and strategies to overcome global access barriers in medical imaging. Overall, this paper offers a comprehensive overview of the challenges related to disparities in medical imaging access and proposes actionable strategies to address these challenges, aiming for equitable healthcare delivery.</t>
  </si>
  <si>
    <t>Pesapane Filippo,Tantrige Priyan,Rotili Anna,Nicosia Luca,Penco Silvia,Bozzini Anna Carla,Raimondi Sara,Corso Giovanni,Grasso Roberto,Pravettoni Gabriella,Gandini Sara,Cassano Enrico</t>
  </si>
  <si>
    <t>https://research.ebsco.com/linkprocessor/plink?id=a17ce14a-c551-3703-8ba7-9733e613e8b7</t>
  </si>
  <si>
    <t>Breast tumor diagnosis,Occupational roles,Health policy,Diversity &amp; inclusion policies,Equality,Health services accessibility,Minorities,Gender affirming care,Teleradiology,Artificial intelligence,Radiation,Diagnostic imaging,Labor supply,Cultural competence,Health,Communication,Health equity,Physicians,Algorithms,Other Electronic and Precision Equipment Repair and Maintenance,Diagnostic Imaging Centers,Temporary Help Services,Administration of Public Health Programs,Offices of physicians,Offices of Physicians (except Mental Health Specialists)</t>
  </si>
  <si>
    <t>Double positivity for HPV DNA/p16 in tonsillar and base of tongue cancer improves prognostication: Insights from a large population-based study</t>
  </si>
  <si>
    <t>The aim was to explore the overall survival (OS) for palatine tonsillar squamous cell carcinoma (TSCC), subdivided, according to certainty of tonsillar tumour origin, into specified tonsillar squamous cell carcinomas (STSCCs) and nonspecified tonsillar squamous cell carcinomas (NSTSCCs), and base of tongue squamous cell carcinoma (BSCC) when stratifying for HPV DNA status, p16 expression and combined HPV/p16 status. We included all patients (n = 797) diagnosed with TSCCs and BSCCs in Eastern Denmark as registered in the Danish Head and Neck Cancer Group (DAHANCA) database and the Danish Pathology Databank, 2000–2010. Patients were treated according to national guidelines (radiotherapy +/− concomitant cisplatin). All specimens were analysed using HPV DNA PCR and p16 immunohistochemistry. Clinical information was retrieved from the DAHANCA database and the Danish National Patient Registry. Information on vital status was obtained from the Danish Civil Registration System. We observed improved OS for HPV+/p16+ BSCCs compared to HPV−/p16− (hazard ratio for death [HR], 0.15; 95% CI, 0.09–0.24). Among STSCCs, HPV+/p16+ showed the lowest HR (0.19, 95% CI, 0.13–0.29); whereas, HPV−/p16+ showed an intermediate HR (0.39; 95% CI, 0.22–0.70). For NSTSCCs, HPV+/p16+ and HPV−/p16+ showed similar OS (HRs, 0.39; 95% CI, 0.26–0.59; and 0.48; 95% CI, 0.24–0.95, respectively). Combined HPV+/p16+ was a significantly better prognostic marker in BSCCs and STSCCs than HPV DNA and p16, alone (all p-values &lt; 0.05). Whereas, combined testing in NSTSCC was not better than p16 (p = 0.53), alone. In conclusion, double positivity for HPV/p16 in conjunction with the certainty of tumour site improved prognosis. © 2016 UICC</t>
  </si>
  <si>
    <t>Garnæs,E.,Frederiksen,K.,Kiss,K.,Andersen,L.,Therkildsen,M.H.,Franzmann,M.B.,Specht,L.,Andersen,E.,Norrild,B.,Kjaer,S.K.,von Buchwald,C.</t>
  </si>
  <si>
    <t>https://www.scopus.com/inward/record.uri?eid=2-s2.0-84988024346&amp;doi=10.1002%2Fijc.30389&amp;partnerID=40&amp;md5=9a8451eb7fe6258685be37c3d9149cb5</t>
  </si>
  <si>
    <t>base of the tongue cancer,HPV,p16,survival,tonsillar cancer</t>
  </si>
  <si>
    <t>EANM'23 Abstract Book Congress Sep 9-13, 2023.</t>
  </si>
  <si>
    <t>https://research.ebsco.com/linkprocessor/plink?id=0746d764-92b6-3837-8849-f709e7c3585b</t>
  </si>
  <si>
    <t>European journal of nuclear medicine and molecular imaging</t>
  </si>
  <si>
    <t>Early detection of colorectal cancer by leveraging Dutch primary care consultation notes with free text embeddings.</t>
  </si>
  <si>
    <t>We aimed to assess the added predictive performance that free-text Dutch consultation notes provide in detecting colorectal cancer in primary care, in comparison to currently used models. We developed, evaluated and compared three prediction models for colorectal cancer (CRC) in a large primary care database with 60,641 patients. The prediction model with both known predictive features and free-text data (with TabTxt AUROC: 0.823) performs statistically significantly better (p &lt; 0.05) than the other two models with only tabular (as used nowadays) and text data, respectively (AUROC Tab: 0.767; Txt: 0.797). The specificity of the two models that use demographics and known CRC features (with specificity Tab: 0.321; TabTxt: 0.335) are higher than that of the model with only free-text (specificity Txt: 0.234). The Txt and, to a lesser degree, TabTxt model are well calibrated, while the Tab model shows slight underprediction at both tails. As expected with an outcome prevalence below 0.01, all models show much uncalibrated predictions in the extreme upper tail (top 1%). Free-text consultation notes show promising results to improve the predictive performance over established prediction models that only use structured features. Clinical future implications for our CRC use case include that such improvement may help lowering the number of referrals for suspected CRC to medical specialists.</t>
  </si>
  <si>
    <t>Luik Torec T.,Abu-Hanna Ameen,van Weert Henk C. P. M.,Schut Martijn C.</t>
  </si>
  <si>
    <t>https://research.ebsco.com/linkprocessor/plink?id=7dd543f4-48de-3b1a-98d0-8944777912e4</t>
  </si>
  <si>
    <t>Early detection of cancer,Primary care,Medical specialties &amp; specialists,Colorectal cancer,Prediction models,Medical record databases</t>
  </si>
  <si>
    <t>Effectiveness of Artificial Intelligence for Personalized Medicine in Neoplasms: A Systematic Review.</t>
  </si>
  <si>
    <t>The authors declare that there is no conflict of interest regarding the publication of this article.</t>
  </si>
  <si>
    <t>Rezayi Sorayya,R Niakan Kalhori Sharareh,Saeedi Soheila</t>
  </si>
  <si>
    <t>https://research.ebsco.com/linkprocessor/plink?id=64376f9b-e274-34fb-83c5-6da4b54bbbf8</t>
  </si>
  <si>
    <t>Artificial Intelligence,Neoplasms diagnosis,Neoplasms genetics,Neoplasms therapy,Bibliometrics,Delivery of Health Care,Humans,Precision Medicine</t>
  </si>
  <si>
    <t>BioMed research international</t>
  </si>
  <si>
    <t>Empirical comparison of routinely collected electronic health record data for head and neck cancer-specific survival in machine-learnt prognostic models.</t>
  </si>
  <si>
    <t>Knowledge of the prognostic factors and performance of machine learning predictive models for 2-year cancer-specific survival (CSS) is limited in the head and neck cancer (HNC) population.</t>
  </si>
  <si>
    <t>Kotevski Damian P,Smee Robert I,Vajdic Claire M,Field Matthew</t>
  </si>
  <si>
    <t>https://research.ebsco.com/linkprocessor/plink?id=aecc49d0-87b6-39d7-a31e-46574cc2e713</t>
  </si>
  <si>
    <t>Head and Neck Neoplasms therapy,Carcinoma, Squamous Cell therapy,Adult,Humans,Prognosis,Electronic Health Records</t>
  </si>
  <si>
    <t>Empirical evaluation of language modeling to ascertain cancer outcomes from clinical text reports</t>
  </si>
  <si>
    <t>Background: Longitudinal data on key cancer outcomes for clinical research, such as response to treatment and disease progression, are not captured in standard cancer registry reporting. Manual extraction of such outcomes from unstructured electronic health records is a slow, resource-intensive process. Natural language processing (NLP) methods can accelerate outcome annotation, but they require substantial labeled data. Transfer learning based on language modeling, particularly using the Transformer architecture, has achieved improvements in NLP performance. However, there has been no systematic evaluation of NLP model training strategies on the extraction of cancer outcomes from unstructured text. Results: We evaluated the performance of nine NLP models at the two tasks of identifying cancer response and cancer progression within imaging reports at a single academic center among patients with non-small cell lung cancer. We trained the classification models under different conditions, including training sample size, classification architecture, and language model pre-training. The training involved a labeled dataset of 14,218 imaging reports for 1112 patients with lung cancer. A subset of models was based on a pre-trained language model, DFCI-ImagingBERT, created by further pre-training a BERT-based model using an unlabeled dataset of 662,579 reports from 27,483 patients with cancer from our center. A classifier based on our DFCI-ImagingBERT, trained on more than 200 patients, achieved the best results in most experiments; however, these results were marginally better than simpler “bag of words” or convolutional neural network models. Conclusion: When developing AI models to extract outcomes from imaging reports for clinical cancer research, if computational resources are plentiful but labeled training data are limited, large language models can be used for zero- or few-shot learning to achieve reasonable performance. When computational resources are more limited but labeled training data are readily available, even simple machine learning architectures can achieve good performance for such tasks. © 2023, BioMed Central Ltd., part of Springer Nature.</t>
  </si>
  <si>
    <t>Elmarakeby,H.A.,Trukhanov,P.S.,Arroyo,V.M.,Riaz,I.B.,Schrag,D.,van Allen,E.M.,Kehl,K.L.</t>
  </si>
  <si>
    <t>https://www.scopus.com/inward/record.uri?eid=2-s2.0-85169530220&amp;doi=10.1186%2Fs12859-023-05439-1&amp;partnerID=40&amp;md5=cb123c07989e37000db8eb0db9a2936a</t>
  </si>
  <si>
    <t>Cancer,Clinical outcomes,Information extraction,Natural language processing,Transformer-based language models</t>
  </si>
  <si>
    <t>Empirical evaluation of language modeling to ascertain cancer outcomes from clinical text reports.</t>
  </si>
  <si>
    <t>Longitudinal data on key cancer outcomes for clinical research, such as response to treatment and disease progression, are not captured in standard cancer registry reporting. Manual extraction of such outcomes from unstructured electronic health records is a slow, resource-intensive process. Natural language processing (NLP) methods can accelerate outcome annotation, but they require substantial labeled data. Transfer learning based on language modeling, particularly using the Transformer architecture, has achieved improvements in NLP performance. However, there has been no systematic evaluation of NLP model training strategies on the extraction of cancer outcomes from unstructured text.</t>
  </si>
  <si>
    <t>Elmarakeby Haitham A,Trukhanov Pavel S,Arroyo Vidal M,Riaz Irbaz Bin,Schrag Deborah,Van Allen Eliezer M,Kehl Kenneth L</t>
  </si>
  <si>
    <t>https://research.ebsco.com/linkprocessor/plink?id=563b3bea-665e-3ecf-81d2-a67ffb5d9a8e</t>
  </si>
  <si>
    <t>Carcinoma, Non-Small-Cell Lung diagnostic imaging,Lung Neoplasms diagnostic imaging,Humans,Disease Progression,Electric Power Supplies,Electronic Health Records</t>
  </si>
  <si>
    <t>End-of-life services among patients with cancer: evidence from cancer registry records linked with commercial health insurance claims</t>
  </si>
  <si>
    <t>Purpose Despite guidelines emphasizing symptom management over aggressive treatment, end-of-life care for persons with cancer in the United States is highly variable. In consultation with a regional collaboration of patients, providers, and payers, we investigated indicators of high-quality end-of-life care to describe patterns of care, identify areas for improvement, and inform future interventions to enhance end-of-life care for patients with cancer. Methods We linked insurance claims to clinical information from the western Washington SEER database. We included persons $ 18 years of age who had been diagnosed with an invasive solid tumor between January 1, 2007, and December 31, 2015, and who had a recorded death date, were enrolled in a commercial plan for the last month of life, and made at least one insurance claim in the last 90 days of life. Results In the last month of life, among 6,568 commercially insured patients, 56.3% were hospitalized and 48.6% underwent at least one imaging scan. Among patients younger than 65 years of age, 31.4% were enrolled in hospice; of those younger than 65 years of age who were not enrolled in hospice, 40.5% had received an opioid prescription. Over time, opioid use in the last 30 days of life among young adults not enrolled in hospice dropped from 44.7% in the period 2007 to 2009 to 42.5% in the period 2010 to 2012 and to 36.7% in the period 2013 to 2015. Conclusion Hospitalization and high-cost imaging scans are burdensome to patients and caregivers at the end of life. Our findings suggest that policies that facilitate appropriate imaging, opioid, and hospice use and that encourage supportive care may improve end-of-life care and quality of life. © © 2017 American Society of Clinical Oncology. All rights reserved.</t>
  </si>
  <si>
    <t>McDermott,C.L.,Fedorenko,C.,Kreizenbeck,K.,Sun,Q.,Smith,B.,Curtis,J.R.,Conklin,T.,Ramsey,S.D.</t>
  </si>
  <si>
    <t>https://www.scopus.com/inward/record.uri?eid=2-s2.0-85037119045&amp;doi=10.1200%2FJOP.2017.021683&amp;partnerID=40&amp;md5=a4619919c9cd593ee3aed4d1f31e1c54</t>
  </si>
  <si>
    <t>Endoscopist biopsy rate as a quality indicator for outpatient gastroscopy: a multicenter cohort study with validation</t>
  </si>
  <si>
    <t>Background and Aims: The diagnosis of gastric premalignant conditions (GPCs) relies on endoscopy with mucosal sampling. We hypothesized that the endoscopist biopsy rate (EBR) might constitute a quality indicator for EGD, and we have analyzed its association with GPC detection and the rate of missed gastric cancers (GCs). Methods: We analyzed EGD databases from 2 high-volume outpatient units. EBR values, defined as the proportion of EGDs with ≥1 biopsy to all examinations were calculated for each endoscopist in Unit A (derivation cohort) and divided by the quartile values into 4 groups. Detection of GPC was calculated for each group and compared using multivariate clustered logistic regression models. Unit B database was used for validation. All patients were followed in the Cancer Registry for missed GCs diagnosed between 1 month and 3 years after EGDs with negative results. Results: Sixteen endoscopists in Unit A performed 17,490 EGDs of which 15,340 (87.7%) were analyzed. EBR quartile values were 22.4% to 36.7% (low EBR), 36.8% to 43.7% (moderate), 43.8% to 51.6% (high), and 51.7% and 65.8% (very-high); median value 43.8%. The odds ratios for the moderate, high, and very-high EBR groups of detecting GPC were 1.6 (95% confidence interval [CI], 1.3-1.9), 2.0 (95% CI, 1.7-2.4), and 2.5 (95% CI, 2.1-2.9), respectively, compared with the low EBR group (P &lt; .001). This association was confirmed with the same thresholds in the validation cohort. Endoscopists with higher EBR (≥43.8%) had a lower risk of missed cancer compared with those in the lower EBR group (odds ratio, 0.44; 95% CI, 0.20-1.00; P = .049). Conclusions: The EBR parameter is highly variable among endoscopists and is associated with efficacy in GPC detection and the rate of missed GCs. © 2019 American Society for Gastrointestinal Endoscopy</t>
  </si>
  <si>
    <t>Januszewicz,W.,Wieszczy,P.,Bialek,A.,Karpińska,K.,Szlak,J.,Szymonik,J.,Rupiński,M.,Mróz,A.,Regula,J.,Kaminski,M.F.</t>
  </si>
  <si>
    <t>https://www.scopus.com/inward/record.uri?eid=2-s2.0-85062911316&amp;doi=10.1016%2Fj.gie.2019.01.008&amp;partnerID=40&amp;md5=1853bd8fdc9df5d8c4da760b54464202</t>
  </si>
  <si>
    <t>Gastrointestinal Endoscopy</t>
  </si>
  <si>
    <t>End-to-End Models to Imitate Traditional Chinese Medicine Syndrome Differentiation in Lung Cancer Diagnosis: Model Development and Validation.</t>
  </si>
  <si>
    <t>12,3,3,4,2,1</t>
  </si>
  <si>
    <t>https://research.ebsco.com/linkprocessor/plink?id=a978fa71-5b1c-3873-870c-19dcaf51fcd6</t>
  </si>
  <si>
    <t>Enhancing and Disaggregating Native Hawaiian and Pacific Islander (NHPI) Data Using Natural Language Processing and an Expanded Race/Ethnicity Lexicon.</t>
  </si>
  <si>
    <t>Native Hawaiian and Pacific Islander (NHPI) populations are often aggregated into broad racial categories, obscuring potential disparities. This study leverages an expanded race/ethnicity lexicon and natural language processing (NLP) to identify documentation of NHPI subgroups to address gaps in electronic health records' (EHRs) recorded race. Results demonstrate the potential of NLP to classify NHPI documentation, disaggregate legacy categories, and improve health equity by incorporating more detailed subgroup data into standardized healthcare data sets.</t>
  </si>
  <si>
    <t>Viernes Benjamin,Gan Qiwei,Hanchrow Elizabeth E,Hu Mengke,Coronado Gregorio,DuVall Scott L,Raphael Kalani,Alba Patrick R</t>
  </si>
  <si>
    <t>https://research.ebsco.com/linkprocessor/plink?id=ee200cd1-0fdf-3638-b926-00c0eb8febd2</t>
  </si>
  <si>
    <t>Hawaii,Natural Language Processing,Native Hawaiian or Pacific Islander statistics &amp; numerical data,Native Hawaiian or Pacific Islander classification,Electronic Health Records classification,Electronic Health Records statistics &amp; numerical data,Racial Groups classification,Vocabulary, Controlled,Ethnicity classification,Hawaii,Humans</t>
  </si>
  <si>
    <t>Enhancing Clinical Data Extraction from Pathology Reports: A Comparative Analysis of Large Language Models.</t>
  </si>
  <si>
    <t>This study evaluates the efficacy of a small large language model (sLLM) in extracting critical information from free-text pathology reports across multiple centers, addressing the challenges posed by the narrative and complex nature of these documents. Employing three variants of the Llama 2 model, with 7 billion, 13 billion, and 70 billion parameters, the research assesses model performance in both zero-shot and five-shot settings, offering insights into the impact of example-based learning. A specialized information extraction tool utilizing regular expressions for pattern identification serves as the benchmark for evaluating the models' accuracy. Conducted within a hospital's internal environment, the study emphasizes the clinical applicability of these findings. The results reveal significant variations in model performance, with the 70 billion parameter model achieving remarkable accuracy in the five-shot scenario, demonstrating the potential of sLLMs in enhancing the efficiency and accuracy of data extraction from pathology reports. The study highlights the importance of example-driven learning and the trade-offs between model size, accuracy, hallucination rates, and processing time. These findings contribute to the ongoing efforts to integrate advanced language models into clinical settings, potentially transforming patient care and biomedical research by mitigating the limitations of manual data extraction processes.</t>
  </si>
  <si>
    <t>Park Sunghyeon,Choi Wona,Choi InYoung</t>
  </si>
  <si>
    <t>https://research.ebsco.com/linkprocessor/plink?id=59290f59-e8db-379c-88d2-04151f14865b</t>
  </si>
  <si>
    <t>Natural Language Processing,Humans,Data Mining methods,Electronic Health Records,Information Storage and Retrieval methods,Machine Learning</t>
  </si>
  <si>
    <t>Enhancing Malignancy Detection and Tumor Classification in Pathology Reports: A Comparative Evaluation of Large Language Models.</t>
  </si>
  <si>
    <t>Cancer registries require accurate and efficient documentation of malignancies, yet current manual methods are time-consuming and error-prone.</t>
  </si>
  <si>
    <t>Neururer Sabrina B,Taha Hasan,Muehlboeck Helmut,Hickmann Christoph,Gscheidlinger Patricia,Richter Stefan,Danler Martin,Hackl Werner O,Ueberegger Marko,Schweitzer Marco,Pfeifer Bernhard</t>
  </si>
  <si>
    <t>https://research.ebsco.com/linkprocessor/plink?id=82ba8cbd-f92a-3f71-b374-18dba7d21510</t>
  </si>
  <si>
    <t>Neoplasms classification,Neoplasms pathology,Natural Language Processing,Electronic Health Records classification,Humans,Sensitivity and Specificity,Algorithms,Reproducibility of Results,Large Language Models</t>
  </si>
  <si>
    <t>Enhancing timeliness of drug overdose mortality surveillance: A machine learning approach.</t>
  </si>
  <si>
    <t>Timely data is key to effective public health responses to epidemics. Drug overdose deaths are identified in surveillance systems through ICD-10 codes present on death certificates. ICD-10 coding takes time, but free-text information is available on death certificates prior to ICD-10 coding. The objective of this study was to develop a machine learning method to classify free-text death certificates as drug overdoses to provide faster drug overdose mortality surveillance. Using 2017–2018 Kentucky death certificate data, free-text fields were tokenized and features were created from these tokens using natural language processing (NLP). Word, bigram, and trigram features were created as well as features indicating the part-of-speech of each word. These features were then used to train machine learning classifiers on 2017 data. The resulting models were tested on 2018 Kentucky data and compared to a simple rule-based classification approach. Documented code for this method is available for reuse and extensions: https://github.com/pjward5656/dcnlp. The top scoring machine learning model achieved 0.96 positive predictive value (PPV) and 0.98 sensitivity for an F-score of 0.97 in identification of fatal drug overdoses on test data. This machine learning model achieved significantly higher performance for sensitivity (p&lt;0.001) than the rule-based approach. Additional feature engineering may improve the model's prediction. This model can be deployed on death certificates as soon as the free-text is available, eliminating the time needed to code the death certificates. Machine learning using natural language processing is a relatively new approach in the context of surveillance of health conditions. This method presents an accessible application of machine learning that improves the timeliness of drug overdose mortality surveillance. As such, it can be employed to inform public health responses to the drug overdose epidemic in near-real time as opposed to several weeks following events.</t>
  </si>
  <si>
    <t>Ward Patrick J.,Rock Peter J.,Slavova Svetla,Young April M.,Bunn Terry L.,Kavuluru Ramakanth</t>
  </si>
  <si>
    <t>https://research.ebsco.com/linkprocessor/plink?id=dc14b3fa-7a2b-3bab-bf58-d5b3ef508012</t>
  </si>
  <si>
    <t>Drug overdose,Machine learning,Natural language processing,Death certificates,Mortality,Kentucky</t>
  </si>
  <si>
    <t>Epidemiology and Clinical Features of Invasive Fungal Infection in a US Health Care Network.</t>
  </si>
  <si>
    <t>Background A better understanding of the epidemiology and clinical features of invasive fungal infection (IFI) is integral to improving outcomes. We describe a novel case-finding methodology, reporting incidence, clinical features, and outcomes of IFI in a large US health care network. Methods All available records in the Intermountain Healthcare Enterprise Data Warehouse from 2006 to 2015 were queried for clinical data associated with IFI. The resulting data were overlaid in 124 different combinations to identify high-probability IFI cases. The cohort was manually reviewed, and exclusions were applied. European Organization for Research and Treatment of Cancer/Invasive Fungal Infections Cooperative Group and the National Institute of Allergy and Infectious Diseases Mycoses Study Group Consensus Group definitions were adapted to categorize IFI in a broad patient population. Linear regression was used to model variation in incidence over time. Results A total of 3374 IFI episodes occurred in 3154 patients. The mean incidence was 27.2 cases/100 000 patients per year, and there was a mean annual increase of 0.24 cases/100 000 patients (P =.21). Candidiasis was the most common (55%). Dimorphic fungi, primarily Coccidioides spp. comprised 25.1% of cases, followed by Aspergillus spp. (8.9%). The median age was 55 years, and pediatric cases accounted for 13%; 26.1% of patients were on immunosuppression, 14.9% had autoimmunity or immunodeficiency, 13.3% had active malignancy, and 5.9% were transplant recipients. Lymphopenia preceded IFI in 22.1% of patients. Hospital admission occurred in 76.2%. The median length of stay was 16 days. All-cause mortality was 17.0% at 42 days and 28.8% at 1 year. Forty-two-day mortality was highest in Aspergillus spp. (27.5%), 20.5% for Candida, and lowest for dimorphic fungi (7.5%). Conclusions In this population, IFI was not uncommon, affected a broad spectrum of patients, and was associated with high crude mortality.</t>
  </si>
  <si>
    <t>Webb Brandon J,Ferraro Jeffrey P,Rea Susan,Kaufusi Stephanie,Goodman Bruce E,Spalding James</t>
  </si>
  <si>
    <t>https://research.ebsco.com/linkprocessor/plink?id=be9a3e55-1af5-37ae-8749-7be4260107c6</t>
  </si>
  <si>
    <t>Open Forum Infectious Diseases</t>
  </si>
  <si>
    <t>ePoster.</t>
  </si>
  <si>
    <t>https://research.ebsco.com/linkprocessor/plink?id=e40197d2-a21e-3f66-8132-f6382c9755c4</t>
  </si>
  <si>
    <t>Journal der Deutschen Dermatologischen Gesellschaft</t>
  </si>
  <si>
    <t>ESR paper on structured reporting in radiology—update 2023.</t>
  </si>
  <si>
    <t>Structured reporting in radiology continues to hold substantial potential to improve the quality of service provided to patients and referring physicians. Despite many physicians' preference for structured reports and various efforts by radiological societies and some vendors, structured reporting has still not been widely adopted in clinical routine. While in many countries national radiological societies have launched initiatives to further promote structured reporting, cross-institutional applications of report templates and incentives for usage of structured reporting are lacking. Various legislative measures have been taken in the USA and the European Union to promote interoperable data formats such as Fast Healthcare Interoperability Resources (FHIR) in the context of the EU Health Data Space (EHDS) which will certainly be relevant for the future of structured reporting. Lastly, recent advances in artificial intelligence and large language models may provide innovative and efficient approaches to integrate structured reporting more seamlessly into the radiologists' workflow. The ESR will remain committed to advancing structured reporting as a key component towards more value-based radiology. Practical solutions for structured reporting need to be provided by vendors. Policy makers should incentivize the usage of structured radiological reporting, especially in cross-institutional setting. Critical relevance statement Over the past years, the benefits of structured reporting in radiology have been widely discussed and agreed upon; however, implementation in clinical routine is lacking due—policy makers should incentivize the usage of structured radiological reporting, especially in cross-institutional setting. Key points 1. Various national societies have established initiatives for structured reporting in radiology. 2. Almost no monetary or structural incentives exist that favor structured reporting. 3. A consensus on technical standards for structured reporting is still missing. 4. The application of large language models may help structuring radiological reports. 5. Policy makers should incentivize the usage of structured radiological reporting.</t>
  </si>
  <si>
    <t>European Society of Radiology (ESR),dos Santos Daniel Pinto,Kotter Elmar,Mildenberger Peter,Martí-Bonmatí Luis</t>
  </si>
  <si>
    <t>https://research.ebsco.com/linkprocessor/plink?id=51cd7726-f053-3bb1-83f1-f70c089a88ff</t>
  </si>
  <si>
    <t>Language models,Radiology,Monetary incentives,Artificial intelligence,Quality of service,European Union</t>
  </si>
  <si>
    <t>Insights into Imaging</t>
  </si>
  <si>
    <t>Estimating the incidence of breast cancer recurrence using administrative data.</t>
  </si>
  <si>
    <t>Breast cancer is the most common cancer among women, but most cancer registries do not capture recurrences. We estimated the incidence of local, regional, and distant recurrences using administrative data.</t>
  </si>
  <si>
    <t>Habbous Steven,Barisic Andriana,Homenauth Esha,Kandasamy Sharmilaa,Forster Katharina,Eisen Andrea,Holloway Claire</t>
  </si>
  <si>
    <t>https://research.ebsco.com/linkprocessor/plink?id=5fe3bf80-6fbf-3a7a-a8f7-8faaa96973ac</t>
  </si>
  <si>
    <t>Ontario,Breast Neoplasms pathology,Female,Humans,Incidence,Neoplasm Recurrence, Local diagnosis,Breast pathology,Ontario epidemiology,Neoplasm Staging</t>
  </si>
  <si>
    <t>Breast cancer research and treatment</t>
  </si>
  <si>
    <t>Estimating the rates of dementia using administrative data linked to cohort studies</t>
  </si>
  <si>
    <t>Background: Current estimates of dementia and Alzheimer's disease incidence and prevalence are required to understand the health needs of the elderly. Objective: We used two Australia cohort studies, administrative datasets, and data linkage techniques to estimate dementia rates in Australia. Methods: The study used Australian Longitudinal Study on Women's Health and the Health in Men Cohort Study. Records of dementia were obtained from linked sources and incidence and prevalence estimates were produced. Capture-recapture methods were used to estimate numbers of dementia cases not identified through data linkage. Results: There were 3399 (28.5%) men with dementia identified from any source and 3767 (34.8%) women. Rates of dementia incidence and prevalence were similar between sexes but were raised in men once estimates of unidentified cases were included. Conclusions: Cohort studies and linked administrative data can be used together to produce current estimates of dementia prevalence and incidence comparable to other population estimates. © The Author(s) 2024.</t>
  </si>
  <si>
    <t>Waller,M.,Flicker,L.,FitzGerald,P.,Almeida,O.P.,Anstey,K.J.,Dobson,A.J.</t>
  </si>
  <si>
    <t>https://www.scopus.com/inward/record.uri?eid=2-s2.0-85212713898&amp;doi=10.1177%2F13872877241291139&amp;partnerID=40&amp;md5=fec34670aadff79c48da003ac05bfad2</t>
  </si>
  <si>
    <t>administrative data,Alzheimer's disease,capture-recapture,dementia,incidence,linked data,prevalence</t>
  </si>
  <si>
    <t>Journal of Alzheimer's Disease</t>
  </si>
  <si>
    <t>Estimation of the incidence of urachal cancer: A systematic review and meta-analysis of registry-based studies</t>
  </si>
  <si>
    <t>Background: Urachal cancer (UrC) is a rare disease with limited availability of representative incidence and clinical data. Although, the prevalence is accounting for less than 1% of bladder tumors, the 5-year survival rate is around only 50% for patients with resectable tumors, and even worse for patients with metastatic disease. Due to the lack of comprehensive prospective studies, our current knowledge of UrC is still limited. Objective: The present study aimed to summarize the available registry-based studies with unselected UrC patients to evaluate its incidence and clinicopathological characteristics. Material and methods: We conducted a systematic literature search of registry-based UrC publications on the 15th of May 2023 in 5 databases, which identified 4,748 publications. After duplicate removal and selection by 2 independent investigators, 6 publications proved to be appropriate for the final meta-analysis. Estimated incidence and clinicopathological parameters were extracted. Results: Estimated incidence ranged between 0.022 and 0.060/ 100.000 person-years, with the highest occurrence in Japan and the lowest in Canada, while the random effect model calculated an overall incidence rate of 0.04 (95%CI: 0.03–0.05) 100.000 person-years. The median age at first diagnosis was 60 years (range: 58–64). The female to male ratio was 2:3. Lymph node or distant metastases were present in 9% and 14% of patients. The predominant tumour type was adenocarcinoma (86%) followed by urothelial carcinoma (12%) and squamous cell carcinoma (2%). The 5-year survival rate was 51.0% with 95%CI: 45.2–57.4. Conclusions: Our study provides an up-to-date comparison of estimated incidence rates between 6 countries of 3 continents based on rigorously selected registry-based studies. The results suggest low incidence rates for UrC with considerable geographic differences. The present meta-analysis provides unbiased registry-based data on the incidence, clinicopathological parameters and survival of UrC. © 2024 The Author(s)</t>
  </si>
  <si>
    <t>Olah,C.,Kubik,A.,Matrai,P.,Engh,M.A.,Barna,V.,Hegyi,P.,Reis,H.,Nyirády,P.,Szarvas,T.</t>
  </si>
  <si>
    <t>https://www.scopus.com/inward/record.uri?eid=2-s2.0-85190341786&amp;doi=10.1016%2Fj.urolonc.2024.03.011&amp;partnerID=40&amp;md5=fe75ff596e359d61fbe794b3934660ef</t>
  </si>
  <si>
    <t>Adenocarcinoma,Bladder cancer,Epidemiology,Incidence,Registry,Urachal cancer,Urachus carcinoma</t>
  </si>
  <si>
    <t>Urologic Oncology: Seminars and Original Investigations</t>
  </si>
  <si>
    <t>European Association of Nuclear Medicine October 20-23, 2021 Virtual.</t>
  </si>
  <si>
    <t>https://research.ebsco.com/linkprocessor/plink?id=f9eef291-b4a6-3d67-800e-302d8af1fa16</t>
  </si>
  <si>
    <t>Evaluation of algorithms using administrative health and structured electronic medical record data to determine breast and colorectal cancer recurrence in a Canadian province : Using algorithms to determine breast and colorectal cancer recurrence.</t>
  </si>
  <si>
    <t>Algorithms that use administrative health and electronic medical record (EMR) data to determine cancer recurrence have the potential to replace chart reviews. This study evaluated algorithms to determine breast and colorectal cancer recurrence in a Canadian province with a universal health care system.</t>
  </si>
  <si>
    <t>Lambert Pascal,Pitz Marshall,Singh Harminder,Decker Kathleen</t>
  </si>
  <si>
    <t>https://research.ebsco.com/linkprocessor/plink?id=79ed3f98-e877-3b35-8085-cb695753f9db</t>
  </si>
  <si>
    <t>Canada,Breast Neoplasms epidemiology,Colorectal Neoplasms epidemiology,Electronic Health Records standards,Aged,Algorithms,Canada,Female,Humans,Middle Aged,Neoplasm Recurrence, Local</t>
  </si>
  <si>
    <t>Explainable AI-Based Semantic Retrieval from an Expert-Curated Oncology Knowledge Graph for Clinical Decision Support.</t>
  </si>
  <si>
    <t>The modern oncology landscape is characterised by a deluge of high-dimensional data from genomic sequencing, medical imaging, and electronic health records, negatively impacting the analytical capacity of clinicians and health practitioners. This field is not new and it has drawn significant attention from the research community. However, one of the main limiting issues is the data itself. Despite the vast amount of available data, most of it lacks scalability, quality, and semantic information. This work is motivated by the data platform provided by OncoProAI, an AI-driven clinical decision support platform designed to address this challenge by enabling highly personalised, precision cancer care. The platform is built on a comprehensive knowledge graph, formally modelled as a directed acyclic graph, which has been manually populated, assessed and maintained to provide a unique data ecosystem. This enables targeted and bespoke information extraction and assessment.</t>
  </si>
  <si>
    <t>Mushtaq Sameer,Trovati Marcello,Bessis Nik</t>
  </si>
  <si>
    <t>https://research.ebsco.com/linkprocessor/plink?id=bf00e003-7bc0-3aa7-9f32-8425775eff4c</t>
  </si>
  <si>
    <t>Data extraction,Data quality,Data mining,Data structures,Artificial intelligence,Knowledge graphs,Clinical decision support systems,Cancer treatment</t>
  </si>
  <si>
    <t>Future Internet</t>
  </si>
  <si>
    <t>Explainable artificial intelligence in breast cancer detection and risk prediction: A systematic scoping review.</t>
  </si>
  <si>
    <t>With the advances in artificial intelligence (AI), data‐driven algorithms are becoming increasingly popular in the medical domain. However, due to the nonlinear and complex behavior of many of these algorithms, decision‐making by such algorithms is not trustworthy for clinicians and is considered a black‐box process. Hence, the scientific community has introduced explainable artificial intelligence (XAI) to remedy the problem. This systematic scoping review investigates the application of XAI in breast cancer detection and risk prediction. We conducted a comprehensive search on Scopus, IEEE Explore, PubMed, and Google Scholar (first 50 citations) using a systematic search strategy. The search spanned from January 2017 to July 2023, focusing on peer‐reviewed studies implementing XAI methods in breast cancer datasets. Thirty studies met our inclusion criteria and were included in the analysis. The results revealed that SHapley Additive exPlanations (SHAP) is the top model‐agnostic XAI technique in breast cancer research in terms of usage, explaining the model prediction results, diagnosis and classification of biomarkers, and prognosis and survival analysis. Additionally, the SHAP model primarily explained tree‐based ensemble machine learning models. The most common reason is that SHAP is model agnostic, which makes it both popular and useful for explaining any model prediction. Additionally, it is relatively easy to implement effectively and completely suits performant models, such as tree‐based models. Explainable AI improves the transparency, interpretability, fairness, and trustworthiness of AI‐enabled health systems and medical devices and, ultimately, the quality of care and outcomes.</t>
  </si>
  <si>
    <t>Ghasemi Amirehsan,Hashtarkhani Soheil,Schwartz David L.,Shaban‐Nejad Arash</t>
  </si>
  <si>
    <t>https://research.ebsco.com/linkprocessor/plink?id=f71e86cf-2a0e-34a4-86a7-12db2a860775</t>
  </si>
  <si>
    <t>Machine learning,Artificial intelligence,Breast cancer research,Deep learning,Breast cancer</t>
  </si>
  <si>
    <t>Cancer Innovation</t>
  </si>
  <si>
    <t>Exploration of Artificial Intelligence Use with ARIES in Multiple Myeloma Research.</t>
  </si>
  <si>
    <t>Background: Natural language processing (NLP) is a powerful tool supporting the generation of Real-World Evidence (RWE). There is no NLP system that enables the extensive querying of parameters specific to multiple myeloma (MM) out of unstructured medical reports. We therefore created a MM-specific ontology to accelerate the information extraction (IE) out of unstructured text. Methods: Our MM ontology consists of extensive MM-specific and hierarchically structured attributes and values. We implemented "A Rule-based Information Extraction System" (ARIES) that uses this ontology. We evaluated ARIES on 200 randomly selected medical reports of patients diagnosed with MM. Results: Our system achieved a high F1-Score of 0.92 on the evaluation dataset with a precision of 0.87 and recall of 0.98. Conclusions: Our rule-based IE system enables the comprehensive querying of medical reports. The IE accelerates the extraction of data and enables clinicians to faster generate RWE on hematological issues. RWE helps clinicians to make decisions in an evidence-based manner. Our tool easily accelerates the integration of research evidence into everyday clinical practice.</t>
  </si>
  <si>
    <t>Loda Sophia,Krebs Jonathan,Danhof Sophia,Schreder Martin,Solimando Antonio G.,Strifler Susanne,Rasche Leo,Kortüm Martin,Kerscher Alexander,Knop Stefan,Puppe Frank,Einsele Hermann,Bittrich Max</t>
  </si>
  <si>
    <t>https://research.ebsco.com/linkprocessor/plink?id=d9eabe1d-1ba2-31bb-90c6-859567488bf1</t>
  </si>
  <si>
    <t>Artificial intelligence,Multiple myeloma,Natural language processing,Data mining,Data extraction</t>
  </si>
  <si>
    <t>Exploring Perceptions About Paracetamol, Tramadol, and Codeine on Twitter Using Machine Learning: Quantitative and Qualitative Observational Study.</t>
  </si>
  <si>
    <t>Paracetamol, codeine, and tramadol are commonly used to manage mild pain, and their availability without prescription or medical consultation raises concerns about potential opioid addiction.</t>
  </si>
  <si>
    <t>Carabot Federico,Donat-Vargas Carolina,Santoma-Vilaclara Javier,Ortega Miguel A,García-Montero Cielo,Fraile-Martínez Oscar,Zaragoza Cristina,Monserrat Jorge,Alvarez-Mon Melchor,Alvarez-Mon Miguel Angel</t>
  </si>
  <si>
    <t>https://research.ebsco.com/linkprocessor/plink?id=12c66e7b-817a-332d-bc2a-294d51043ac8</t>
  </si>
  <si>
    <t>Social Media,Tramadol adverse effects,Tramadol pharmacology,Humans,Acetaminophen adverse effects,Acetaminophen pharmacology,Codeine adverse effects,Codeine pharmacology,Machine Learning,Pain</t>
  </si>
  <si>
    <t>Expression of Concern: Abstracts.</t>
  </si>
  <si>
    <t>https://research.ebsco.com/linkprocessor/plink?id=6deab7c5-3a62-3bdb-94a2-678cefe6d214</t>
  </si>
  <si>
    <t>Basic &amp; Clinical Pharmacology &amp; Toxicology</t>
  </si>
  <si>
    <t>External validation of a novel electronic risk score for cancer-associated thrombosis in a comprehensive cancer center</t>
  </si>
  <si>
    <t>Venous thromboembolism (VTE) is a significant complication for cancer patients undergoing systemic therapy. We performed an independent external validation for a recently derived and validated a novel electronic health record (EHR) VTE risk score in a comprehensive cancer center. Adult patients with incident cancer diagnoses were identified from MD Anderson Cancer Center Tumor Registry 1/2017–1/2021. Baseline covariates extracted at the time of first-line systemic therapy included demographics, cancer site/histology, stage, treatment, complete blood count, body mass index, recent prolonged hospitalization, and history of VTE or paralysis. VTE was ascertained using an institution-specific natural language processing radiology algorithm (positive predictive value of 94.8%). The median follow-up for 21 142 cancer patients was 8.1 months. There were 1067 (5.7%) VTE within 6 months after systemic therapy. The distribution of the novel score for 0-, 1, 2, 3, 4, 5+ was 5661, 3558, 3462, 3489, 2918, and 2054; while the corresponding 6-month VTE incidence was 1.3%, 3.1%, 5.4%, 7.3%, 9.3%, and 13.8%, respectively (c statistic 0.71 [95% CI 0.69–0.72] with excellent calibration). In comparison, the Khorana score had a c statistic of 0.64 [95% CI 0.62–0.65]. The two risk scores had 80% concordance; the novel score reclassified 20% of Khorana score (3530 low-to-high with 9.0% VTE; 734 high-to-low with 3.4% VTE) and led to a 25% increment in VTEs captured in the high-risk group. In conclusion, the novel score demonstrated consistent discrimination and calibration across cohorts with heterogenous demographics. It could become a new standard to select high-risk populations for clinical trials and VTE monitoring. © 2023 Wiley Periodicals LLC.</t>
  </si>
  <si>
    <t>Li,A.,de las Pozas,G.,Andersen,C.R.,Nze,C.C.,Toale,K.M.,Milner,E.M.,Fillmore,N.R.,Chiao,E.Y.,Rojas-Hernandez,C.,Kroll,M.H.,Merriman,K.W.,Flowers,C.R.</t>
  </si>
  <si>
    <t>https://www.scopus.com/inward/record.uri?eid=2-s2.0-85153232732&amp;doi=10.1002%2Fajh.26928&amp;partnerID=40&amp;md5=8bafd797c6c234ecd2b8e3fce5f7065c</t>
  </si>
  <si>
    <t>American Journal of Hematology</t>
  </si>
  <si>
    <t>External validation of a novel electronic risk score for cancer-associated thrombosis in a comprehensive cancer center.</t>
  </si>
  <si>
    <t>Venous thromboembolism (VTE) is a significant complication for cancer patients undergoing systemic therapy. We performed an independent external validation for a recently derived and validated a novel electronic health record (EHR) VTE risk score in a comprehensive cancer center. Adult patients with incident cancer diagnoses were identified from MD Anderson Cancer Center Tumor Registry 1/2017-1/2021. Baseline covariates extracted at the time of first-line systemic therapy included demographics, cancer site/histology, stage, treatment, complete blood count, body mass index, recent prolonged hospitalization, and history of VTE or paralysis. VTE was ascertained using an institution-specific natural language processing radiology algorithm (positive predictive value of 94.8%). The median follow-up for 21 142 cancer patients was 8.1 months. There were 1067 (5.7%) VTE within 6 months after systemic therapy. The distribution of the novel score for 0-, 1, 2, 3, 4, 5+ was 5661, 3558, 3462, 3489, 2918, and 2054; while the corresponding 6-month VTE incidence was 1.3%, 3.1%, 5.4%, 7.3%, 9.3%, and 13.8%, respectively (c statistic 0.71 [95% CI 0.69-0.72] with excellent calibration). In comparison, the Khorana score had a c statistic of 0.64 [95% CI 0.62-0.65]. The two risk scores had 80% concordance; the novel score reclassified 20% of Khorana score (3530 low-to-high with 9.0% VTE; 734 high-to-low with 3.4% VTE) and led to a 25% increment in VTEs captured in the high-risk group. In conclusion, the novel score demonstrated consistent discrimination and calibration across cohorts with heterogenous demographics. It could become a new standard to select high-risk populations for clinical trials and VTE monitoring.</t>
  </si>
  <si>
    <t>Li Ang,De Las Pozas Giordana,Andersen Clark R,Nze Chijioke C,Toale Katy M,Milner Emily M,Fillmore Nathanael R,Chiao Elizabeth Yu,Rojas Hernandez Cristhiam,Kroll Michael H,Merriman Kelly W,Flowers Christopher R</t>
  </si>
  <si>
    <t>https://research.ebsco.com/linkprocessor/plink?id=e9775405-02f9-3bf3-ae08-20799a06c398</t>
  </si>
  <si>
    <t>Venous Thromboembolism etiology,Neoplasms epidemiology,Thrombosis complications,Adult,Humans,Retrospective Studies,Risk Factors,Risk Assessment</t>
  </si>
  <si>
    <t>American journal of hematology</t>
  </si>
  <si>
    <t>Externally validated and clinically useful machine learning algorithms to support patient-related decision-making in oncology: a scoping review.</t>
  </si>
  <si>
    <t>Santos Catarina Sousa,Amorim-Lopes Mário</t>
  </si>
  <si>
    <t>https://research.ebsco.com/linkprocessor/plink?id=fd3ed26d-d33f-3248-9b6f-3a5148088095</t>
  </si>
  <si>
    <t>Machine Learning,Neoplasms therapy,Neoplasms diagnosis,Medical Oncology methods,Clinical Decision-Making methods,Humans,Algorithms,Decision Making,Reproducibility of Results</t>
  </si>
  <si>
    <t>Extracting cancer concepts from clinical notes using natural language processing: a systematic review.</t>
  </si>
  <si>
    <t>Extracting information from free texts using natural language processing (NLP) can save time and reduce the hassle of manually extracting large quantities of data from incredibly complex clinical notes of cancer patients. This study aimed to systematically review studies that used NLP methods to identify cancer concepts from clinical notes automatically.</t>
  </si>
  <si>
    <t>Gholipour Maryam,Khajouei Reza,Amiri Parastoo,Hajesmaeel Gohari Sadrieh,Ahmadian Leila</t>
  </si>
  <si>
    <t>https://research.ebsco.com/linkprocessor/plink?id=5e113412-9163-3c79-a6ae-21c719f94286</t>
  </si>
  <si>
    <t>Natural Language Processing,Breast Neoplasms,Humans,Female,Algorithms,Software,Unified Medical Language System</t>
  </si>
  <si>
    <t>Extracting lung cancer staging descriptors from pathology reports: A generative language model approach</t>
  </si>
  <si>
    <t>Background: In oncology, electronic health records contain textual key information for the diagnosis, staging, and treatment planning of patients with cancer. However, text data processing requires a lot of time and effort, which limits the utilization of these data. Recent advances in natural language processing (NLP) technology, including large language models, can be applied to cancer research. Particularly, extracting the information required for the pathological stage from surgical pathology reports can be utilized to update cancer staging according to the latest cancer staging guidelines. Objectives: This study has two main objectives. The first objective is to evaluate the performance of extracting information from text-based surgical pathology reports and determining pathological stages based on the extracted information using fine-tuned generative language models (GLMs) for patients with lung cancer. The second objective is to determine the feasibility of utilizing relatively small GLMs for information extraction in a resource-constrained computing environment. Methods: Lung cancer surgical pathology reports were collected from the Common Data Model database of Seoul National University Bundang Hospital (SNUBH), a tertiary hospital in Korea. We selected 42 descriptors necessary for tumor-node (TN) classification based on these reports and created a gold standard with validation by two clinical experts. The pathology reports and gold standard were used to generate prompt-response pairs for training and evaluating GLMs which then were used to extract information required for staging from pathology reports. Results: We evaluated the information extraction performance of six trained models as well as their performance in TN classification using the extracted information. The Deductive Mistral-7B model, which was pre-trained with the deductive dataset, showed the best performance overall, with an exact match ratio of 92.24% in the information extraction problem and an accuracy of 0.9876 (predicting T and N classification concurrently) in classification. Conclusion: This study demonstrated that training GLMs with deductive datasets can improve information extraction performance, and GLMs with a relatively small number of parameters at approximately seven billion can achieve high performance in this problem. The proposed GLM-based information extraction method is expected to be useful in clinical decision-making support, lung cancer staging and research.</t>
  </si>
  <si>
    <t>Cho H,Yoo S,Kim B,Jang S,Sunwoo L,Kim S,Lee D,Kim S,Nam S,Chung JH</t>
  </si>
  <si>
    <t>https://www.webofscience.com/wos/woscc/full-record/WOS:001312772300001</t>
  </si>
  <si>
    <t>Deep learning; Natural language processing; Large language model; Information extraction; Pathology report; Tumor-node classification</t>
  </si>
  <si>
    <t>JOURNAL OF BIOMEDICAL INFORMATICS</t>
  </si>
  <si>
    <t>Extracting Patient-Centered Outcomes from Clinical Notes in Electronic Health Records: Assessment of Urinary Incontinence After Radical Prostatectomy.</t>
  </si>
  <si>
    <t>Objective: To assess documentation of urinary incontinence (UI) in prostatectomy patients using unstructured clinical notes from Electronic Health Records (EHRs). Methods: We developed a weakly-supervised natural language processing tool to extract assessments, as recorded in unstructured text notes, of UI before and after radical prostatectomy in a single academic practice across multiple clinicians. Validation was carried out using a subset of patients who completed EPIC-26 surveys before and after surgery. The prevalence of UI as assessed by EHR and EPIC-26 was compared using repeated-measures ANOVA. The agreement of reported UI between EHR and EPIC-26 was evaluated using Cohen's Kappa coefficient. Results: A total of 4870 patients and 716 surveys were included. Preoperative prevalence of UI was 12.7 percent. Postoperative prevalence was 71.8 percent at 3 months, 50.2 percent at 6 months and 34.4 and 41.8 at 12 and 24 months, respectively. Similar rates were recorded by physicians in the EHR, particularly for early follow-up. For all time points, the agreement between EPIC-26 and the EHR was moderate (all p &lt; 0.001) and ranged from 86.7 percent agreement at baseline (Kappa = 0.48) to 76.4 percent agreement at 24 months postoperative (Kappa = 0.047). Conclusions: We have developed a tool to assess documentation of UI after prostatectomy using EHR clinical notes. Our results suggest such a tool can facilitate unbiased measurement of important PCOs using real-word data, which are routinely recorded in EHR unstructured clinician notes. Integrating PCO information into clinical decision support can help guide shared treatment decisions and promote patient-valued care.</t>
  </si>
  <si>
    <t>Gori Davide,Banerjee Imon,Chung Benjamin I.,Ferrari Michelle,Rucci Paola,Blayney Douglas W.,Brooks James D.,Hernandez-Boussard Tina</t>
  </si>
  <si>
    <t>https://research.ebsco.com/linkprocessor/plink?id=284d595a-0034-32b5-b559-674e26184397</t>
  </si>
  <si>
    <t>Clinical decision support systems,Electronic health records,Natural language processing,Radical prostatectomy,Urinary incontinence</t>
  </si>
  <si>
    <t>Extraction of Tumor Response Criteria in Semi-Structured Imaging Report.</t>
  </si>
  <si>
    <t>In this study, we extracted information from 6,376 french CT scan semi-structured text reports evaluating the cancer treatment response using the RECIST methodology. We evaluated the performance against manual annotation of 100 reports and measured the evolution of the presence of information over time. The results show high performances of the extraction as well as trends.</t>
  </si>
  <si>
    <t>Pohyer Valentin,Baudoin David,Fournier Laure,Rance Bastien</t>
  </si>
  <si>
    <t>https://research.ebsco.com/linkprocessor/plink?id=a1dc8bc1-f7af-3358-be0e-edfa7b72a772</t>
  </si>
  <si>
    <t>Neoplasms diagnostic imaging,Research Report,Humans,Natural Language Processing,Tomography, X-Ray Computed</t>
  </si>
  <si>
    <t>Factors Associated With Optimal Follow-up in Women With BI-RADS 3 Breast Findings</t>
  </si>
  <si>
    <t>Objective: Assess rate of and factors associated with optimal follow-up in patients with BI-RADS 3 breast findings. Methods: This Institutional Review Board–approved, retrospective cohort study, performed at an academic medical center, included all women undergoing breast imaging (ultrasound and mammography) in 2016. Index reports for unique patients with an assessment of BI-RADS 3 (retrieved via natural language processing) comprised the study population. Patient-specific and provider-related features were extracted from the Research Data Warehouse. The Institutional Cancer Registry identified patients diagnosed with breast cancer. Optimal follow-up rate was calculated as patients with follow-up imaging on the same breast 3 to 9 months from the index examination among patients with BI-RADS 3 assessments. Univariate analysis and multivariable logistic regression determined features associated with optimal follow-up. Malignancy rate and time to malignancy detection were recorded. Results: Among 93,685 breast imaging examinations, 64,771 were from unique patients of which 2,967 had BI-RADS 3 findings (4.6%). Excluding patients with off-site index examinations and those with another breast examination &lt;3 months from the index, 1,125 of 1,511 patients (74%) had optimal follow-up. In univariate and multivariable analysis, prior breast cancer was associated with optimal follow-up; younger age, Hispanic ethnicity, divorced status, and lack of insurance were associated with not having optimal follow-up. Malignancy rate was 0.86%, and mean time to detection was 330 days. Discussion: Follow-up of BI-RADS 3 breast imaging findings is optimal in only 74% of women. Further interventions to promote follow-up should target younger, unmarried women, those with Hispanic ethnicity, and women without history of breast cancer and without insurance coverage. © 2019 American College of Radiology</t>
  </si>
  <si>
    <t>Lacson,R.,Wang,A.,Cochon,L.R.,Giesś,C.S.,Desai,S.,Eappen,S.,Khorasani,R.</t>
  </si>
  <si>
    <t>https://www.scopus.com/inward/record.uri?eid=2-s2.0-85076966704&amp;doi=10.1016%2Fj.jacr.2019.10.003&amp;partnerID=40&amp;md5=28cc1c2bf5038fcc5be1b62240aecf0a</t>
  </si>
  <si>
    <t>BI-RADS,breast imaging,follow-up,health disparities,mammography</t>
  </si>
  <si>
    <t>Factors impacting hospitalisation and related health service costs in cancer survivors in Australia: Results from a population data linkage study in Queensland (COS-Q)</t>
  </si>
  <si>
    <t>Background: The global economic cost of cancer and the costs of ongoing care for survivors are increasing. Little is known about factors affecting hospitalisations and related costs for the growing number of cancer survivors. Our aim was to identify associated factors of cancer survivors admitted to hospital in the public system and their costs from a health services perspective. Methods: A population-based, retrospective, data linkage study was conducted in Queensland (COS-Q), Australia, including individuals diagnosed with a first primary cancer who incurred healthcare costs between 2013 and 2016. Generalised linear models were fitted to explore associations between socio-demographic (age, sex, country of birth, marital status, occupation, geographic remoteness category and socio-economic index) and clinical (cancer type, year of/time since diagnosis, vital status and care type) factors with mean annual hospital costs and mean episode costs. Results: Of the cohort (N = 230,380) 48.5% (n = 111,820) incurred hospitalisations in the public system (n = 682,483 admissions). Hospital costs were highest for individuals who died during the costing period (cost ratio ‘CR’: 1.79, p &lt; 0.001) or living in very remote or remote location (CR: 1.71 and CR: 1.36, p &lt; 0.001) or aged 0–24 years (CR: 1.63, p &lt; 0.001). Episode costs were highest for individuals in rehabilitation or palliative care (CR: 2.94 and CR: 2.34, p &lt; 0.001), or very remote location (CR: 2.10, p &lt; 0.001). Higher contributors to overall hospital costs were ‘diseases and disorders of the digestive system’ (AU$661 m, 21% of admissions) and ‘neoplastic disorders’ (AU$554 m, 20% of admissions). Conclusions: We identified a range of factors associated with hospitalisation and higher hospital costs for cancer survivors, and our results clearly demonstrate very high public health costs of hospitalisation. There is a lack of obvious means to reduce these costs in the short or medium term which emphasises an increasing economic imperative to improving cancer prevention and investments in home- or community-based patient support services. © 2024 The Author(s). Cancer Medicine published by John Wiley &amp; Sons Ltd.</t>
  </si>
  <si>
    <t>Merollini,K.M.D.,Gordon,L.G.,Jones,A.T.,Aitken,J.F.,Kimlin,M.G.</t>
  </si>
  <si>
    <t>https://www.scopus.com/inward/record.uri?eid=2-s2.0-85203421859&amp;doi=10.1002%2Fcam4.70201&amp;partnerID=40&amp;md5=ee761b00849ecace8ceca807ad5781d8</t>
  </si>
  <si>
    <t>Australia,cancer survivors,healthcare,hospital cost,risk factors,treatment</t>
  </si>
  <si>
    <t>Factors influencing the development of primary care data collection projects from electronic health records: a systematic review of the literature.</t>
  </si>
  <si>
    <t>Primary care data gathered from Electronic Health Records are of the utmost interest considering the essential role of general practitioners (GPs) as coordinators of patient care. These data represent the synthesis of the patient history and also give a comprehensive picture of the population health status. Nevertheless, discrepancies between countries exist concerning routine data collection projects. Therefore, we wanted to identify elements that influence the development and durability of such projects.</t>
  </si>
  <si>
    <t>Gentil Marie-Line,Cuggia Marc,Fiquet Laure,Hagenbourger Camille,Le Berre Thomas,Banâtre Agnès,Renault Eric,Bouzille Guillaume,Chapron Anthony</t>
  </si>
  <si>
    <t>https://research.ebsco.com/linkprocessor/plink?id=797173d9-0eea-32af-b65b-91757758fcd8</t>
  </si>
  <si>
    <t>Data Collection,Electronic Health Records,Primary Health Care,Humans</t>
  </si>
  <si>
    <t>FasTag: Automatic text classification of unstructured medical narratives.</t>
  </si>
  <si>
    <t>Unstructured clinical narratives are continuously being recorded as part of delivery of care in electronic health records, and dedicated tagging staff spend considerable effort manually assigning clinical codes for billing purposes. Despite these efforts, however, label availability and accuracy are both suboptimal. In this retrospective study, we aimed to automate the assignment of top-level International Classification of Diseases version 9 (ICD-9) codes to clinical records from human and veterinary data stores using minimal manual labor and feature curation. Automating top-level annotations could in turn enable rapid cohort identification, especially in a veterinary setting. To this end, we trained long short-term memory (LSTM) recurrent neural networks (RNNs) on 52,722 human and 89,591 veterinary records. We investigated the accuracy of both separate-domain and combined-domain models and probed model portability. We established relevant baseline classification performances by training Decision Trees (DT) and Random Forests (RF). We also investigated whether transforming the data using MetaMap Lite, a clinical natural language processing tool, affected classification performance. We showed that the LSTM-RNNs accurately classify veterinary and human text narratives into top-level categories with an average weighted macro F1 score of 0.74 and 0.68 respectively. In the "neoplasia" category, the model trained on veterinary data had a high validation accuracy in veterinary data and moderate accuracy in human data, with F1 scores of 0.91 and 0.70 respectively. Our LSTM method scored slightly higher than that of the DT and RF models. The use of LSTM-RNN models represents a scalable structure that could prove useful in cohort identification for comparative oncology studies. Digitization of human and veterinary health information will continue to be a reality, particularly in the form of unstructured narratives. Our approach is a step forward for these two domains to learn from and inform one another.</t>
  </si>
  <si>
    <t>Venkataraman Guhan Ram,Pineda Arturo Lopez,Bear Don't Walk IV Oliver J.,Zehnder Ashley M.,Ayyar Sandeep,Page Rodney L.,Bustamante Carlos D.,Rivas Manuel A.</t>
  </si>
  <si>
    <t>https://research.ebsco.com/linkprocessor/plink?id=f5fd8fbb-8aa8-3232-8022-4d70de9fdc51</t>
  </si>
  <si>
    <t>Automatic classification,Medical coding,Electronic health records,Recurrent neural networks,Medical care,Tags (Metadata),Mixed reality</t>
  </si>
  <si>
    <t>Feasibility analysis of conducting observational studies with the electronic health record.</t>
  </si>
  <si>
    <t>The secondary use of electronic health records (EHRs) promises to facilitate medical research. We reviewed general data requirements in observational studies and analyzed the feasibility of conducting observational studies with structured EHR data, in particular diagnosis and procedure codes.</t>
  </si>
  <si>
    <t>von Lucadou Marcel,Ganslandt Thomas,Prokosch Hans-Ulrich,Toddenroth Dennis</t>
  </si>
  <si>
    <t>https://research.ebsco.com/linkprocessor/plink?id=892c7b40-31ee-31c3-847f-934ef256f7bd</t>
  </si>
  <si>
    <t>Germany,Electronic Health Records statistics &amp; numerical data,Observational Studies as Topic statistics &amp; numerical data,Data Accuracy,Feasibility Studies,Germany,Humans</t>
  </si>
  <si>
    <t>Fertility-sparing surgery for patients with stage IC2 or IC3 epithelial ovarian carcinoma: any evidence of safety?</t>
  </si>
  <si>
    <t>Objective Investigate the overall survival of patients with stage IC2/IC3 epithelial ovarian carcinoma undergoing fertility-sparing surgery. Methods Patients aged &lt;45 years diagnosed between January 2004 and December 2015 with epithelial ovarian carcinoma, who underwent surgical staging and had tumor involving the ovarian surface (IC2), malignant ascites or positive cytology (IC3), were identified in the National Cancer Database. The fertility-sparing surgery group included patients who had preservation of the uterus and the contralateral ovary while the radical surgery group included patients who had hysterectomy with bilateral salpingo-oophorectomy. Overall survival was evaluated following generation of Kaplan–Meier curves while a Cox model was constructed to control for tumor grade and performance of lymphadenectomy. A systematic review of the literature was performed and cumulative relapse rate among patients with IC2/IC3 disease who underwent fertility-sparing surgery was calculated. Results A total of 235 cases were identified; 105 (44.7%) patients underwent fertility-sparing surgery. There was no difference in overall survival between the fertility-sparing and radical surgery groups (p=0.37; 5- year overall survival rates 90.2% and 85%, respectively). After controlling for tumor grade and performance of lymphadenectomy, fertility-sparing surgery was not associated with worse overall survival (HR 1.22, 95% CI 0.56, 2.62). A systematic review identified 151 patients with stage IC2/IC3 disease who underwent fertility-sparing surgery. Cumulative relapse rate was 19.3% (n=29) while 12 (6.7%) deaths were reported. Median time to recurrence was 19 (range 1–128.5) months. Tumor recurrence involved the ovary exclusively in 42% (11/26) of patients, while 15% (4/26) had a lymph node, 35% (9/26) a pelvic/abdominal, and 8% (2/26) a distant tumor relapse. Conclusions In a large cohort of patients with stage IC2/ IC3 epithelial ovarian carcinoma, fertility-sparing surgery was not associated with worse overall survival. However, based on a literature review, relapse rate is approximately 20%. © IGCS and ESGO 2022. No commercial re-use. See rights and permissions. Published by BMJ.</t>
  </si>
  <si>
    <t>Nasioudis,D.,Heyward,Q.D.,Ko,E.M.,Haggerty,A.F.,Cory,L.,Giuntoli,R.L.,Kim,S.H.,Latif,N.A.</t>
  </si>
  <si>
    <t>https://www.scopus.com/inward/record.uri?eid=2-s2.0-85124438526&amp;doi=10.1136%2Fijgc-2021-003115&amp;partnerID=40&amp;md5=22a9f461580f8e6f7ca44acdfe815901</t>
  </si>
  <si>
    <t>International Journal of Gynecological Cancer</t>
  </si>
  <si>
    <t>Fine-tuning language model embeddings to reveal domain knowledge: An explainable artificial intelligence perspective on medical decision making</t>
  </si>
  <si>
    <t>Integrating large language models (LLMs) to retrieve targeted medical knowledge from electronic health records enables significant advancements in medical research. However, recognizing the challenges associated with using LLMs in healthcare is essential for successful implementation. One challenge is that medical records combine unstructured textual information with highly sensitive personal data. This, in turn, highlights the need for explainable Artificial Intelligence (XAI) methods to understand better how LLMs function in the medical domain. In this study, we propose a novel XAI tool to accelerate data-driven cancer research. We apply the Bidirectional Encoder Representations from Transformers (BERT) model to German language pathology reports examining the effects of domain-specific language adaptation and fine-tuning. We demonstrate our model on a real-world pathology dataset, analyzing the contextual representations of diagnostic reports. By illustrating decisions made by fine-tuned models, we provide decision values that can be applied in medical research. To address interpretability, we conduct a performance evaluation of the classifications generated by our fine-tuned model, as assessed by an expert pathologist. In domains such as medicine, inspection of the medical knowledge map in conjunction with expert evaluation reveals valuable information about how contextual representations of key disease features are categorized. This ultimately benefits data structuring and labeling and paves the way for even more advanced approaches to XAI, combining text with other input modalities, such as images which are then applicable to various engineering problems.</t>
  </si>
  <si>
    <t>Kraisnikovic C,Harb R,Plass M,Al Zoughbi W,Holzinger A,Müller H</t>
  </si>
  <si>
    <t>https://www.webofscience.com/wos/woscc/full-record/WOS:001360856200001</t>
  </si>
  <si>
    <t xml:space="preserve">Pathology reports; Large language models in pathology; Bidirectional Encoder Representations from Transformers model; Language model for German; Domain-language adaptation; Fine-tuning; Analysis of embeddings; Pathology-specific tasks; Digital pathology; </t>
  </si>
  <si>
    <t>ENGINEERING APPLICATIONS OF ARTIFICIAL INTELLIGENCE</t>
  </si>
  <si>
    <t>Folic acid supplement intake and risk of colorectal cancer in women; a case control study</t>
  </si>
  <si>
    <t>Background: An ongoing controversy exists on the role of folic acid supplementation in colorectal cancer risk among epidemiological studies. Objective: To assess the association between maternal folic acid supplementation and colorectal cancer risk. Methods: A paired matched case control study of 405 subjects was performed, including women residing in 135 villages of East Azerbaijan, Iran. Per area, subjects were followed regularly in local healthcare centers, where health-and social-related information have been collected prospectively in face to face interviews by well-trained health workers. We extracted folic acid supplement intake, baseline characteristics, and confounders from healthcare records. The data for study participants were linked to national cancer registry repositories, from which we retrieved the data of 135 women diagnosed with colorectal cancer between 2005 to 2015. Two hundred seventy controls were individually matched with cases in terms of residing village, age, and gender. We applied multivariate conditional logistic regression to estimate odds ratios (ORs) and 95% confidence intervals (CIs). Findings: There was no significant association between folic acid supplementation and colorectal cancer risk in those with history of folic acid intake compared to those with no history of intake (OR 0.95; 95% CI 0.59 to 1.53), in those with less than five years of folic acid (0.79; 0.45 to 1.39) or in those with ≥5 years intake (1.09; 0.52 to 2.26). This risk did not change after adjustment for covariates or further stratification. Conclusions: Maternal folic acid supplementation did not affect colorectal cancer risk in a population where supplemental folic acid is prescribed with regular intervals for women of child-bearing age. © 2020 The Author(s).</t>
  </si>
  <si>
    <t>Moazzen,S.,Dastgiri,S.,Dolatkhah,R.,Abdolahi,H.M.,Alizadeh,B.Z.,de Bock,G.H.</t>
  </si>
  <si>
    <t>https://www.scopus.com/inward/record.uri?eid=2-s2.0-85081376074&amp;doi=10.5334%2Faogh.2664&amp;partnerID=40&amp;md5=9d747a7d6b2d12b3d7de7245c78553bf</t>
  </si>
  <si>
    <t>Annals of Global Health</t>
  </si>
  <si>
    <t>From text to data: Open-source large language models in extracting cancer related medical attributes from German pathology reports</t>
  </si>
  <si>
    <t>Structured oncological documentation is vital for data-driven cancer care, yet extracting clinical features from unstructured pathology reports remains challenging—especially in German healthcare, where strict data protection rules require local model deployment. This study evaluates open-source large language models (LLMs) for extracting oncological attributes from German pathology reports in a secure, on-premise setting. We created a gold-standard dataset of 522 annotated reports and developed a retrieval-augmented generation (RAG) pipeline using an additional 15,000 pathology reports. Five instruction-tuned LLMs (Llama 3.3 70B, Mistral Small 24B, and three SauerkrautLM variants) were evaluated using three prompting strategies: zero-shot, few-shot, and RAG-enhanced few-shot prompting. All models produced structured JSON outputs and were assessed using entity-level precision, recall, accuracy, and macro-averaged F1-score. Results show that Llama 3.3 70B achieved the highest overall performance (F1 &gt; 0.90). However, when combined with the RAG pipeline, Mistral Small 24B achieved nearly equivalent performance, matching Llama 70B on most entity types while requiring significantly fewer computational resources. Prompting strategy significantly impacted performance: few-shot prompting improved baseline accuracy, and RAG further enhanced performance, particularly for models with fewer than 24B parameters. Challenges remained in extracting less frequent but clinically critical attributes like metastasis and staging, underscoring the importance of retrieval mechanisms and balanced training data. This study demonstrates that open-source LLMs, when paired with effective prompting and retrieval strategies, can enable high-quality, privacy-compliant extraction of oncological information from unstructured text. The finding that smaller models can match larger ones through retrieval augmentation highlights a path toward scalable, resource-efficient deployment in German clinical settings. © 2025 The Author(s)</t>
  </si>
  <si>
    <t>Bartels,S.,Carus,J.</t>
  </si>
  <si>
    <t>https://www.scopus.com/inward/record.uri?eid=2-s2.0-105009441042&amp;doi=10.1016%2Fj.ijmedinf.2025.106022&amp;partnerID=40&amp;md5=cc266b0125c242f838f0b7bda0c76bda</t>
  </si>
  <si>
    <t>Cancer registry,Computer science,German,Knowledge extraction,Large language models,Medical informatics,Natural language processing,Oncology,Pathology,Privacy,Prompt design,Retrival augmented generation</t>
  </si>
  <si>
    <t>Gaps in the screening process for women diagnosed with cervical cancer in four diverse US health care settings.</t>
  </si>
  <si>
    <t>Background: Potential care gaps in the cervical cancer screening process among women diagnosed with cervical cancer in an era with increased human papillomavirus (HPV) testing have not been extensively evaluated. Methods: Women diagnosed with cervical cancer between ages 21 and 65 at four study sites between 2010 and 2014 were included. Screening histories were ascertained from 0.5 to 4 years prior to cervical cancer diagnosis. We identified potential care gaps in the screening history for each woman and classified them into one of three mutually exclusive types: lack of a screening test, screening test failure, and diagnostic/treatment care gap. Distributions of care gaps were tabulated by stage, histology, and study site. Multivariable nominal logistic regression was used to examine the associations between demographic and cancer characteristics and type of care gap. Results: Of 499 women evaluated, 46% lacked a screening test in the time window examined, 31% experienced a screening test failure, and 22% experienced a diagnostic/treatment care gap. More than half of the women with advanced cancer and squamous cell carcinoma lacked a screening test compared to 31% and 24% of women with localized cancer and adenocarcinoma, respectively. Women aged 21–29 at diagnosis were more likely to experience screening test failure and diagnostic/treatment care gap, while those aged 50–65 were more likely to lack a screening test, compared to women aged 30–39. Conclusions: Our findings demonstrate a continuing need to develop interventions targeting unscreened and under‐screened women and improve detection and diagnosis of adenocarcinoma in women undergoing cervical cancer screening and diagnostic follow‐up.</t>
  </si>
  <si>
    <t>Chao Chun R.,Chubak Jessica,Beaber Elisabeth F.,Kamineni Aruna,Mao Connie,Silverberg Michael J.,Tiro Jasmin A.,Skinner Celette,Garcia Michael,Corley Douglas A.,Winer Rachel L.,Raine‐Bennett Tina,Feldman Sarah,Wheeler Cosette M.</t>
  </si>
  <si>
    <t>https://research.ebsco.com/linkprocessor/plink?id=496706fb-5961-3d32-8628-09a4566b0fb5</t>
  </si>
  <si>
    <t>Cervical cancer,Medical care,Cervical cancer diagnosis,Cancer diagnosis,Human papillomavirus,Medical screening,Mental health screening,Genital warts,Cervical intraepithelial neoplasia,All Other Miscellaneous Ambulatory Health Care Services</t>
  </si>
  <si>
    <t>Gastroesophageal reflux disease and paraneoplastic neurological syndrome associated with long‐term survival in limited stage small‐cell lung cancer.</t>
  </si>
  <si>
    <t>Introduction: Patients with small‐cell lung cancer (SCLC) have a very poor prognosis. However, a subset of SCLC achieves long‐term survival. The objective of this study was to investigate factors and pattern of long‐term survival in patients with limited‐stage small cell lung cancer (LS‐SCLC) who achieved a complete response (CR) after chemoradiotherapy. Patient and Methods: This was a single‐center retrospective study. The analysis of hazard ratio (HR) and 95% confidence interval (CI) was performed using Cox proportional hazards model. For pattern analysis, the date of recurrence was used as the endpoint. The nominal categorical variables were analyzed by the χ2 test. Survival was estimated using the Kaplan–Meier model, and the results were reported as the median and interquartile range. Results: We identified 162 patients, median age was 64.7 (56.2–70.2) years, and 94 (58%) were females. Eighty‐one patients (50%) had recurrence during follow‐up. Gastroesophageal reflux disease (GERD) (HR, 0.65; 95% CI, 0.45–0.93; p = 0.016) and neurological paraneoplastic syndrome (PNS) (HR, 0.46; 95% CI, 0.29–0.72; p &lt; 0.001) were independent factors associated with improved overall survival (OS). Patients with GERD had prolonged recurrence free survival (RFS) compared to patients without GERD (median, 29.1 months vs. 13.9 months, p &lt; 0.001), whereas patients with neurological PNS had a reduced recurrence rate compared to those patients without neurological PNS (No. [%], 8 [20.5] vs. 73 [59.3], p &lt; 0.001). Conclusions: Patients with LS‐SCLC achieving a CR after chemoradiotherapy, GERD, and neurological PNS were associated with improved OS. GERD and neurological PNS were associated with longer RFS and lower recurrence rate, respectively.</t>
  </si>
  <si>
    <t>Ernani Vinicius,Du Lin,Ross Helen J.,Yi Joanne E.,Wampfler Jason A.,Schild Steven E.,Xie Hao,Swanson Karen L.,Tazelaar Henry D.,Yang Ping</t>
  </si>
  <si>
    <t>https://research.ebsco.com/linkprocessor/plink?id=0fc4c828-5b29-35ae-869a-03a268bc6c88</t>
  </si>
  <si>
    <t>Neurological disorders,Paraneoplastic syndromes,Acquisition of data methodology,Confidence intervals,Small cell carcinoma,Lung tumors,Retrospective studies,Cancer relapse,Gastroesophageal reflux,Cancer patients,Chemoradiotherapy,Medical records,Chi-squared test,Kaplan-Meier estimator,Descriptive statistics,Proportional hazards models</t>
  </si>
  <si>
    <t>Thoracic Cancer</t>
  </si>
  <si>
    <t>Gender Differences in Prognosis After Primary Resection for Retroperitoneal Liposarcoma</t>
  </si>
  <si>
    <t>Background: Current evidence regarding gender difference in retroperitoneal liposarcoma (RLPS) is scarce, so we sought to investigate whether gender may affect prognosis after primary resection of RLPS. Methods: We used the Surveillance, Epidemiology, and End Results (SEER) database to identify RLPS patients from January 1973 to December 2015. Multivariate cox proportional hazard analysis was adopted to generate adjusted hazard ratio (AHR) and 95% confidence intervals (CIs) of survival outcomes. Results: In total, 2108 RLPS patients, including 971 women and 1137 men, were identified, with a median follow-up of 45.0 (17.0-92.0) months. The 5-year and 10-year overall survival rates were 50.5% and 31.5% for men and 60.4% and 42.5% for women. The 5-year and 10-year disease-specific survival rates for men and women were 71.5%, 57.3% and 76.3%, 62.1%, respectively. We found men were associated with an increased risk of all-cause mortality (AHR 1.3, 95% CI 1.0-1.6, P =.017) but not disease-specific mortality (AHR 1.2, 95% CI.9-1.6, P =.246). The subgroup analyses revealed that men were associated with an increased risk of all-cause mortality in patients with low-grade tumors (AHR 1.8, 95% CI 1.3-2.5) or patients who received non-radical resection (AHR 1.6, 95% CI 1.2-2.1). In the subgroup of low-grade tumors, men were also associated with an increased risk of disease-specific mortality (AHR 2.0, 95% CI 1.2-3.3). Conclusion: Men may have worse survival after primary resection of RLPS compared with women, especially in patients with low-grade tumors or patients who received non-radical resection. Gender-based disparities may deserve more attention in patients with RLPS. © The Author(s) 2023.</t>
  </si>
  <si>
    <t>Ren,L.,Qi,Y.,Zhao,J.,Weng,C.,Wang,J.,Yuan,D.,Wang,T.</t>
  </si>
  <si>
    <t>https://www.scopus.com/inward/record.uri?eid=2-s2.0-85171866257&amp;doi=10.1177%2F00031348231201883&amp;partnerID=40&amp;md5=e8c8d6cce9008d9c641d5c380d5966ae</t>
  </si>
  <si>
    <t>prognosis,retroperitoneal liposarcoma,sex</t>
  </si>
  <si>
    <t>American Surgeon</t>
  </si>
  <si>
    <t>Generalizable and automated classification of TNM stage from pathology reports with external validation.</t>
  </si>
  <si>
    <t>Cancer staging is an essential clinical attribute informing patient prognosis and clinical trial eligibility. However, it is not routinely recorded in structured electronic health records. Here, we present BB-TEN: Big Bird - TNM staging Extracted from Notes, a generalizable method for the automated classification of TNM stage directly from pathology report text. We train a BERT-based model using publicly available pathology reports across approximately 7000 patients and 23 cancer types. We explore the use of different model types, with differing input sizes, parameters, and model architectures. Our final model goes beyond term-extraction, inferring TNM stage from context when it is not included in the report text explicitly. As external validation, we test our model on almost 8000 pathology reports from Columbia University Medical Center, finding that our trained model achieved an AU-ROC of 0.815-0.942. This suggests that our model can be applied broadly to other institutions without additional institution-specific fine-tuning.</t>
  </si>
  <si>
    <t>Kefeli Jenna,Berkowitz Jacob,Acitores Cortina Jose M,Tsang Kevin K,Tatonetti Nicholas P</t>
  </si>
  <si>
    <t>https://research.ebsco.com/linkprocessor/plink?id=0f96ff20-8d61-301f-9366-9d7e4c73b5dd</t>
  </si>
  <si>
    <t>Neoplasm Staging methods,Electronic Health Records,Neoplasms pathology,Neoplasms classification,Humans,Algorithms</t>
  </si>
  <si>
    <t>Nature communications</t>
  </si>
  <si>
    <t>Generation of a Realistic Synthetic Laryngeal Cancer Cohort for AI Applications.</t>
  </si>
  <si>
    <t>Simple Summary: The use of synthetic patient data can help address patient privacy concerns and the general availability of clinical data. It can overcome the challenges associated with obtaining real patient data for use in medical research, healthcare analytics, and clinical decision support. We propose an approach to provide synthetic patient data for laryngeal cancer, a relatively rare but complex disease. We adapted an existing synthesis technology to produce realistic prevalence and age distributions in the generated patient datasets. We verified the methodology and validated the results using real patient data from a German cancer registry. Background: Obtaining large amounts of real patient data involves great efforts and expenses, and processing this data is fraught with data protection concerns. Consequently, data sharing might not always be possible, particularly when large, open science datasets are needed, as for AI development. For such purposes, the generation of realistic synthetic data may be the solution. Our project aimed to generate realistic cancer data with the use case of laryngeal cancer. Methods: We used the open-source software Synthea and programmed an additional module for development, treatment and follow-up for laryngeal cancer by using external, real-world (RW) evidence from guidelines and cancer registries from Germany. To generate an incidence-based cohort view, we randomly drew laryngeal cancer cases from the simulated population and deceased persons, stratified by the real-world age and sex distributions at diagnosis. Results: A module with age- and stage-specific treatment and prognosis for laryngeal cancer was successfully implemented. The synthesized population reflects RW prevalence well, extracting a cohort of 50,000 laryngeal cancer patients. Descriptive data on stage-specific and 5-year overall survival were in accordance with published data. Conclusions: We developed a large cohort of realistic synthetic laryngeal cancer cases with Synthea. Such data can be shared and published open source without data protection issues.</t>
  </si>
  <si>
    <t>Katalinic Mika,Schenk Martin,Franke Stefan,Katalinic Alexander,Neumuth Thomas,Dietz Andreas,Stoehr Matthaeus,Gaebel Jan</t>
  </si>
  <si>
    <t>https://research.ebsco.com/linkprocessor/plink?id=6ddfddce-c302-3ce0-97bd-da5775def084</t>
  </si>
  <si>
    <t>Artificial intelligence,Machine learning,Research funding,Electronic health records,Overall survival,Germany,Laryngeal tumors</t>
  </si>
  <si>
    <t>Generative Artificial Intelligence in Anatomic Pathology.</t>
  </si>
  <si>
    <t>Generative artificial intelligence (AI) has emerged as a transformative force in various fields, including anatomic pathology, where it offers the potential to significantly enhance diagnostic accuracy, workflow efficiency, and research capabilities.</t>
  </si>
  <si>
    <t>Brodsky Victor,Ullah Ehsan,Bychkov Andrey,Song Andrew H,Walk Eric E,Louis Peter,Rasool Ghulam,Singh Rajendra S,Mahmood Faisal,Bui Marilyn M,Parwani Anil V</t>
  </si>
  <si>
    <t>https://research.ebsco.com/linkprocessor/plink?id=622f9f02-f8e7-38d9-a116-7d7479d44673</t>
  </si>
  <si>
    <t>Artificial Intelligence,Pathology, Clinical methods,Pathology methods,Humans,Workflow,Generative Artificial Intelligence</t>
  </si>
  <si>
    <t>Genome‐wide methylation profiling of diagnostic tumor specimens identified DNA methylation markers associated with metastasis among men with untreated localized prostate cancer.</t>
  </si>
  <si>
    <t>Background: We used a genome‐wide discovery approach to identify methylation markers associated with metastasis in men with localized prostate cancer (PCa), as better identification of those at high risk of metastasis can inform treatment decision‐making. Methods: We identified men with localized PCa at Kaiser Permanente California (January 1, 1997–December 31, 2006) who did not receive curative treatment and followed them for 10 years to determine metastasis status. Cases were chart review‐confirmed metastasis, and controls were matched using density sampling. We extracted DNA from the cancerous areas in the archived diagnostic tissue blocks. We used Illumina's Infinium MethylationEPIC BeadChip for methylation interrogation. We used conditional logistic regression and Bonferroni's correction to identify methylation markers associated with metastasis. In a separate validation cohort (2007), we evaluated the added predictive utility of the methylation score beyond clinical risk score. Results: Among 215 cases and 404 controls, 31 CpG sites were significantly associated with metastasis status. Adding the methylation score to the clinical risk score did not meaningfully improve the c‐statistic (0.80–0.81) in the validation cohort, though the score itself was statistically significant (p &lt; 0.01). In the validation cohort, both clinical risk score alone and methylation marker score alone are well calibrated for predicted 10‐year metastasis risks. Adding the methylation score to the clinical risk score only marginally improved predictive risk calibration. Conclusion: Our findings do not support the use of these markers to improve clinical risk prediction. The methylation markers identified may inform novel hypothesis in the roles of these genetic regions in metastasis development.</t>
  </si>
  <si>
    <t>Chao Chun R.,Slezak Jeff,Siegmund Kimberly,Cannavale Kimberly,Shu Yu‐Hsiang,Chien Gary W.,Chen Xu‐Feng,Shi Feng,Song Nan,Van Den Eeden Stephen K.,Huang Jiaoti</t>
  </si>
  <si>
    <t>https://research.ebsco.com/linkprocessor/plink?id=0a3f57f7-8151-3917-9ef1-1f91922510e6</t>
  </si>
  <si>
    <t>Curative medicine,Prostate cancer,DNA methylation,Disease risk factors,Diagnostic specimens,Methylation,Metastasis,California,Kaiser Permanente (Company)</t>
  </si>
  <si>
    <t>Global mapping of artificial intelligence applications in breast cancer from 1988-2024: a machine learning approach.</t>
  </si>
  <si>
    <t>Declarations. Conflict of interest: The authors declare that they have no competing interests.</t>
  </si>
  <si>
    <t>Nguyen Thi Huyen Trang,Jeon Somin,Yoon Junghyun,Park Boyoung</t>
  </si>
  <si>
    <t>https://research.ebsco.com/linkprocessor/plink?id=fa13b3c0-4fe2-339d-891e-bd217af17eee</t>
  </si>
  <si>
    <t>Breast Neoplasms diagnosis,Breast Neoplasms therapy,Machine Learning,Artificial Intelligence trends,Humans,Female,Early Detection of Cancer methods,Mammography methods</t>
  </si>
  <si>
    <t>Breast cancer (Tokyo, Japan)</t>
  </si>
  <si>
    <t>Health text simplification: An annotated corpus for digestive cancer education and novel strategies for reinforcement learning</t>
  </si>
  <si>
    <t>Objective: The reading level of health educational materials significantly influences the understandability and accessibility of the information, particularly for minoritized populations. Many patient educational resources surpass widely accepted standards for reading level and complexity. There is a critical need for high-performing text simplification models for health information to enhance dissemination and literacy. This need is particularly acute in cancer education, where effective prevention and screening education can substantially reduce morbidity and mortality. Methods: We introduce Simplified Digestive Cancer (SimpleDC), a parallel corpus of cancer education materials tailored for health text simplification research, comprising educational content from the American Cancer Society, Centers for Disease Control and Prevention, and National Cancer Institute. The corpus includes 31 web pages with the corresponding manually simplified versions. It consists of 1183 annotated sentence pairs (361 train, 294 development, and 528 test). Utilizing SimpleDC and the existing Med-EASi corpus, we explore Large Language Model (LLM)-based simplification methods, including fine-tuning, reinforcement learning (RL), reinforcement learning with human feedback (RLHF), domain adaptation, and prompt-based approaches. Our experimentation encompasses Llama 2, Llama 3, and GPT-4. We introduce a novel RLHF reward function featuring a lightweight model adept at distinguishing between original and simplified texts when enables training on unlabeled data. Results: Fine-tuned Llama models demonstrated high performance across various metrics. Our RLHF reward function outperformed existing RL text simplification reward functions. The results underscore that RL/RLHF can achieve performance comparable to fine-tuning and improve the performance of fine-tuned models. Additionally, these methods effectively adapt out-of-domain text simplification models to a target domain. The best-performing RL-enhanced Llama models outperformed GPT-4 in both automatic metrics and manual evaluation by subject matter experts. Conclusion: The newly developed SimpleDC corpus will serve as a valuable asset to the research community, particularly in patient education simplification. The RL/RLHF methodologies presented herein enable effective training of simplification models on unlabeled text and the utilization of out-of-domain simplification corpora. © 2024 Elsevier Inc.</t>
  </si>
  <si>
    <t>Rahman,M.M.,Irbaz,M.S.,North,K.,Williams,M.S.,Zampieri,M.,Lybarger,K.</t>
  </si>
  <si>
    <t>https://www.scopus.com/inward/record.uri?eid=2-s2.0-85204221790&amp;doi=10.1016%2Fj.jbi.2024.104727&amp;partnerID=40&amp;md5=86bab4ca2296a63f179026fedb985d6b</t>
  </si>
  <si>
    <t>Health literacy,Large language models,Text simplification</t>
  </si>
  <si>
    <t>Health-exploring complexity: an interdisciplinary systems approach HEC 2016: 28 August-2 September 2016, Munich, Germany.</t>
  </si>
  <si>
    <t>Grill Eva,Müller Martin,Mansmann Ulrich</t>
  </si>
  <si>
    <t>https://research.ebsco.com/linkprocessor/plink?id=68ae1c72-b495-3f62-9c50-e9bf61652055</t>
  </si>
  <si>
    <t>European journal of epidemiology</t>
  </si>
  <si>
    <t>Health-related quality of life outcomes from a contemporary prostate cancer registry in a large diverse population.</t>
  </si>
  <si>
    <t>To assess the health-related quality of life (HRQoL) of patients with prostate cancer up to 24 months after treatment in a contemporary large diverse population.</t>
  </si>
  <si>
    <t>Chien Gary W,Slezak Jeff M,Harrison Teresa N,Jung Howard,Gelfond Joy S,Zheng Chengyi,Wu Edward,Contreras Richard,Loo Ronald K,Jacobsen Steven J</t>
  </si>
  <si>
    <t>https://research.ebsco.com/linkprocessor/plink?id=ed2aa122-e5b8-34c8-bbe5-95ee972a5698</t>
  </si>
  <si>
    <t>Prostate-Specific Antigen blood,Prostatic Neoplasms psychology,Prostatic Neoplasms therapy,Quality of Life,Age Factors,Aged,Brachytherapy adverse effects,Brachytherapy methods,California,Cohort Studies,Follow-Up Studies,Humans,Male,Middle Aged,Neoplasm Grading,Prostatectomy adverse effects,Prostatectomy methods,Prostatic Neoplasms mortality,Prostatic Neoplasms pathology,Registries,Retrospective Studies,Risk Assessment,Robotic Surgical Procedures adverse effects,Robotic Surgical Procedures methods,Survival Rate,Treatment Outcome,Watchful Waiting</t>
  </si>
  <si>
    <t>Hepatocellular Carcinoma in Metabolic Dysfunction-Associated Steatotic Liver Disease</t>
  </si>
  <si>
    <t>Importance: In the US, hepatocellular carcinoma (HCC) has been the most rapidly increasing cancer since 1980, and metabolic dysfunction-associated steatotic liver disease (MASLD) is expected to soon become the leading cause of HCC. Objective: To develop a prediction model for HCC incidence in a cohort of patients with MASLD. Design, Setting, and Participants: This prognostic study was conducted among patients aged at least 18 years with MASLD, identified using diagnosis of MASLD using International Classification of Diseases, Ninth Revision (ICD-9) or International Statistical Classification of Diseases and Related Health Problems, Tenth Revision (ICD-10) diagnosis codes; natural language processing of radiology imaging report text, which identified patients who had imaging evidence of MASLD but had not been formally diagnosed; or the Dallas Steatosis Index, a risk equation that identifies individuals likely to have MASLD with good precision. Patients were enrolled from Kaiser Permanente Northern California, an integrated health delivery system with more than 4.6 million members, with study entry between January 2009 and December 2018, and follow-up until HCC development, death, or study termination on September 30, 2021. Statistical analysis was performed during February 2023 and January 2024. Exposure: Data were extracted from the electronic health record and included 18 routinely measured factors associated with MASLD. Main Outcome and Measures: The cohort was split (70:30) into derivation and internal validation sets; extreme gradient boosting was used to model HCC incidence. HCC risk was divided into 3 categories, with the cumulative estimated probability of HCC 0.05% or less classified as low risk; 0.05% to 0.09%, medium risk; and 0.1% or greater, high risk. Results: A total of 1811461 patients (median age [IQR] at baseline, 52 [41-63] years; 982300 [54.2%] female) participated in the study. During a median (range) follow-up of 9.3 (5.8-12.4) years, 946 patients developed HCC, for an incidence rate of 0.065 per 1000 person-years. The model achieved an area under the curve of 0.899 (95% CI, 0.882-0.916) in the validation set. At the medium-risk threshold, the model had a sensitivity of 87.5%, specificity of 81.4%, and a number needed to screen of 406. At the high-risk threshold, the model had a sensitivity of 78.4%, a specificity of 90.1%, and a number needed to screen of 241. Conclusions and Relevance: This prognostic study of more than 1.8 million patients with MASLD used electronic health record data to develop a prediction model to discriminate between individuals with and without incident HCC with good precision. This model could serve as a starting point to identify patients with MASLD who may need intervention and/or HCC surveillance. © 2024 Rodriguez LA et al. JAMA Network Open.</t>
  </si>
  <si>
    <t>Rodriguez,L.A.,Schmittdiel,J.A.,Liu,L.,MacDonald,B.A.,Balasubramanian,S.,Chai,K.P.,Seo,S.I.,Mukhtar,N.,Levin,T.R.,Saxena,V.</t>
  </si>
  <si>
    <t>https://www.scopus.com/inward/record.uri?eid=2-s2.0-85198454955&amp;doi=10.1001%2Fjamanetworkopen.2024.21019&amp;partnerID=40&amp;md5=9a21d989c2e6f82aca965deccfb478d2</t>
  </si>
  <si>
    <t>Hospital discharge records as data source to monitor epidemiologic indicators of hematologic malignancies in Abruzzo</t>
  </si>
  <si>
    <t>Purpose: To test the feasibility of using hospital discharge records (HDR) to monitor frequency indicators of hematologic malignancies (HM) in Abruzzo, an Italian region without a cancer registry. Methods: Hospital discharge records contain a primary diagnosis field for principal disease and 5 secondary diagnosis fields for other diseases related or not to the principal diagnosis. In order to build patient indicators of HM-non- Hodgkin lymphoma (NHL), Hodgkin lymphoma (HL), multiple myeloma (MM), and leukemia (acute lymphoblastic leukemia [ALL], chronic lymphoid leukemia [CLL], acute myeloid leukemia [AML], and chronic myeloid leukemia [CML])-residents with first ICD-9-CM code 200-208 in any HDR field, or only in primary field, were identified. Results: Among 3,955 patients with first diagnosis of HM registered in primary or secondary fields of HDR in the 2009-2013 period, and never recognized in 2005-2008 (791/year) (60.5/100,000), patients with first HM only in primary field were 2,304 (461/year) (35.2/100,000): 42% were NHL, 34% leukemia, 16% MM, 8% HL. Patient percentage of 461/791/year (58%) (64% among ordinary HDR and 49% in day-hospital HDR) was 35% for CLL (28/81), 47% for MM (74/152), 50% for CML (16/32), 57% for HL (36/63), 62% for NHL (194/314), and 82% for ALL (18/22) and AML (64/78). Conclusions: Applying the cancer registries national rate, expected new diagnoses of HM in Abruzzo are about 620/year (46.4/100,000), compared to HDR estimates of 461 and 791/year (primary/all diagnoses fields: 58%). Since this percentage varies between 35% and 82%, our findings on the 2 methods seem useful for a validation process in the starting Cancer Registry © 2016 The Authors.</t>
  </si>
  <si>
    <t>Vitullo,F.,Biagio,K.D.,Murgano,A.,Bartolomeo,P.D.</t>
  </si>
  <si>
    <t>https://www.scopus.com/inward/record.uri?eid=2-s2.0-84977669142&amp;doi=10.5301%2Ftj.5000472&amp;partnerID=40&amp;md5=6549129d6d0eb57dd9cdcfd837f33204</t>
  </si>
  <si>
    <t>Cancer registry,Epidemiologic monitoring,Hematologic malignancies,Hospital discharge databases</t>
  </si>
  <si>
    <t>Tumori</t>
  </si>
  <si>
    <t>Housing assistance among patients with cancer: SEER-Medicare US Department of Housing and Urban Development data linkage</t>
  </si>
  <si>
    <t>Background: Lack of stable, affordable housing is an important social determinant of health. Federal housing assistance may buffer against housing vulnerabilities among low-income households, but research examining the association of housing assistance and cancer care has been limited. We introduce a new linkage of Surveillance, Epidemiology, and End Results (SEER) program-Medicare and US Department of Housing and Urban Development (HUD) administrative data. Methods: Individuals enrolled in HUD public and assisted housing programs between 2006 and 2021 were linked with cancer diagnoses between 2006 and 2019 identified in the SEER-Medicare data from 16 states using Match*Pro (National Institutes of Health, Bethesda, MD) probabilistic linkage software. HUD administrative data include timing and type of housing assistance as well as verified household income. Medicare administrative data are available through 2020. Results: A total of 335 490 unique individuals who received housing assistance at any time point, including 156 794 who received housing assistance around the time of their diagnosis (at least 6 months before diagnosis until 6 months after diagnosis or death), were matched to SEER-Medicare data. A total of 63 251 individuals receiving housing assistance at the time of their diagnosis were aged 66 years and older and continuously enrolled in Medicare parts A and B fee for service; 12 035 had a diagnosis of lung cancer, 8866 of breast cancer, 7261 of colorectal cancer, and 4703 of prostate cancer. Conclusions: This novel data linkage will be available through the National Cancer Institute and can be used to explore the ways in which housing assistance is associated with cancer diagnosis, care, and outcomes, including the role of housing assistance status in potentially reducing or contributing to inequities across racialized and ethnic groups. © 2024 Oxford University Press. All rights reserved.</t>
  </si>
  <si>
    <t>Pollack,C.E.,Garrison,V.,Johnson,T.,Blackford,A.L.,Banks,B.,Howe,W.,Yabroff,K.R.,Enewold,L.</t>
  </si>
  <si>
    <t>https://www.scopus.com/inward/record.uri?eid=2-s2.0-85201029213&amp;doi=10.1093%2Fjnci%2Fdjae082&amp;partnerID=40&amp;md5=419923346a66e72b09724b97564746fc</t>
  </si>
  <si>
    <t>Journal of the National Cancer Institute</t>
  </si>
  <si>
    <t>How reliable are surgeon-reported data? A comparison of the British Association of Urological Surgeons radical prostatectomy audit with the National Prostate Cancer Audit Hospital Episode Statistics-linked database.</t>
  </si>
  <si>
    <t>To evaluate the accuracy and completeness of surgeon-reported radical prostatectomy outcome data across a national health system by comparison with a national dataset gathered independently from clinicians directly involved in patient care.</t>
  </si>
  <si>
    <t>Aning Jonathan J,Parry Matthew G,van der Meulen Jan,Fowler Sarah,Payne Heather,McGrath John S,Challacombe Ben,Clarke Noel W,BAUS Section of Oncology the National Prostate Cancer Audit</t>
  </si>
  <si>
    <t>https://research.ebsco.com/linkprocessor/plink?id=95ff35b2-1ea9-3f8a-8edb-719f772c2397</t>
  </si>
  <si>
    <t>United Kingdom,Databases, Factual,Medical Audit statistics &amp; numerical data,Prostatectomy,Prostatic Neoplasms surgery,Research Design statistics &amp; numerical data,Urology,Hospitals,Humans,Male,Reproducibility of Results,Retrospective Studies,Treatment Outcome,United Kingdom</t>
  </si>
  <si>
    <t>How Timely Is Diagnosis of Lung Cancer? Cohort Study of Individuals with Lung Cancer Presenting in Ambulatory Care in the United States.</t>
  </si>
  <si>
    <t>Simple Summary: Lung cancer is the most common cause of cancer related death in the US, but survival is far better when people are diagnosed at an earlier stage. There are currently no clinical quality measures that are routinely used to measure the quality or timeliness of diagnosis of lung cancer in the US. We used Natural Language Processing (NLP) to extract information on the symptoms and signs that had been recorded in the electronic medical records of patients presenting in ambulatory care over the 2 years prior to their diagnosis with lung cancer. We found that the time from the first recorded symptoms/signs associated with lung cancer to diagnosis was 570 days. The time intervals from chest CT or chest X-ray imaging to diagnosis, and from specialist consultation to diagnosis were shorter—at 43 and 72 days, respectively. Advanced techniques such as NLP can be used to extract detailed information from electronic medical records, that could potentially be used to create clinical quality measures with the goal of improving the timeliness of diagnosis of this cancer. The diagnosis of lung cancer in ambulatory settings is often challenging due to non-specific clinical presentation, but there are currently no clinical quality measures (CQMs) in the United States used to identify areas for practice improvement in diagnosis. We describe the pre-diagnostic time intervals among a retrospective cohort of 711 patients identified with primary lung cancer from 2012–2019 from ambulatory care clinics in Seattle, Washington USA. Electronic health record data were extracted for two years prior to diagnosis, and Natural Language Processing (NLP) applied to identify symptoms/signs from free text clinical fields. Time points were defined for initial symptomatic presentation, chest imaging, specialist consultation, diagnostic confirmation, and treatment initiation. Median and interquartile ranges (IQR) were calculated for intervals spanning these time points. The mean age of the cohort was 67.3 years, 54.1% had Stage III or IV disease and the majority were diagnosed after clinical presentation (94.5%) rather than screening (5.5%). Median intervals from first recorded symptoms/signs to diagnosis was 570 days (IQR 273–691), from chest CT or chest X-ray imaging to diagnosis 43 days (IQR 11–240), specialist consultation to diagnosis 72 days (IQR 13–456), and from diagnosis to treatment initiation 7 days (IQR 0–36). Symptoms/signs associated with lung cancer can be identified over a year prior to diagnosis using NLP, highlighting the need for CQMs to improve timeliness of diagnosis.</t>
  </si>
  <si>
    <t>Zigman Suchsland Monica,Kowalski Lesleigh,Burkhardt Hannah A.,Prado Maria G.,Kessler Larry G.,Yetisgen Meliha,Au Maggie A.,Stephens Kari A.,Farjah Farhood,Schleyer Anneliese M.,Walter Fiona M.,Neal Richard D.,Lybarger Kevin,Thompson Caroline A.,Achkar Morhaf Al,Sarma Elizabeth A.,Turner Grace,Thompson Matthew</t>
  </si>
  <si>
    <t>https://research.ebsco.com/linkprocessor/plink?id=3152a9ab-2027-349a-b809-e8d16cdb8e8f</t>
  </si>
  <si>
    <t>Outpatient medical care,Chest X rays,Time,Natural language processing,Lung tumors,Acquisition of data,Cancer patients,T-test (Statistics),Quality assurance,Medical records,Descriptive statistics,Chi-squared test,Computed tomography,Computer-aided diagnosis,Data analysis software,Longitudinal method,United States,Washington (State),Community health centres,All Other Outpatient Care Centers,All other out-patient care centres,Irradiation Apparatus Manufacturing</t>
  </si>
  <si>
    <t>How to establish and sustain a disease registry: insights from a qualitative study of six disease registries in the UK.</t>
  </si>
  <si>
    <t>Declarations. Ethical approval and consent to participate: Ethical approval for this study was granted by the Research Ethics Committee at the London School of Hygiene &amp; Tropical Medicine (Ref. 28096). Participation in the study was entirely voluntary and participants were free to withdraw at any time without having to give a reason. We used a two-stage consent process. Potential participants were emailed an information sheet as part of the recruitment process and provided written informed consent for the interviews to be recorded and transcribed verbatim, and for quotations to be used in any publications stemming from the study before taking part in an interview. Verbal consent was also sought at the start of the interview to confirm they were happy for the interview to be recorded and to answer any remaining questions. Consent for publication: Not applicable. Competing interests: The authors declare no competing interests.</t>
  </si>
  <si>
    <t>Stubbs Edmund,Exley Josephine,Wittenberg Raphael,Mays Nicholas</t>
  </si>
  <si>
    <t>https://research.ebsco.com/linkprocessor/plink?id=31bf8972-6432-329b-8b16-fa45f218d0af</t>
  </si>
  <si>
    <t>United Kingdom,Registries,COVID-19 epidemiology,Qualitative Research,Humans,United Kingdom,Chronic Disease</t>
  </si>
  <si>
    <t>Hybrid and Deep Learning Approach for Early Diagnosis of Lower Gastrointestinal Diseases.</t>
  </si>
  <si>
    <t>Every year, nearly two million people die as a result of gastrointestinal (GI) disorders. Lower gastrointestinal tract tumors are one of the leading causes of death worldwide. Thus, early detection of the type of tumor is of great importance in the survival of patients. Additionally, removing benign tumors in their early stages has more risks than benefits. Video endoscopy technology is essential for imaging the GI tract and identifying disorders such as bleeding, ulcers, polyps, and malignant tumors. Videography generates 5000 frames, which require extensive analysis and take a long time to follow all frames. Thus, artificial intelligence techniques, which have a higher ability to diagnose and assist physicians in making accurate diagnostic decisions, solve these challenges. In this study, many multi-methodologies were developed, where the work was divided into four proposed systems; each system has more than one diagnostic method. The first proposed system utilizes artificial neural networks (ANN) and feed-forward neural networks (FFNN) algorithms based on extracting hybrid features by three algorithms: local binary pattern (LBP), gray level co-occurrence matrix (GLCM), and fuzzy color histogram (FCH) algorithms. The second proposed system uses pre-trained CNN models which are the GoogLeNet and AlexNet based on the extraction of deep feature maps and their classification with high accuracy. The third proposed method uses hybrid techniques consisting of two blocks: the first block of CNN models (GoogLeNet and AlexNet) to extract feature maps; the second block is the support vector machine (SVM) algorithm for classifying deep feature maps. The fourth proposed system uses ANN and FFNN based on the hybrid features between CNN models (GoogLeNet and AlexNet) and LBP, GLCM and FCH algorithms. All the proposed systems achieved superior results in diagnosing endoscopic images for the early detection of lower gastrointestinal diseases. All systems produced promising results; the FFNN classifier based on the hybrid features extracted by GoogLeNet, LBP, GLCM and FCH achieved an accuracy of 99.3%, precision of 99.2%, sensitivity of 99%, specificity of 100%, and AUC of 99.87%.</t>
  </si>
  <si>
    <t>Fati Suliman Mohamed,Senan Ebrahim Mohammed,Azar Ahmad Taher</t>
  </si>
  <si>
    <t>https://research.ebsco.com/linkprocessor/plink?id=fd48960a-fae1-3d64-b782-1c049c2614a5</t>
  </si>
  <si>
    <t>Identification of patients with congenital hemophilia in a large electronic health record database.</t>
  </si>
  <si>
    <t>Background: Electronic health records (EHRs) are an important source of information with regard to diagnosis and treatment of rare health conditions, such as congenital hemophilia, a bleeding disorder characterized by deficiency of factor VIII (FVIII) or factor IX (FIX). Objective: To identify patients with congenital hemophilia using EHRs. Design: An EHR database study. Setting: EHRs were accessed from Humedica between January 1, 2007, and July 31, 2013. Patients: Selection criteria were applied for an initial ICD-9-CM diagnosis of 286.0 (hemophilia A) or 286.1 (hemophilia B), and confirmation of records 6 months before and 12 months after the first diagnosis. Additional selection criteria included mention of "hemophilia" and "blood" or "bleed" within physician notes identified via natural language processing. Results: A total of 129 males and 35 females were identified as the analysis population. Of those patients for whom both prothrombin time and activated partial thromboplastin time test results were available, only 56% of males and 7% of females exhibited a pattern of test results consistent with congenital hemophilia (normal prothrombin time and prolonged activated partial thromboplastin time). Few patients had a prescription for a hemophilia treatment; males most commonly received Amicar (10.8%) or FVIII (9.0%), whereas females most commonly received DDAVP (11.0%). The most identifiable sites of pain were the chest and the abdomen; 41% of males and 37% of females had joint pain. To evaluate whether patients had been correctly identified with congenital hemophilia, EHRs of 6 patients were reviewed; detailed assessment of their data was found to be inconsistent with a conclusive diagnosis of congenital hemophilia. Limitations: Inconsistent coding practices may affect data integrity. Conclusion: A potentially high number of false positive identifications, particularly among female patients, suggests that ICD-9-CM coding alone may be insufficient to identify patient cohorts. In-depth reviews and multimodal analysis of chart notes may improve data integrity.</t>
  </si>
  <si>
    <t>Wang Michael,Cyhaniuk Anissa,Cooper David L.,Iyer Neeraj N.</t>
  </si>
  <si>
    <t>https://research.ebsco.com/linkprocessor/plink?id=5f53b02c-7fbc-3f5b-8cf2-452f5a5975b8</t>
  </si>
  <si>
    <t>Journal of Blood Medicine</t>
  </si>
  <si>
    <t>Identification of potential carcinogenic and chemopreventive effects of prescription drugs: A protocol for a Norwegian registry-based study</t>
  </si>
  <si>
    <t>Introduction Surveillance of unintended effects of pharmaceuticals (pharmacovigilance or drug safety) is crucial, as knowledge of rare or late side effects is limited at the time of the introduction of new medications into the market. Side effects of drugs may involve increased or decreased risk of cancer, but these typically appear after a long induction period. This fact, together with low incidences of many cancer types, limits the usefulness of traditional pharmacovigilance strategies, primarily based on spontaneous reporting of adverse events, to identify associations between drug use and cancer risk. Postmarketing observational pharmacoepidemiological studies are therefore crucial in the evaluation of drug-cancer associations. Methods and analysis The main data sources in this project will be the Norwegian Prescription Database and the Cancer Registry of Norway. The underlying statistical model will be based on a multiple nested case-control design including all adult (∼200 000) incident cancer cases within the age-range 18-85 years from 2007 through 2015 in Norway as cases. 10 cancer-free population controls will be individually matched to these cases with respect to birth year, sex and index date (date of cancer diagnosis). Drug exposure will be modelled as chronic user/non-user by counting prescriptions, and cumulative use by summarising all dispensions' daily defined doses over time. Conditional logistic regression models adjusted for comorbidity (National Patient Register), socioeconomic parameters (Statistics Norway), concomitant drug use and, for female cancers, reproduction data (Medical Birth Registry), will be applied to identify drug-use-cancer-risk associations. Ethics and dissemination The study is approved by the regional ethical committee and the Norwegian data protection authority. Results of the initial screening step and analysis pipeline will be described in a key paper. Subsequent papers will report the evaluation of identified signals in replication studies. Results will be published in peer-reviewed journals, at scientific conferences and through press releases. © Author(s) (or their employer(s)) 2019. Re-use permitted under CC BY-NC. No commercial re-use. See rights and permissions. Published by BMJ.</t>
  </si>
  <si>
    <t>Andreassen,B.K.,Støer,N.C.,Martinsen,J.I.,Ursin,G.,Weiderpass,E.,Thoresen,G.H.,Debernard,K.B.,Karlstad,O.,Pottegård,A.,Friis,Sø.</t>
  </si>
  <si>
    <t>https://www.scopus.com/inward/record.uri?eid=2-s2.0-85064383910&amp;doi=10.1136%2Fbmjopen-2018-028504&amp;partnerID=40&amp;md5=81a5b1ac709edd8f3280958ac7ecdefc</t>
  </si>
  <si>
    <t>cancer risk,drug safety,pharmacoepidemiology</t>
  </si>
  <si>
    <t>Identification of Prognostic and Chemopredictive microRNAs for Non-Small-Cell Lung Cancer by Integrating SEER-Medicare Data.</t>
  </si>
  <si>
    <t>This study developed a novel methodology to correlate genome-scale microRNA (miRNA) expression profiles in a lung squamous cell carcinoma (LUSC) cohort (n = 57) with Surveillance, Epidemiology, and End Results (SEER)-Medicare LUSC patients (n = 33,897) as a function of composite tumor progression indicators of T, N, and M cancer stage and tumor grade. The selected prognostic and chemopredictive miRNAs were extensively validated with miRNA expression profiles of non-small-cell lung cancer (NSCLC) patient samples collected from US hospitals (n = 156) and public consortia including NCI-60, The Cancer Genome Atlas (TCGA; n = 1016), and Cancer Cell Line Encyclopedia (CCLE; n = 117). Hsa-miR-142-3p was associated with good prognosis and chemosensitivity in all the studied datasets. Hsa-miRNA-142-3p target genes (NUP205, RAN, CSE1L, SNRPD1, RPS11, SF3B1, COPA, ARCN1, and SNRNP200) had a significant impact on proliferation in 100% of the tested NSCLC cell lines in CRISPR-Cas9 (n = 78) and RNA interference (RNAi) screening (n = 92). Hsa-miR-142-3p-mediated pathways and functional networks in NSCLC short-term survivors were elucidated. Overall, the approach integrating SEER-Medicare data with comprehensive external validation can identify miRNAs with consistent expression patterns in tumor progression, with potential implications for prognosis and prediction of chemoresponse in large NSCLC patient populations.</t>
  </si>
  <si>
    <t>Ye Qing,Putila Joseph,Raese Rebecca,Dong Chunlin,Qian Yong,Dowlati Afshin,Guo Nancy Lan</t>
  </si>
  <si>
    <t>https://research.ebsco.com/linkprocessor/plink?id=21da3e33-c6bd-34d2-9975-b97a8fcedaf9</t>
  </si>
  <si>
    <t>Non-small-cell lung carcinoma,Progression-free survival,MicroRNA,Prognosis,Squamous cell carcinoma,Cancer invasiveness,Lungs</t>
  </si>
  <si>
    <t>International Journal of Molecular Sciences</t>
  </si>
  <si>
    <t>Identifying cancer patients who received palliative care using the SPICT-LIS in medical records: a rule-based algorithm and text-mining technique</t>
  </si>
  <si>
    <t>Background Due to limited numbers of palliative care specialists and/or resources, accessing palliative care remains limited in many low and middle-income countries. Data science methods, such as rule-based algorithms and text mining, have potential to improve palliative care by facilitating analysis of electronic healthcare records. This study aimed to develop and evaluate a rule-based algorithm for identifying cancer patients who may benefit from palliative care based on the Thai version of the Supportive and Palliative Care Indicators for a Low-Income Setting (SPICT-LIS) criteria.Methods The medical records of 14,363 cancer patients aged 18 years and older, diagnosed between 2016 and 2020 at Songklanagarind Hospital, were analyzed. Two rule-based algorithms, strict and relaxed, were designed to identify key SPICT-LIS indicators in the electronic medical records using tokenization and sentiment analysis. The inter-rater reliability between these two algorithms and palliative care physicians was assessed using percentage agreement and Cohen's kappa coefficient. Additionally, factors associated with patients might be given palliative care as they will benefit from it were examined.Results The strict rule-based algorithm demonstrated a high degree of accuracy, with 95% agreement and Cohen's kappa coefficient of 0.83. In contrast, the relaxed rule-based algorithm demonstrated a lower agreement (71% agreement and Cohen's kappa of 0.16). Advanced-stage cancer with symptoms such as pain, dyspnea, edema, delirium, xerostomia, and anorexia were identified as significant predictors of potentially benefiting from palliative care.Conclusion The integration of rule-based algorithms with electronic medical records offers a promising method for enhancing the timely and accurate identification of patients with cancer might benefit from palliative care.</t>
  </si>
  <si>
    <t>Limsomwong P,Ingviya T,Fumaneeshoat O</t>
  </si>
  <si>
    <t>https://www.webofscience.com/wos/woscc/full-record/WOS:001195149400003</t>
  </si>
  <si>
    <t>Palliative care; cancer patients; Rule-based algorithm; SPICT-LIS criteria; Text-mining techniques</t>
  </si>
  <si>
    <t>BMC PALLIATIVE CARE</t>
  </si>
  <si>
    <t>Identifying Cases of Metastatic Prostate Cancer Using Machine Learning on Electronic Health Records</t>
  </si>
  <si>
    <t>Cancer stage is rarely captured in structured form in the electronic health record (EHR). We evaluate the performance of a classifier, trained on structured EHR data, in identifying prostate cancer patients with metastatic disease. Using EHR data for a cohort of 5,861 prostate cancer patients mapped to the Observational Health Data Sciences and Informatics (OHDSI) data model, we constructed feature vectors containing frequency counts of conditions, procedures, medications, observations and laboratory values. Staging information from the California Cancer Registry was used as the ground-truth. For identifying patients with metastatic disease, a random forest model achieved precision and recall of 0.90, 0.40 using data within 12 months of diagnosis. This compared to precision 0.33, recall 0.54 for an ICD code-based query. High-precision classifiers using hundreds of structured data elements significantly outperform ICD queries, and may assist in identifying cohorts for observational research or clinical trial matching.</t>
  </si>
  <si>
    <t>Seneviratne,M.G.,Banda,J.M.,Brooks,J.D.,Shah,N.H.,Hernandez-Boussard,T.</t>
  </si>
  <si>
    <t>https://www.scopus.com/inward/record.uri?eid=2-s2.0-85062378731&amp;partnerID=40&amp;md5=39f56ede674b4c495ed6c621acd53678</t>
  </si>
  <si>
    <t>AMIA Annual Symposium proceedings</t>
  </si>
  <si>
    <t>Identifying cirrhosis, decompensated cirrhosis and hepatocellular carcinoma in health administrative data: A validation study.</t>
  </si>
  <si>
    <t>Background: To evaluate screening and treatment strategies, large-scale real-world data on liver disease-related outcomes are needed. We sought to validate health administrative data for identification of cirrhosis, decompensated cirrhosis and hepatocellular carcinoma among patients with known liver disease. Methods: Primary patient data were abstracted from patients of the Toronto Center for Liver Disease with viral hepatitis (2006–2014), and all patients with liver disease from the Kingston Health Sciences Centre Hepatology Clinic (2013). We linked clinical information to health administrative data and tested a range of coding algorithms against the clinical reference standard. Results: A total of 6,714 patients had primary chart data abstracted. A single physician visit code for cirrhosis was sensitive (98–99%), and a single hospital diagnostic code for cirrhosis was specific (91–96%). The most sensitive algorithm for decompensated cirrhosis was one cirrhosis code with any of: a hospital diagnostic code, death code, or procedure code for decompensation (range 88–99% across groups). The most specific was one cirrhosis code and one hospital diagnostic code (range 89–98% across groups). Two physician visit codes or a single hospital diagnostic code, death code, or procedure code combined with a code for cirrhosis were sensitive and specific for hepatocellular carcinoma (sensitivity 94–96%, specificity 93–98%). Conclusion: These sensitive and specific algorithms can be used to define patient cohorts or detect clinical outcomes using health administrative data. Our results will facilitate research into the adequacy of screening and treatment for patients with chronic viral hepatitis or other liver diseases.</t>
  </si>
  <si>
    <t>Lapointe-Shaw Lauren,Georgie Firass,Carlone David,Cerocchi Orlando,Chung Hannah,Dewit Yvonne,Feld Jordan J.,Holder Laura,Kwong Jeffrey C.,Sander Beate,Flemming Jennifer A.</t>
  </si>
  <si>
    <t>https://research.ebsco.com/linkprocessor/plink?id=80407323-7d6d-3af8-abc5-b91fae72d3cd</t>
  </si>
  <si>
    <t>Cirrhosis of the liver,Treatment of cirrhosis of the liver,Liver diseases,Viral hepatitis,Diagnosis,Therapeutics</t>
  </si>
  <si>
    <t>Identifying clusters of people with Multiple Long-Term Conditions using Large Language Models: a population-based study.</t>
  </si>
  <si>
    <t>Competing interests: The authors declare no competing interests.</t>
  </si>
  <si>
    <t>Smith Alexander,Beaney Thomas,Hockham Carinna,Su Bowen,Elliott Paul,Downey Laura,Denaxas Spiros,Barnaghi Payam,Dehghan Abbas,Tzoulaki Ioanna</t>
  </si>
  <si>
    <t>https://research.ebsco.com/linkprocessor/plink?id=32a969b7-0022-3333-bec5-8749bce92ca5</t>
  </si>
  <si>
    <t>NPJ digital medicine</t>
  </si>
  <si>
    <t>Identifying False Human Papillomavirus (HPV) Vaccine Information and Corresponding Risk Perceptions From Twitter: Advanced Predictive Models.</t>
  </si>
  <si>
    <t>The vaccination uptake rates of the human papillomavirus (HPV) vaccine remain low despite the fact that the effectiveness of HPV vaccines has been established for more than a decade. Vaccine hesitancy is in part due to false information about HPV vaccines on social media. Combating false HPV vaccine information is a reasonable step to addressing vaccine hesitancy.</t>
  </si>
  <si>
    <t>Tomaszewski Tre,Morales Alex,Lourentzou Ismini,Caskey Rachel,Liu Bing,Schwartz Alan,Chin Jessie</t>
  </si>
  <si>
    <t>https://research.ebsco.com/linkprocessor/plink?id=28f79f85-de34-37b7-8112-e7befe5b0b89</t>
  </si>
  <si>
    <t>Papillomavirus Infections prevention &amp; control,Papillomavirus Vaccines,Social Media,Humans,Perception,Vaccination</t>
  </si>
  <si>
    <t>Identifying Symptoms Prior to Pancreatic Ductal Adenocarcinoma Diagnosis in Real-World Care Settings: Natural Language Processing Approach.</t>
  </si>
  <si>
    <t>Background: Pancreatic cancer is the third leading cause of cancer deaths in the United States. Pancreatic ductal adenocarcinoma (PDAC) is the most common form of pancreatic cancer, accounting for up to 90% of all cases. Patient-reported symptoms are often the triggers of cancer diagnosis and therefore, understanding the PDAC-associated symptoms and the timing of symptom onset could facilitate early detection of PDAC. Objective: This paper aims to develop a natural language processing (NLP) algorithm to capture symptoms associated with PDAC from clinical notes within a large integrated health care system. Methods: We used unstructured data within 2 years prior to PDAC diagnosis between 2010 and 2019 and among matched patients without PDAC to identify 17 PDAC-related symptoms. Related terms and phrases were first compiled from publicly available resources and then recursively reviewed and enriched with input from clinicians and chart review. A computerized NLP algorithm was iteratively developed and fine-trained via multiple rounds of chart review followed by adjudication. Finally, the developed algorithm was applied to the validation data set to assess performance and to the study implementation notes. Results: A total of 408,147 and 709,789 notes were retrieved from 2611 patients with PDAC and 10,085 matched patients without PDAC, respectively. In descending order, the symptom distribution of the study implementation notes ranged from 4.98% for abdominal or epigastric pain to 0.05% for upper extremity deep vein thrombosis in the PDAC group, and from 1.75% for back pain to 0.01% for pale stool in the non-PDAC group. Validation of the NLP algorithm against adjudicated chart review results of 1000 notes showed that precision ranged from 98.9% (jaundice) to 84% (upper extremity deep vein thrombosis), recall ranged from 98.1% (weight loss) to 82.8% (epigastric bloating), and F &lt;sub&gt;1&lt;/sub&gt;-scores ranged from 0.97 (jaundice) to 0.86 (depression). Conclusions: The developed and validated NLP algorithm could be used for the early detection of PDAC.</t>
  </si>
  <si>
    <t>Xie Fagen,Chang Jenny,Luong Tiffany,Wu Bechien,Lustigova Eva,Shrader Eva,Chen Wansu</t>
  </si>
  <si>
    <t>https://research.ebsco.com/linkprocessor/plink?id=4c7d3e9a-b081-334d-a971-44e24275558a</t>
  </si>
  <si>
    <t>Natural language processing,Integrated health care delivery,Venous thrombosis,Cancer pain,Pancreatic duct</t>
  </si>
  <si>
    <t>IDWeek Advancing Science, Improving Care 2022 Abstract.</t>
  </si>
  <si>
    <t>https://research.ebsco.com/linkprocessor/plink?id=ab671ad2-e715-37ff-b18d-db4f24812a39</t>
  </si>
  <si>
    <t>Joint infections,Medical personnel,Health facilities,Breakthrough infections,Clinical decision support systems,Catheter-associated urinary tract infections,All Other Outpatient Care Centers</t>
  </si>
  <si>
    <t>Imaging characteristics of interval cancers detected on Full Field Digital Mammography (FFDM) versus Digital Breast Tomosynthesis (DBT)</t>
  </si>
  <si>
    <t>Objective: To compare imaging features of interval cancers detected in patients screened with full field digital mammography (FFDM) versus digital breast tomosynthesis (DBT). Materials/Methods: This retrospective observational study consisted of female patients undergoing screening DM or FFDM at an academic medical center and two outpatient imaging facilities between January 2012 and June 2017. A natural language processing algorithm queried breast imaging reports for breast density and BI-RADS category. This was cross-referenced to an institutional breast cancer registry to identify interval cancers. Retrospective consensus review of the cases was done to categorize imaging features of interval cancers on FFDM vs DBT. Results: The rate of interval cancers was comparable in patients screened with FFDM (30/39793) and DBT (29/32180) (p = 0.58). There was no significant difference in the rate, histopathology, or imaging features of interval cancers in patients screened with FFDM versus DBT. The most common mammographic features on diagnostic imaging across both groups was the presence of a mass (13/47). Almost equally common was negative diagnostic mammogram with mass detected only on ultrasound (11/47). The rate of interval cancers detected by high-risk surveillance breast MRI was increased in patients who previously had screening with DBT relative to those who had screening with FFDM (p = 0.0419). Conclusion: There is no significant difference in rate of detection, histopathology, or imaging features of interval cancers in patients screened with FFDM versus DBT. However, across both cohorts, the most common features on diagnostic mammogram were either the presence of a mass or a negative mammogram. © 2023 Elsevier Inc.</t>
  </si>
  <si>
    <t>Majid,S.Z.,Senapati,G.M.,Lacson,R.,Chikarmane,S.A.,Giesś,C.S.</t>
  </si>
  <si>
    <t>https://www.scopus.com/inward/record.uri?eid=2-s2.0-85182701612&amp;doi=10.1016%2Fj.clinimag.2023.110063&amp;partnerID=40&amp;md5=a9a641f52af21dbd613a182a64efef8a</t>
  </si>
  <si>
    <t>DBT,FFDM,Imaging features,Interval cancers</t>
  </si>
  <si>
    <t>Clinical Imaging</t>
  </si>
  <si>
    <t>Impact and Outcomes of Pretreatment Total Serum Testosterone on Localized Prostate Cancer Patients.</t>
  </si>
  <si>
    <t>Purpose. To investigate how pretreatment testosterone levels correlate with progression-free survival, metastasis-free survival, and overall survival in a propensity-adjusted localized prostate cancer population. Methods. Men diagnosed with clinical NCCN-risk stratified very-low, low, intermediate, high, and/or very-high risk prostate cancer who had a baseline total serum testosterone level≥100 ng/dl measured within the 100 days preceding the first definitive therapy were identified from our prospectively gathered institutional database. Cohorts below (100–239 ng/dl), within (240–593 ng/dl), or above (594 + ng/dl) one standard deviation from the mean testosterone level (416 ng/dl) were used for comparison. Progression-free, metastasis-free, and overall survival were evaluated. A separate cohort of men not receiving ADT was used to evaluate testosterone recovery after various treatment modalities (surgery, external beam radiation, brachytherapy, or combined EBRT + Brachy). Results. There was no statistically significant difference between the low, average, and high testosterone cohorts for PFS, MFS, or OS. In men not using ADT, there were no statistically significant changes in testosterone levels 1 year after therapy, regardless of therapy type. Conclusion. In men with serum testosterone levels &gt;=100 ng/dl at diagnosis, baseline testosterone does not impact PFS, MFS, or OS. Recovery of testosterone back to baseline is expected for men undergoing either surgery, external beam or brachytherapy, or combined modality radiation when not using ADT.</t>
  </si>
  <si>
    <t>Usera Brittni M.,Creveling Polly,Tward Jonathan D.</t>
  </si>
  <si>
    <t>https://research.ebsco.com/linkprocessor/plink?id=90ded386-67f8-35d6-a8c5-6a26e9ad17ea</t>
  </si>
  <si>
    <t>Prostate cancer patients,Testosterone,Castration-resistant prostate cancer,Progression-free survival,Serum,Standard deviations,Prostate cancer,Biological Product (except Diagnostic) Manufacturing</t>
  </si>
  <si>
    <t>Prostate Cancer (20903111)</t>
  </si>
  <si>
    <t>Impact of a FIT Based Colorectal Cancer Screening Program on Gastric Cancer Incidence, Early Diagnosis and Patients' Survival</t>
  </si>
  <si>
    <t>Background and Aims: In countries with an intermediate incidence of gastric cancer (GC), it has been suggested that offering an upper gastrointestinal endoscopy (UGIE) to individuals referred for a screening colonoscopy following a positive result in the fecal immunochemical test (FIT) may be cost-effective. This study was designed to evaluate the impact of a FIT-based screening program on GC incidence, early diagnosis, and mortality. Methods: Population-based retrospective cohort study in northern Portugal. Data on GC cases were retrieved from the Portuguese National Cancer Registry (RON). GC stage at diagnosis (with early stages defined as T1) and net survival estimates were compared between 2014 and 2016 and the first 3 years of the FIT-based screening program (2018–2020), during which 165,967 tests were performed. Results: The odds of GC detection were significantly higher among FIT-positive individuals compared to those with a negative result (OR = 2.87; 95% CI: 1.76–4.49). Of the 10,372 individuals who completed FIT screening and underwent colonoscopy, 51% (n = 5281) also underwent UGIE. The proportion of early-stage diagnoses increased by 14% (95% CI: 12–15), and 3-year net survival improved from 42% (95% CI: 40–43) to 48% (95% CI: 47–50). Discussion: Despite the absence of a formal GC screening program, more than half of FIT-screened individuals who underwent colonoscopy also underwent UGIE. The period following the implementation of FIT-based screening was associated with increased early-stage detection and improved survival. These findings support the potential value of offering UGIE combined with colonoscopy for FIT-positive individuals, at least in regions with intermediate GC incidence. © 2025 John Wiley &amp; Sons Ltd.</t>
  </si>
  <si>
    <t>Silva,J.C.,Leite-Silva,P.,Tavares,F.,Bento,M.J.,Libânio,D.,Dinis-Ribeiro,M.</t>
  </si>
  <si>
    <t>https://www.scopus.com/inward/record.uri?eid=2-s2.0-105015487279&amp;doi=10.1111%2Fhel.70071&amp;partnerID=40&amp;md5=abf7a6757a20f15f72141985e401afc3</t>
  </si>
  <si>
    <t>cancer screening,early detection of cancer,gastric cancer,gastrointestinal endoscopy,preventive medicine</t>
  </si>
  <si>
    <t>Impact of Socioeconomic Deprivation on Care Quality and Surgical Outcomes for Early-Stage Non-Small Cell Lung Cancer in United States Veterans.</t>
  </si>
  <si>
    <t>Simple Summary: Disparities in outcomes for non-small cell lung cancer (NSCLC) may result from socioeconomic factors and variable healthcare access. We sought to examine the impact of area-level socioeconomic deprivation on access to care and outcomes for early-stage NSCLC in United States Veterans. We studied 9704 patients with clinical stage I NSCLC who underwent surgical treatment in the Veterans Health Administration (VHA) between 2006 and 2016 using a uniquely compiled database. Area-level socioeconomic deprivation was not associated with overall survival or cancer recurrence. However, high levels of socioeconomic deprivation were associated with inadequate adherence to care quality measures and increased risk of postoperative readmission. These results suggest that Veterans with high socioeconomic deprivation experience suboptimal access to quality preoperative and postoperative care for early-stage NSCLC but do not have inferior long-term outcomes following surgery. Future VHA policies should aim to provide more equitable guideline-concordant care and reduce postoperative readmission for early-stage NSCLC. Background: Socioeconomic deprivation has been associated with higher lung cancer risk and mortality in non-Veteran populations. However, the impact of socioeconomic deprivation on outcomes for non-small cell lung cancer (NSCLC) in an integrated and equal-access healthcare system, such as the Veterans Health Administration (VHA), remains unclear. Hence, we investigated the impact of area-level socioeconomic deprivation on access to care and postoperative outcomes for early-stage NSCLC in United States Veterans. Methods: We conducted a retrospective cohort study of patients with clinical stage I NSCLC receiving surgical treatment in the VHA between 1 October 2006 and 30 September 2016. A total of 9704 Veterans were included in the study and assigned an area deprivation index (ADI) score, a measure of socioeconomic deprivation incorporating multiple poverty, education, housing, and employment indicators. We used multivariable analyses to evaluate the relationship between ADI and postoperative outcomes as well as adherence to guideline-concordant care quality measures (QMs) for stage I NSCLC in the preoperative (positron emission tomography [PET] imaging, appropriate smoking management, pulmonary function testing [PFT], and timely surgery [≤12 weeks after diagnosis]) and postoperative periods (appropriate surveillance imaging, smoking management, and oncology referral). Results: Compared to Veterans with low socioeconomic deprivation (ADI ≤ 50), those residing in areas with high socioeconomic deprivation (ADI &gt; 75) were less likely to have timely surgery (multivariable-adjusted odds ratio [aOR] 0.832, 95% confidence interval [CI] 0.732–0.945) and receive PET imaging (aOR 0.592, 95% CI 0.502–0.698) and PFT (aOR 0.816, 95% CI 0.694–0.959) prior to surgery. In the postoperative period, Veterans with high socioeconomic deprivation had an increased risk of 30-day readmission (aOR 1.380, 95% CI 1.103–1.726) and decreased odds of meeting all postoperative care QMs (aOR 0.856, 95% CI 0.750–0.978) compared to those with low socioeconomic deprivation. There was no association between ADI and overall survival (adjusted hazard ratio [aHR] 0.984, 95% CI 0.911–1.062) or cumulative incidence of cancer recurrence (aHR 1.047, 95% CI 0.930–1.179). Conclusions: Our results suggest that Veterans with high socioeconomic deprivation have suboptimal adherence to care QMs for stage I NSCLC yet do not have inferior long-term outcomes after curative-intent resection. Collectively, these findings demonstrate the efficacy of an integrated, equal-access healthcare system in mitigating disparities in lung cancer survival that are frequently present in other populations. Future VHA policies should continue to target increasing adherence to QMs and reducing postoperative readmission for socioeconomically disadvantaged Veterans with early-stage NSCLC.</t>
  </si>
  <si>
    <t>Tohmasi Steven,Eaton Jr. Daniel B.,Heiden Brendan T.,Rossetti Nikki E.,Baumann Ana A.,Thomas Theodore S.,Schoen Martin W.,Chang Su-Hsin,Seyoum Nahom,Yan Yan,Patel Mayank R.,Brandt Whitney S.,Meyers Bryan F.,Kozower Benjamin D.,Puri Varun</t>
  </si>
  <si>
    <t>https://research.ebsco.com/linkprocessor/plink?id=8199b0c0-826b-30b4-8f73-b712dc4c6533</t>
  </si>
  <si>
    <t>Health services accessibility,Medical protocols,Pulmonary function tests,Public health surveillance,Medical quality control,Research funding,Medical care of veterans,Cancer relapse,Socioeconomic factors,Smoking,Patient readmissions,Treatment effectiveness,Retrospective studies,Multivariate analysis,Preoperative care,Positron emission tomography,Descriptive statistics,Odds ratio,Veterans,Medical records,Acquisition of data,Lung cancer,Postoperative period,Tumor classification,Housing,Confidence intervals,Health equity,Adverse health care events,Social isolation,Poverty,Educational attainment,Employment,Medical referrals,Overall survival,Disease risk factors,United States,Other Community Housing Services,Diagnostic Imaging Centers,Administration of Veterans' Affairs</t>
  </si>
  <si>
    <t>Impact of the COVID‐19 pandemic on clinical presentation, treatments, and outcomes of new breast cancer patients: A retrospective multicenter cohort study.</t>
  </si>
  <si>
    <t>Background: The SARS CoV‐2 pandemic disrupted healthcare systems. We compared the cancer stage for new breast cancers (BCs) before and during the pandemic. Methods: We performed a retrospective multicenter cohort study on the data warehouse of Greater Paris University Hospitals (AP‐HP). We identified all female patients newly referred with a BC in 2019 and 2020. We assessed the timeline of their care trajectories, initial tumor stage, and treatment received: BC resection, exclusive systemic therapy, exclusive radiation therapy, or exclusive best supportive care (BSC). We calculated patients' 1‐year overall survival (OS) and compared indicators in 2019 and 2020. Results: In 2019 and 2020, 2055 and 1988, new BC patients underwent cancer treatment, and during the two lockdowns, the BC diagnoses varied by −18% and by +23% compared to 2019. De novo metastatic tumors (15% and 15%, p = 0.95), pTNM and ypTNM distributions of 1332 cases with upfront resection and of 296 cases with neoadjuvant therapy did not differ (p = 0.37, p = 0.3). The median times from first multidisciplinary meeting and from diagnosis to treatment of 19 days (interquartile 11–39 days) and 35 days (interquartile 22–65 days) did not differ. Access to plastic surgery (15% and 17%, p = 0.08) and to treatment categories did not vary: tumor resection (73% and 72%), exclusive systemic therapy (13% and 14%), exclusive radiation therapy (9% and 9%), exclusive BSC (5% and 5%) (p = 0.8). Among resected patients, the neoadjuvant therapy rate was lower in 2019 (16%) versus 2020 (20%) (p = 0.02). One‐year OS rates were 99.3% versus 98.9% (HR = 0.96; 95% CI, 0.77–1.2), 72.6% versus 76.6% (HR = 1.28; 95% CI, 0.95–1.72), 96.6% versus 97.8% (HR = 1.09; 95% CI, 0.61–1.94), and 15.5% versus 15.1% (HR = 0.99; 95% CI, 0.72–1.37), in the treatment groups. Conclusions: Despite a decrease in the number of new BCs, there was no tumor stage shift, and OS did not vary.</t>
  </si>
  <si>
    <t>Guével Etienne,Priou Sonia,Lamé Guillaume,Wassermann Johanna,Bey Romain,Uzan Catherine,Chatellier Gilles,Belkacemi Yazid,Tannier Xavier,Guillerm Sophie,Flicoteaux Rémi,Gligorov Joseph,Cohen Ariel,Benderra Marc‐Antoine,Teixeira Luis,Daniel Christel,Hersant Barbara,Tournigand Christophe,Kempf Emmanuelle</t>
  </si>
  <si>
    <t>https://research.ebsco.com/linkprocessor/plink?id=785bd447-f73f-39a2-840f-4c09b4438e4a</t>
  </si>
  <si>
    <t>COVID-19 pandemic,Symptoms,Breast cancer,Cancer patients,Cohort analysis</t>
  </si>
  <si>
    <t>Improving Clinical Registry Data Quality via Linkage With Survival Data From State-Based Population Registries</t>
  </si>
  <si>
    <t>PURPOSE Real-world data (RWD) collected on patients treated as part of routine clinical care form the basis of cancer clinical registries. Capturing accurate death data can be challenging, with inaccurate survival data potentially compromising the integrity of registry-based research. Here, we explore the utility of data linkage (DL) to state-based registries to enhance the capture of survival outcomes. METHODS We identified consecutive adult patients with brain tumors treated in the state of Victoria from the Brain Tumour Registry Australia: Innovation and Translation (BRAIN) database, who had no recorded date of death and no follow-up within the last 6 months. Full name and date of birth were used to match patients in the BRAIN registry with those in the Victorian Births, Deaths and Marriages (BDM) registry. Overall survival (OS) outcomes were compared pre- and post-DL. RESULTS Of the 7,346 clinical registry patients, 5,462 (74%) had no date of death and no follow-up recorded within the last 6 months. Of the 5,462 patients, 1,588 (29%) were matched with a date of death in BDM. Factors associated with an increased number of matches were poor prognosis tumors, older age, and social disadvantage. OS was significantly overestimated pre-DL compared with post-DL for the entire cohort (pre- v post-DL: hazard ratio, 1.43; P &lt; .001; median, 29.9 months v 16.7 months) and for most individual tumor types. This finding was present independent of the tumor prognosis. CONCLUSION As revealed by linkage with BDM, a high proportion of patients in a brain cancer clinical registry had missing death data, contributed to by informative censoring, inflating OS calculations. DL to pertinent registries on an ongoing basis should be considered to ensure accurate reporting of survival data and interpretation of RWD outcomes. © 2024 by American Society of Clinical Oncology.</t>
  </si>
  <si>
    <t>Smith,S.,Drummond,K.,Dowling,A.,Bennett,I.,Campbell,D.,Freilich,R.,Phillips,C.,Ahern,E.,Reeves,S.,Campbell,R.,Collins,I.M.,Johns,J.,Dumas,M.,Hong,W.,Gibbs,P.,Gately,L.</t>
  </si>
  <si>
    <t>https://www.scopus.com/inward/record.uri?eid=2-s2.0-85197157439&amp;doi=10.1200%2FCCI.24.00025&amp;partnerID=40&amp;md5=aa2a8df5858489d164e0c2a5907603f6</t>
  </si>
  <si>
    <t>Improving the Quality of Unstructured Cancer Data Using Large Language Models: A German Oncological Case Study.</t>
  </si>
  <si>
    <t>With cancer being a leading cause of death globally, epidemiological and clinical cancer registration is paramount for enhancing oncological care and facilitating scientific research. However, the heterogeneous landscape of medical data presents significant challenges to the current manual process of tumor documentation. This paper explores the potential of Large Language Models (LLMs) for transforming unstructured medical reports into the structured format mandated by the German Basic Oncology Dataset. Our findings indicate that integrating LLMs into existing hospital data management systems or cancer registries can significantly enhance the quality and completeness of cancer data collection - a vital component for diagnosing and treating cancer and improving the effectiveness and benefits of therapies. This work contributes to the broader discussion on the potential of artificial intelligence or LLMs to revolutionize medical data processing and reporting in general and cancer care in particular.</t>
  </si>
  <si>
    <t>Mou Yongli,Lehmkuhl Jonathan,Sauerbrunn Nicolas,Köchel Anja,Panse Jens,Truh Daniel,Sowe Sulayman,Brümmendorf Tim,Decker Stefan</t>
  </si>
  <si>
    <t>https://research.ebsco.com/linkprocessor/plink?id=8501bf97-9ef8-3f67-a77f-c734c7d6d7e3</t>
  </si>
  <si>
    <t>Germany,Natural Language Processing,Neoplasms therapy,Electronic Health Records,Germany,Humans,Registries,Artificial Intelligence,Medical Oncology,Data Accuracy</t>
  </si>
  <si>
    <t>Incidence and Prevalence of Bone Metastases in Different Solid Tumors Determined by Natural Language Processing of CT Reports.</t>
  </si>
  <si>
    <t>Simple Summary: Bone metastases significantly impact morbidity and mortality in cancer patients, with varying prognostic implications depending on the primary cancer. Understanding patterns of bone metastases across various primary cancer types is vital, yet comprehensive population-based studies are scarce and challenging to execute. Advances in natural language processing (NLP) now make annotations of bone metastasis incidence and prevalence possible on a large scale. We applied NLP to 639,470 CT reports in 129,326 patients, with 97.1% accuracy, 88.0% precision, and 86.3% recall. Primary cancers with the highest incidence of bone metastases on CT reports identified by NLP were prostate and breast cancers, followed by head and neck, and lung cancers, all exceeding a 30% 5-year incidence rate. Other cancers, including melanoma and pancreas cancers, had a 20–30% 5-year incident rate of bone metastases. NLP can be used to accurately label CT reports for the presence or absence of bone metastases on a large scale. Background/Objectives: Improved survival due to advances in medical therapy has resulted in increasing numbers of cancer patients living with bone metastases; however, our understanding of the prognostic implications of bone metastases requires larger population-based studies outlining their incidence and prevalence in different primary cancer types, including those with lower incidence. This study aimed to evaluate the incidence and prevalence of bone metastases in solid organ tumors by analyzing reports of staging CT studies with natural language processing (NLP). Methods: In this retrospective study, 639,470 reports representing 129,326 unique patients were analyzed; 6279 randomly selected reports were manually annotated and labeled for the presence or absence of bone metastases. From these data, a BERT-based NLP model was developed and applied to the patient database. The cumulative incidence at 5 years and prevalence of bone metastases in each cancer type were calculated. Results: The accuracy of the NLP model on a validation set was 97.1%, with a positive predictive value (precision) of 88.0% and a sensitivity (recall) of 86.3%. The 5-year incidence rate of bone metastases was highest in prostate, breast, head and neck, and lung cancer (52%, 41%, 36%, 33%). Incidence was lowest in central nervous system cancer and testicular cancer (8%, 5%). Prevalence was highest in prostate, breast, and lung cancer (32%, 25% and 23%), and lowest in central nervous system cancer and testicular cancer (4%, 4%). Conclusions: NLP was utilized to demonstrate patterns of bone metastases in a broad range of cancer types and is a valuable tool in population-based assessment of bone metastases.</t>
  </si>
  <si>
    <t>Long Niamh,Woodlock David,D'Agostino Robert,Nguyen Gary,Gangai Natalie,Sevilimedu Varadan,Do Richard Kinh Gian</t>
  </si>
  <si>
    <t>https://research.ebsco.com/linkprocessor/plink?id=c0e8260e-a430-3531-a24a-a7d2583f2d11</t>
  </si>
  <si>
    <t>Predictive tests,Melanoma,Research funding,Computed tomography,Breast tumors,Head &amp; neck cancer,Natural language processing,Retrospective studies,Prostate tumors,Disease prevalence,Bone metastasis,Pancreatic tumors,Lung tumors,Tumors,Sensitivity &amp; specificity (Statistics),Disease incidence,Disease complications,United States,Irradiation Apparatus Manufacturing</t>
  </si>
  <si>
    <t>Incidence and survival of primary central nervous system tumors diagnosed in 4 Canadian provinces from 2010 to 2015</t>
  </si>
  <si>
    <t>Background. The Brain Tumor Registry of Canada was established in 2016 to enhance infrastructure for surveillance and clinical research on Central Nervous System (CNS) tumors. We present information on primary CNS tumors diagnosed among residents of Canada from 2010 to 2015. Methods. Data from 4 provincial cancer registries were analyzed representing approximately 67% of the Canadian population. Age-standardized incidence rates (ASIR) and 95% confidence intervals (CI) were calculated using the 2011 Canadian population age distribution. Net survival was estimated using the Pohar-Perme method. Results. A total of 31 644 primary tumors were identified for an ASIR of 22.8 per 100 000 person-years. Nonmalignant tumors made up 47.1% of all classified tumors, with mixed behaviors present in over half of histology groupings. Unclassified were 19.5% of all tumors. The most common histological subtypes are meningiomas (ASIR = 5.5 per 100 000 person-years); followed by glioblastomas (ASIR 4.0 per 100 000 person-years). The overall 5-year net survival rate for CNS tumors was 65.5%; females 70.2% and males 60.4%. GBMs continue to be the most lethal CNS tumors for all sex and age groups. Conclusions. The low annual frequency of most CNS tumor subtypes emphasizes the value of population-based data on all primary CNS tumors diagnosed among Canadians. The large number of histological categories including mixed behaviors and the proportion of unclassified tumors emphasizes the need for complete reporting. Variation in incidence and survival across histological groups by sex and age highlights the need for comprehensive and histology-specific reporting.These data can be used to better inform research and health system planning. © The Author(s) 2022. Published by Oxford University Press on behalf of the Society for Neuro-Oncology and the European Association of Neuro-Oncology. All rights reserved.</t>
  </si>
  <si>
    <t>Walker,E.V.,Davis,F.G.,Yasmin,F.,Smith,T.R.,Yuan,Y.</t>
  </si>
  <si>
    <t>https://www.scopus.com/inward/record.uri?eid=2-s2.0-85153717178&amp;doi=10.1093%2Fnop%2Fnpac089&amp;partnerID=40&amp;md5=d5823eeb581685e858ea4afff657d256</t>
  </si>
  <si>
    <t>brain tumors,Canada,CNS tumors,incidence,survival</t>
  </si>
  <si>
    <t>Neuro-Oncology Practice</t>
  </si>
  <si>
    <t>Incidence and survival of primary central nervous system tumors diagnosed in 4 Canadian provinces from 2010 to 2015.</t>
  </si>
  <si>
    <t>Background The Brain Tumor Registry of Canada was established in 2016 to enhance infrastructure for surveillance and clinical research on Central Nervous System (CNS) tumors. We present information on primary CNS tumors diagnosed among residents of Canada from 2010 to 2015. Methods Data from 4 provincial cancer registries were analyzed representing approximately 67% of the Canadian population. Age-standardized incidence rates (ASIR) and 95% confidence intervals (CI) were calculated using the 2011 Canadian population age distribution. Net survival was estimated using the Pohar-Perme method. Results A total of 31 644 primary tumors were identified for an ASIR of 22.8 per 100 000 person-years. Nonmalignant tumors made up 47.1% of all classified tumors, with mixed behaviors present in over half of histology groupings. Unclassified were 19.5% of all tumors. The most common histological subtypes are meningiomas (ASIR = 5.5 per 100 000 person-years); followed by glioblastomas (ASIR 4.0 per 100 000 person-years). The overall 5-year net survival rate for CNS tumors was 65.5%; females 70.2% and males 60.4%. GBMs continue to be the most lethal CNS tumors for all sex and age groups. Conclusions The low annual frequency of most CNS tumor subtypes emphasizes the value of population-based data on all primary CNS tumors diagnosed among Canadians. The large number of histological categories including mixed behaviors and the proportion of unclassified tumors emphasizes the need for complete reporting. Variation in incidence and survival across histological groups by sex and age highlights the need for comprehensive and histology-specific reporting. These data can be used to better inform research and health system planning.</t>
  </si>
  <si>
    <t>Walker Emily V,Davis Faith G,Yasmin Farzana,Smith Trenton R,Yuan Yan</t>
  </si>
  <si>
    <t>https://research.ebsco.com/linkprocessor/plink?id=7cf2d65b-f7cc-3c13-afd0-b3accc29f455</t>
  </si>
  <si>
    <t>Canadian provinces,Age distribution,Central nervous system,Age groups,Canada,Central nervous system tumors</t>
  </si>
  <si>
    <t>Incidence of chronic disease following smoking cessation treatment: A matched cohort study using linked administrative healthcare data in Ontario, Canada.</t>
  </si>
  <si>
    <t>Scarce evidence is available on the impact of real-world smoking cessation treatment on subsequent health outcomes, such as incidence of chronic disease. This study compared two cohorts of people that smoke—those that enrolled in a smoking cessation program, and a matched control that had not accessed the program—to assess the incidence of cancer, chronic obstructive pulmonary disease, diabetes, hypertension, and major cardiovascular events over a 5-year follow-up period. We selected five sub-cohorts with matched treatment-control pairs in which both individuals were at risk of the five chronic diseases. Incident chronic disease from index date until December 31, 2017, was determined through linkage with routinely collected healthcare data. The cumulative incidence of each chronic disease was estimated using the cumulative incidence function with death as a competing risk. Gray's test was used to test for a difference between matched treatment and control groups in the chronic disease-specific cumulative incidence function over follow-up. Analyses were stratified by sex. Among females, cumulative incidence of diabetes was higher over follow-up for the treatment group (5-year cumulative incidence 5.8% vs 4.2%, p = 0.004), but did not differ for the four other chronic diseases. Among males, cumulative incidence of chronic obstructive pulmonary disease (12.2% vs 9.1%, p &lt; 0.001) and diabetes (6.7% vs 4.8%, p &lt; 0.001) both had higher 5-year cumulative incidence for the treated versus control groups but did not differ for the other three chronic diseases. We conclude that accessing primary-care based smoking cessation treatment is associated with increased incidence of diabetes for both sexes, and chronic obstructive pulmonary disease for males (possibly due to under diagnosis prior to treatment), within 5 years of treatment. The associations detected require further research to understand causal relationships.</t>
  </si>
  <si>
    <t>Baliunas Dolly,Voci Sabrina,Selby Peter,de Oliveira Claire,Kurdyak Paul,Rosella Laura,Zawertailo Laurie,Fu Longdi,Sutradhar Rinku</t>
  </si>
  <si>
    <t>https://research.ebsco.com/linkprocessor/plink?id=a7e14e05-d1de-32b0-9dd3-e258de003975</t>
  </si>
  <si>
    <t>Smoking cessation,Chronic diseases,Disease incidence,Chronic obstructive pulmonary disease,Ontario,All Other Miscellaneous Ambulatory Health Care Services,All other ambulatory health care services</t>
  </si>
  <si>
    <t>Incidence of gastrointestinal stromal tumor in Chinese urban population: A national population‐based study.</t>
  </si>
  <si>
    <t>Background: Information on incidence of gastrointestinal stromal tumor (GIST), the most common type of mesenchymal tumor in gastrointestinal tract, was limited in China. This study aimed to estimate the incidence of GIST in urban population from mainland China in 2016. Methods: Urban Employee Basic Medical Insurance (UEBMI) and Urban Residence Basic Medical Insurance (URBMI) in China were used. The denominator of incidence was the total person‐years of insured individuals in 2016 in the database, covering approximately 0.43 billion individuals. The numerator was the number of incident GIST cases in 2016. Results: The crude incidence in 2016 was 0.40 per 100,000 person‐years (95% CI, 0.06–1.03). Male incidence was higher than female incidence (0.44 vs. 0.36, rate ratio: 1.22, p &lt; 0.001). The mean age at diagnosis was 55.20 years (SD = 14.26) and the incidence among those aged 50 years or older was 2.63 times (0.84 vs. 0.32, p &lt; 0.001) higher than those aged under 50. The highest incidence was observed in East China (2.29, 95% CI: 0.46–5.54). Conclusions: The incidence of GIST in mainland China was lower than Europe, North America and Korea. The mean age at diagnosis of GIST in China was younger than that of Europe and Canada. This study provides useful information to further research, policy formulating and management of GIST.</t>
  </si>
  <si>
    <t>Xu Lu,Ma Yanpeng,Wang Shengfeng,Feng Jingnan,Liu Lili,Wang Jinxi,Liu Guozhen,Xiu Dianrong,Fu Wei,Zhan Siyan,Sun Tao,Gao Pei</t>
  </si>
  <si>
    <t>https://research.ebsco.com/linkprocessor/plink?id=4b14e4e1-e9d8-3bc1-9fa1-a933c6e477c1</t>
  </si>
  <si>
    <t>City dwellers,Gastrointestinal tumors,Health insurance,Gastrointestinal stromal tumors,Diagnosis,Gastrointestinal system,China,Direct individual life, health and medical insurance carriers,Direct group life, health and medical insurance carriers</t>
  </si>
  <si>
    <t>Increased healthcare costs by later stage cancer diagnosis.</t>
  </si>
  <si>
    <t>Cancer represents a significant source of disease burden in the United States (US), both clinically and economically. Diagnosis and treatment of cancer at earlier stages may reduce this burden. To better understand potential impacts of earlier diagnosis, healthcare costs among patients with cancer were assessed by cancer type and stage at diagnosis.</t>
  </si>
  <si>
    <t>McGarvey November,Gitlin Matthew,Fadli Ela,Chung Karen C</t>
  </si>
  <si>
    <t>https://research.ebsco.com/linkprocessor/plink?id=8c83777d-1636-329b-8932-6bd92d69461d</t>
  </si>
  <si>
    <t>United States,Colorectal Neoplasms,Ovarian Neoplasms,Prostatic Neoplasms,Adult,Aged,Female,Health Care Costs,Humans,Male,Medicare,Retrospective Studies,United States epidemiology</t>
  </si>
  <si>
    <t>Increasing knowledge of mental illness through secondary research of electronic health records: opportunities and challenges.</t>
  </si>
  <si>
    <t>Aim/Purpose: The primary use of electronic health records (EHRs) is in the care of the individual patient. Secondary research uses employ information in EHRs for purposes beyond that of care of the individual. Secondary research uses may broadly be divided into studies which focus on improving care and treatment of individuals and those which aim to increase knowledge about disease causes, associations and prevalence at a population level. This paper provides a review of studies that have used EHRs to increase knowledge at a population level. It examines the methods used, types of research conducted, difficulties and challenges faced and implications for future research and mental health research in particular. Method: A review was undertaken based on a search for peer-reviewed and recently (i.e. since 2005) published articles with full-text available online. Findings/Results: The studies which have used EHRs to increase knowledge have predominantly involved; (1) data mining to identify biomarkers and gene–disease associations, (2) epidemiological research using linked/merged health records and (3) surveillance, prediction and alerts for diseases/illnesses. The principal methodological challenges identified were data quality, discrepancies/inconsistencies in data and interoperability of EHRs. Conclusions: Despite the challenges faced in secondary usage of EHRs, significant research has been undertaken and researchers have proposed and tested various approaches to address methodological issues. The study methods employed in other fields of medical research can be extrapolated to study issues of significance to mental health using EHRs.</t>
  </si>
  <si>
    <t>Spiranovic Caroline,Matthews Allison,Scanlan Joel,Kirkby Kenneth C.</t>
  </si>
  <si>
    <t>https://research.ebsco.com/linkprocessor/plink?id=d59f22ca-bc50-3d39-baa9-fdfd5a7821d1</t>
  </si>
  <si>
    <t>Mental illness,Electronic health records,Etiology of diseases,Disease prevalence,Psychiatric research</t>
  </si>
  <si>
    <t>Advances in Mental Health</t>
  </si>
  <si>
    <t>Inferencing Bulk Tumor and Single-Cell Multi-Omics Regulatory Networks for Discovery of Biomarkers and Therapeutic Targets.</t>
  </si>
  <si>
    <t>There are insufficient accurate biomarkers and effective therapeutic targets in current cancer treatment. Multi-omics regulatory networks in patient bulk tumors and single cells can shed light on molecular disease mechanisms. Integration of multi-omics data with large-scale patient electronic medical records (EMRs) can lead to the discovery of biomarkers and therapeutic targets. In this review, multi-omics data harmonization methods were introduced, and common approaches to molecular network inference were summarized. Our Prediction Logic Boolean Implication Networks (PLBINs) have advantages over other methods in constructing genome-scale multi-omics networks in bulk tumors and single cells in terms of computational efficiency, scalability, and accuracy. Based on the constructed multi-modal regulatory networks, graph theory network centrality metrics can be used in the prioritization of candidates for discovering biomarkers and therapeutic targets. Our approach to integrating multi-omics profiles in a patient cohort with large-scale patient EMRs such as the SEER-Medicare cancer registry combined with extensive external validation can identify potential biomarkers applicable in large patient populations. These methodologies form a conceptually innovative framework to analyze various available information from research laboratories and healthcare systems, accelerating the discovery of biomarkers and therapeutic targets to ultimately improve cancer patient survival outcomes.</t>
  </si>
  <si>
    <t>Ye Qing,Guo Nancy Lan</t>
  </si>
  <si>
    <t>https://research.ebsco.com/linkprocessor/plink?id=c3395ae3-23fc-3f55-a992-1ce53c588bb6</t>
  </si>
  <si>
    <t>Drug target,Logical prediction,Electronic health records,Gene regulatory networks,Data harmonization,Biomarkers,Implication (Logic)</t>
  </si>
  <si>
    <t>Cells (2073-4409)</t>
  </si>
  <si>
    <t>Initial clinical validation of Health Heritage, a patient-facing tool for personal and family history collection and cancer risk assessment.</t>
  </si>
  <si>
    <t>Personal and family health histories remain important independent risk factors for cancer; however they are currently not being well collected or used effectively. Health Heritage was designed to address this need. The purpose of this study was to validate the ability of Health Heritage to identify patients appropriate for further genetic evaluation and to accurately stratify cancer risk. A retrospective chart review was conducted on 100 random patients seen at an adult genetics clinic presenting with concern for an inherited predisposition to cancer. Relevant personal and family history obtained from the patients' medical records was entered into Health Heritage. Recommendations by Health Heritage were compared to national guidelines of eligibility for genetic evaluation. Agreement between Health Heritage referral for genetic evaluation and guideline eligibility for genetic evaluation was 97% (sensitivity 98% and specificity 88%). Risk stratification for cancer was also compared between Health Heritage and those documented by a geneticist. For patients at increased risk for breast, ovarian, or colorectal cancer as determined by the geneticist, risk stratification by Health Heritage agreed 90, 93, and 75%, respectively. Discordances in risk stratification were attributed to both complex situations better handled by the geneticist and Health Heritage's adherence to incorporating all information into its algorithms. Health Heritage is a clinically valid tool to identify patients appropriate for further genetic evaluation and to encourage them to confirm the assessment and management recommendations with cancer genetic experts. Health Heritage also provides an estimate of cancer risk that is complementary to a genetics team.</t>
  </si>
  <si>
    <t>Baumgart Leigh A,Postula Kristen J Vogel,Knaus William A</t>
  </si>
  <si>
    <t>https://research.ebsco.com/linkprocessor/plink?id=402ad59b-7907-3197-8b1a-180d560bdadd</t>
  </si>
  <si>
    <t>Internet,Medical History Taking methods,Neoplasms genetics,Software,Family Health,Female,Genetic Counseling,Genetic Predisposition to Disease,Genetic Testing,Humans,Male,Middle Aged,Referral and Consultation,Risk Assessment methods</t>
  </si>
  <si>
    <t>Familial cancer</t>
  </si>
  <si>
    <t>Innovations in research and clinical care using patient-generated health data.</t>
  </si>
  <si>
    <t>Patient-generated health data (PGHD), or health-related data gathered from patients to help address a health concern, are used increasingly in oncology to make regulatory decisions and evaluate quality of care. PGHD include self-reported health and treatment histories, patient-reported outcomes (PROs), and biometric sensor data. Advances in wireless technology, smartphones, and the Internet of Things have facilitated new ways to collect PGHD during clinic visits and in daily life. The goal of the current review was to provide an overview of the current clinical, regulatory, technological, and analytic landscape as it relates to PGHD in oncology research and care. The review begins with a rationale for PGHD as described by the US Food and Drug Administration, the Institute of Medicine, and other regulatory and scientific organizations. The evidence base for clinic-based and remote symptom monitoring using PGHD is described, with an emphasis on PROs. An overview is presented of current approaches to digital phenotyping or device-based, real-time assessment of biometric, behavioral, self-report, and performance data. Analytic opportunities regarding PGHD are envisioned in the context of big data and artificial intelligence in medicine. Finally, challenges and solutions for the integration of PGHD into clinical care are presented. The challenges include electronic medical record integration of PROs and biometric data, analysis of large and complex biometric data sets, and potential clinic workflow redesign. In addition, there is currently more limited evidence for the use of biometric data relative to PROs. Despite these challenges, the potential benefits of PGHD make them increasingly likely to be integrated into oncology research and clinical care.</t>
  </si>
  <si>
    <t>Jim Heather S L,Hoogland Aasha I,Brownstein Naomi C,Barata Anna,Dicker Adam P,Knoop Hans,Gonzalez Brian D,Perkins Randa,Rollison Dana,Gilbert Scott M,Nanda Ronica,Berglund Anders,Mitchell Ross,Johnstone Peter A S</t>
  </si>
  <si>
    <t>https://research.ebsco.com/linkprocessor/plink?id=edc14d83-e5e7-36dd-b37d-41af5bf7ce9a</t>
  </si>
  <si>
    <t>United States,Artificial Intelligence,Biomedical Research methods,Delivery of Health Care statistics &amp; numerical data,Medical Oncology methods,Neoplasms therapy,Humans,Morbidity,Neoplasms epidemiology,United States epidemiology</t>
  </si>
  <si>
    <t>CA: a cancer journal for clinicians</t>
  </si>
  <si>
    <t>Innovative technologies and their clinical prospects for early lung cancer screening.</t>
  </si>
  <si>
    <t>Declarations. Conflict of interest: The authors declare that they have no known competing financial interests or personal relationships that could have appeared to influence the work reported in this paper.</t>
  </si>
  <si>
    <t>Deng Zisu,Ma Xiaocao,Zou Shubiao,Tan Liling,Miao Tingting</t>
  </si>
  <si>
    <t>https://research.ebsco.com/linkprocessor/plink?id=4ec62d09-7ea6-345c-8959-cb2b5620cf3c</t>
  </si>
  <si>
    <t>Lung Neoplasms diagnosis,Early Detection of Cancer methods,Humans,Artificial Intelligence,Biomarkers, Tumor blood,Liquid Biopsy methods</t>
  </si>
  <si>
    <t>Clinical and experimental medicine</t>
  </si>
  <si>
    <t>Integrating Cross-Departmental Data.</t>
  </si>
  <si>
    <t>Developing smart clinical decision support systems requires integrating data from several medical departments. This short paper outlines the challenges we faced in cross-departmental data integration for an oncological use case. Most severely, they have led to a significant reduction in case numbers. Only 2,77% of cases meeting the initial inclusion criteria of the use case were present in all accessed data sources.</t>
  </si>
  <si>
    <t>Gehrmann Julia,Beyan Oya</t>
  </si>
  <si>
    <t>https://research.ebsco.com/linkprocessor/plink?id=8d384724-6607-39f6-82b7-3bfe157b9985</t>
  </si>
  <si>
    <t>Systems Integration,Medical Informatics,Medical Oncology</t>
  </si>
  <si>
    <t>Integrating predictive coding and a user-centric interface for enhanced auditing and quality in cancer registry data</t>
  </si>
  <si>
    <t>Data curation for a hospital-based cancer registry heavily relies on the labor-intensive manual abstraction process by cancer registrars to identify cancer-related information from free-text electronic health records. To streamline this process, a natural language processing system incorporating a hybrid of deep learning-based and rule-based approaches for identifying lung cancer registry-related concepts, along with a symbolic expert system that generates registry coding based on weighted rules, was developed. The system is integrated with the hospital information system at a medical center to provide cancer registrars with a patient journey visualization platform. The embedded system offers a comprehensive view of patient reports annotated with significant registry concepts to facilitate the manual coding process and elevate overall quality. Extensive evaluations, including comparisons with state-of-the-art methods, were conducted using a lung cancer dataset comprising 1428 patients from the medical center. The experimental results illustrate the effectiveness of the developed system, consistently achieving F1-scores of 0.85 and 1.00 across 30 coding items. Registrar feedback highlights the system's reliability as a tool for assisting and auditing the abstraction. By presenting key registry items along the timeline of a patient's reports with accurate code predictions, the system improves the quality of registrar outcomes and reduces the labor resources and time required for data abstraction. Our study highlights advancements in cancer registry coding practices, demonstrating that the proposed hybrid weighted neural-symbolic cancer registry system is reliable and efficient for assisting cancer registrars in the coding workflow and contributing to clinical outcomes.</t>
  </si>
  <si>
    <t xml:space="preserve">Dai HJ,Chen CC,Mir TH,Wang TY,Wang CK,Chang YC,Yu SJ,Shen YW,Huang CJ,Tsai CH,Wang CY,Chen HJ,Weng PS,Lin YX,Chen SW,Tsai MJ,Juang SF,Wu SY,Tsai WT,Huang MY,Huang CJ,Yang CJ,Liu PZ,Huang CW,Huang CY,Wang </t>
  </si>
  <si>
    <t>https://www.webofscience.com/wos/woscc/full-record/WOS:001347314700001</t>
  </si>
  <si>
    <t>Natural language processing; Cancer registry; Electronic health record; Patient journey</t>
  </si>
  <si>
    <t>COMPUTATIONAL AND STRUCTURAL BIOTECHNOLOGY JOURNAL</t>
  </si>
  <si>
    <t>Integration of cancer registry data into the text information extraction system: Leveraging the structured data import tool.</t>
  </si>
  <si>
    <t>Introduction/Background: Cancer registries in the US collect timely and systematic data on new cancer cases, extent of disease, staging, biomarker status, treatment, survival, and mortality of cancer cases. Existing methodologies for accessing local cancer registry data for research are time-consuming and often rely on the manual merging of data by staff registrars. In addition, existing registries do not provide direct access to these data nor do they routinely provide linkage to discrete electronic health record (EHR) data, reports, or imaging data. Automation of such linkage can provide an impressive data resource and make valuable data available for translational cancer research. Methods: The UPMC Network Cancer Registry collects highly structured, longitudinal data on all reportable cancer patients, from the point of the diagnosis throughout treatment and follow-up/outcomes. Using commercial registry software, we collect data in compliance with standards governed by the North American Association of Central Cancer Registries. This standardization ensures that the data are highly structured with standard coding and collection methods, which support data exchange among central cancer registries and the Centers for Disease Control and Prevention. Results: At the UPMC Hillman Cancer Center and University of Pittsburgh, we explored the feasibility of linking this well-curated, structured cancer registry data with unstructured text (i.e., pathology and radiology reports), using the Text Information Extraction System (TIES). We used the TIES platform to integrate breast cancer cases from the UPMC Network Cancer Registry system and then combine these data with other EHR data as a pilot use case that can be replicated for other cancers. Conclusions: As a result of this integration, we now have a single searchable repository of information for breast cancer patients from the UPMC registry, combined with their pathology and radiology reports. The system that we developed is easily scalable to other health systems and cancer centers.</t>
  </si>
  <si>
    <t>https://research.ebsco.com/linkprocessor/plink?id=a8ec38d1-e78b-302d-83cf-a0566a7a1df3</t>
  </si>
  <si>
    <t>Medical informatics,Data mining,Medical databases</t>
  </si>
  <si>
    <t>Interactive Multimedia Reporting Technical Considerations: HIMSS-SIIM Collaborative White Paper.</t>
  </si>
  <si>
    <t>Despite technological advances in the analysis of digital images for medical consultations, many health information systems lack the ability to correlate textual descriptions of image findings linked to the actual images. Images and reports often reside in separate silos in the medical record throughout the process of image viewing, report authoring, and report consumption. Forward-thinking centers and early adopters have created interactive reports with multimedia elements and embedded hyperlinks in reports that connect the narrative text with the related source images and measurements. Most of these solutions rely on proprietary single-vendor systems for viewing and reporting in the absence of any encompassing industry standards to facilitate interoperability with the electronic health record (EHR) and other systems. International standards have enabled the digitization of image acquisition, storage, viewing, and structured reporting. These provide the foundation to discuss enhanced reporting. Lessons learned in the digital transformation of radiology and pathology can serve as a basis for interactive multimedia reporting (IMR) across image-centric medical specialties. This paper describes the standard-based infrastructure and communications to fulfill recently defined clinical requirements through a consensus from an international workgroup of multidisciplinary medical specialists, informaticists, and industry participants. These efforts have led toward the development of an Integrating the Healthcare Enterprise (IHE) profile that will serve as a foundation for interoperable interactive multimedia reporting.</t>
  </si>
  <si>
    <t>Berkowitz Seth J,Kwan David,Cornish Toby C,Silver Elliot L,Thullner Karen S,Aisen Alex,Bui Marilyn M,Clark Shawn D,Clunie David A,Eid Monief,Hartman Douglas J,Ho Kinson,Leontiev Andrei,Luviano Damien M,O'Toole Peter E,Parwani Anil V,Pereira Nielsen S,Rotemberg Veronica,Vining David J,Gaskin Cree M,Roth Christopher J,Folio Les R</t>
  </si>
  <si>
    <t>https://research.ebsco.com/linkprocessor/plink?id=59139b87-73fe-3233-83f9-fbe555e86f73</t>
  </si>
  <si>
    <t>Medicine,Radiology Information Systems,Communication,Diagnostic Imaging,Electronic Health Records,Humans,Multimedia</t>
  </si>
  <si>
    <t>International Classification of Diseases (ICD).</t>
  </si>
  <si>
    <t>This article presents the history, contents, structures, functions, and applications of the International Classification of Diseases (ICD), which is a global standard maintained by the World Health Organization (WHO). The article aims to present ICD from the knowledge organization perspective and focuses on the current versions, ICD-10 and ICD-11. It also introduces the relationship between ICD and other health knowledge organization systems (KOSs), plus efforts in research and development reported in health informatics. The article concludes that the high-level effort of promoting a unified classification system such as ICD is critical in providing a common language for systematic recording, reporting, analysis, interpretation, and comparison of mortality and morbidity data. It greatly enhances the constancy of coding across languages, cultures, and healthcare systems around the world.</t>
  </si>
  <si>
    <t>Yi Hong,Lei Zeng Marcia</t>
  </si>
  <si>
    <t>https://research.ebsco.com/linkprocessor/plink?id=6630c2e2-f5c2-3894-bc21-0cf1587da190</t>
  </si>
  <si>
    <t>Knowledge management,Medical informatics,World Health Organization,International Statistical Classification of Diseases &amp; Related Health Problems,Medical sciences,Medical coding</t>
  </si>
  <si>
    <t>Knowledge Organization</t>
  </si>
  <si>
    <t>International Skin Imaging Collaboration-Designated Diagnoses (ISIC-DX): Consensus terminology for lesion diagnostic labeling.</t>
  </si>
  <si>
    <t>A common terminology for diagnosis is critically important for clinical communication, education, research and artificial intelligence. Prevailing lexicons are limited in fully representing skin neoplasms.</t>
  </si>
  <si>
    <t>Scope Alon,Liopyris Konstantinos,Weber Jochen,Barnhill Raymond L,Braun Ralph P,Curiel-Lewandrowski Clara N,Elder David E,Ferrara Gerardo,Grant-Kels Jane M,Jeunon Thiago,Lallas Aimilios,Lin Jennifer Y,Marchetti Michael A,Marghoob Ashfaq A,Navarrete-Dechent Cristian,Pellacani Giovanni,Soyer Hans Peter,Stratigos Alexander,Thomas Luc,Kittler Harald,Rotemberg Veronica,Halpern Allan C</t>
  </si>
  <si>
    <t>https://research.ebsco.com/linkprocessor/plink?id=1aa3a46a-cbc1-3398-8a06-965aa96e3c29</t>
  </si>
  <si>
    <t>Terminology as Topic,Consensus,Skin Neoplasms diagnosis,Skin Neoplasms diagnostic imaging,Skin Neoplasms classification,Humans,Delphi Technique</t>
  </si>
  <si>
    <t>Journal of the European Academy of Dermatology and Venereology : JEADV</t>
  </si>
  <si>
    <t>Interoperability of population-based patient registries</t>
  </si>
  <si>
    <t>Enabling full interoperability within and between population-based patient-registry domains would open up access to a rich and unique source of health data for secondary data usage. Previous attempts to tackle patient-registry interoperability have met with varying degrees of success, but a unifying solution remains elusive. The purpose of this paper is to show by practical example how a solution is attainable via the implementation of an existing framework based of the concept of federated, semantic metadata registries. One important feature motivating the use of this framework is that it can be implemented gradually and independently within each patient-registry domain. By employing linked open data principles, the framework extends the ISO/IEC 11179 standard to provide both syntactic and semantic interoperability of data elements with the means of specifying automated extraction scripts for retrieval of data from different registry content models. The examples provided address the domain of European population-based cancer registries to demonstrate the feasibility of the approach. One of the examples shows how quick gains are derivable by allowing retrieval of aggregated core data sets. The other examples show how aggregated full sets of data and record-level data might also be retrieved from each local registry. An infrastructure of patient-registry domains adhering to the principles of the framework would provide the semantic contexts and inter-linkage of data necessary for automated search and retrieval of registry data. It would thereby also lay the foundation for making registry data serviceable to artificial intelligence (AI) applications. © 2020 The Authors</t>
  </si>
  <si>
    <t>Nicholson,N.,Perego,A.</t>
  </si>
  <si>
    <t>https://www.scopus.com/inward/record.uri?eid=2-s2.0-85086921348&amp;doi=10.1016%2Fj.yjbinx.2020.100074&amp;partnerID=40&amp;md5=f6c06252e36d479c5e694cb1511d4f37</t>
  </si>
  <si>
    <t>Federated semantic metadata registry framework,Interoperability,ISO/IEC 11179,Linked Open Data,Population-based patient registries</t>
  </si>
  <si>
    <t>Journal of Biomedical Informatics: X</t>
  </si>
  <si>
    <t>Introducing mCODEGPT as a zero-shot information extraction from clinical free text data tool for cancer research</t>
  </si>
  <si>
    <t>BackgroundThe vast amount of natural language clinical notes about patients with cancer presents a challenge for efficient information extraction, standardization, and structuring. Traditional NLP methods require extensive annotation by domain experts for each type of named entity and necessitate model training, highlighting the need for an efficient and accurate extraction method.MethodsThis study introduces a tool based on the Large Language Model (LLM) for zero-shot information extraction from cancer-related clinical notes into structured data aligned with the minimal Common Oncology Data Elements (mCODE (TM)) structure. We utilize the zero-shot learning capabilities of LLMs for information extraction, eliminating the need for data annotated by domain experts for training. Our methodology employs advanced hierarchical prompt engineering strategies to overcome common LLM limitations like token hallucination and accuracy issues. We tested the approach on 1,000 synthetic clinical notes representing various cancer types, comparing its performance to a traditional single-step prompting method.ResultsOur hierarchical prompt engineering strategy (accuracy = 94%, misidentification, and misplacement rate = 5%) outperforms the traditional prompt strategy (accuracy = 87%, misidentification, and misplacement rate = 10%) in information extraction. By unifying staging systems (e.g., TNM, FIGO) and specific stage details (e.g., Stage II) into a standardized framework, our approach achieves improved accuracy in extracting cancer stage information.ConclusionsOur approach demonstrates that LLMs, when guided by structured prompting, can accurately extract complex clinical information without the need for expert-labeled data. This method has the potential to harness unstructured data for advancing cancer research.</t>
  </si>
  <si>
    <t>Zhang K,Huang TT,Malin BA,Osterman T,Long Q,Jiang XQ</t>
  </si>
  <si>
    <t>https://www.webofscience.com/wos/woscc/full-record/WOS:001594372000004</t>
  </si>
  <si>
    <t>COMMUNICATIONS MEDICINE</t>
  </si>
  <si>
    <t>Introduction to Generative Artificial Intelligence: Contextualizing the Future.</t>
  </si>
  <si>
    <t>Hoekstra is an employee of the College of American Pathologists. The authors have no relevant financial interest in the products or companies described in this article.</t>
  </si>
  <si>
    <t>Singh Rajendra,Kim Ji Yeon,Glassy Eric F,Dash Rajesh C,Brodsky Victor,Seheult Jansen,de Baca M E,Gu Qiangqiang,Hoekstra Shannon,Pritt Bobbi S</t>
  </si>
  <si>
    <t>https://research.ebsco.com/linkprocessor/plink?id=522d5f25-82db-358e-99aa-f954e812cc6c</t>
  </si>
  <si>
    <t>Artificial Intelligence trends,Pathology trends,Pathology methods,Pathology, Clinical trends,Pathology, Clinical methods,Humans,Generative Artificial Intelligence</t>
  </si>
  <si>
    <t>Investigating the quality of reverse geocoding services using text similarity techniques and logistic regression analysis.</t>
  </si>
  <si>
    <t>Location, usually defined by postal address information or geographic coordinate values, is one of the leading themes in geography. Famous global mapping services such as ArcGIS Online, Bing Maps, Google Maps, or Yandex Maps can provide users with address information of any geographic coordinates using reverse geocoding. The accuracy of retrieved addresses is quite essential for a service user. Several researchers have evaluated the accuracy of the process based on the positional errors between the retrieved and actual addresses. This article proposes a different assessment based on text similarity algorithms. In this study, the authors examine the outcomes of 15 different text similarity algorithms by comparing them with the reference data. They benefit from the binary logistic regression to evaluate the results. At the end of the case study, they conclude that the soft-term frequency/inverse document frequency algorithm is the most appropriate to measure the quality of postal addresses of all tested services. The Jaccard algorithm also produces successful results only for Google and Bing Maps services. Moreover, the study allows the reader to assess the results of reverse geocoding derived from the global map platforms that serve in the test region.</t>
  </si>
  <si>
    <t>Kilic Batuhan,Gülgen Fatih</t>
  </si>
  <si>
    <t>https://research.ebsco.com/linkprocessor/plink?id=773f468d-2bf0-3a7b-893e-53eb5206e4f6</t>
  </si>
  <si>
    <t>Logistic regression analysis,Quality of service,Street addresses,Google Inc.</t>
  </si>
  <si>
    <t>Cartography &amp; Geographic Information Science</t>
  </si>
  <si>
    <t>ISPN 2024: 50th Annual Meeting of the International Society for Pediatric Neurosurgery : Toronto, 13 - 17 October 2024.</t>
  </si>
  <si>
    <t>https://research.ebsco.com/linkprocessor/plink?id=8903694b-48ea-39d4-92fd-03c0b34ae202</t>
  </si>
  <si>
    <t>Child's nervous system : ChNS : official journal of the International Society for Pediatric Neurosurgery</t>
  </si>
  <si>
    <t>Large language models for clinical decision support in gastroenterology and hepatology.</t>
  </si>
  <si>
    <t>Competing interests: J.N.K. declares consulting services for Bioptimus, Owkin, DoMore Diagnostics, Panakeia, AstraZeneca, Mindpeak and MultiplexDx; holds shares in StratifAI and Synagen; has received a research grant from GSK; and has received honoraria from AstraZeneca, Bayer, Daiichi Sankyo, Eisai, Janssen, Merck, MSD, BMS, Roche, Pfizer and Fresenius. I.C.W. has received honoraria from AstraZeneca. All other authors declare no competing interests.</t>
  </si>
  <si>
    <t>Wiest Isabella Catharina,Bhat Mamatha,Clusmann Jan,Schneider Carolin V,Jiang Xiaofeng,Kather Jakob Nikolas</t>
  </si>
  <si>
    <t>https://research.ebsco.com/linkprocessor/plink?id=7eb20c9c-ac62-3ba4-813e-0c45a731a370</t>
  </si>
  <si>
    <t>Gastroenterology methods,Decision Support Systems, Clinical,Clinical Decision-Making methods,Humans,Artificial Intelligence,Natural Language Processing,Large Language Models</t>
  </si>
  <si>
    <t>Nature reviews. Gastroenterology &amp; hepatology</t>
  </si>
  <si>
    <t>Large-scale deep learning for metastasis detection in pathology reports</t>
  </si>
  <si>
    <t>Objectives: No existing algorithm can reliably identify metastasis from pathology reports across multiple cancer types and the entire US population. In this study, we develop a deep learning model that automatically detects patients with metastatic cancer by using pathology reports from many laboratories and of multiple cancer types. Materials and Methods: We use 60 471 unstructured pathology reports from 4 Surveillance, Epidemiology, and End Results (SEER) registries. The reports were coded into 1 of 3 labels: metastasis negative, metastases positive, or metastasis undetermined. We utilize a task-specific deep neural network trained from scratch and compare its performance with a widely used large language model (LLM). Results: Our deep learning architecture trained on task-specific data outperforms a general-purpose LLM, with a recall of 0.894 compared to 0.824. We quantified model uncertainty and used it to defer reports for human review. We found that retaining 72.9% of reports increased recall from 0.894 to 0.969. Discussion: A smaller deep learning architecture trained on task-specific data outperforms a general LLM. Equally critical to model performance is the incorporation of uncertainty quantification, achieved here through an abstention mechanism. Conclusions : This study’s finding demonstrate the feasibility of developing algorithms to automatically identify metastatic cancer cases from unstructured pathology reports. © 2025 Published by Oxford University Press on behalf of the American Medical Informatics Association 2025.</t>
  </si>
  <si>
    <t>Krawczuk,P.,Fox,Z.R.,Petkov,V.,Negoita,S.,Doherty,J.,Stroup,A.,Schwartz,S.,Penberthy,L.,Hsu,E.,Gounley,J.,Hanson,H.A.</t>
  </si>
  <si>
    <t>https://www.scopus.com/inward/record.uri?eid=2-s2.0-105010320558&amp;doi=10.1093%2Fjamiaopen%2Fooaf070&amp;partnerID=40&amp;md5=0a8dee94e09a0c71302d0f22fb89887e</t>
  </si>
  <si>
    <t>machine learning,metastasis,natural language processing,recurrence</t>
  </si>
  <si>
    <t>JAMIA Open</t>
  </si>
  <si>
    <t>aaa</t>
  </si>
  <si>
    <t>Let's talk about sex: A biological variable in immune response against melanoma.</t>
  </si>
  <si>
    <t>As science culture gravitates toward a more holistic inclusion of both males and females in research design, the outlining of sex differences and their respective intersections with disease physiology and pathophysiology should see reciprocal expansion. Melanoma skin cancer, for example, has observed a female advantage in incidence, mortality, and overall survival since the early 1970s. The exact biological mechanism of this trend, however, is unclear and further complicated by a layering of clinical variables such as skin phototype, age, and body mass index. In this perspective, we highlight epidemiological evidence of sex differences in melanoma and summarize the landscape of their potential origin. Among several biological hallmarks, we make a note of sex-specific immune profiles-along with divergent hormonal regulation, social practices, DNA damage and oxidative stress responses, body composition, genetic variants, and X-chromosome expression-as probable drivers of disparity in melanoma initiation and progression. This review further focuses the conversation of sex as an influencing factor in melanoma development and its potential implication for disease management and treatment strategies.</t>
  </si>
  <si>
    <t>Dakup Panshak P,Greer Adam J,Gaddameedhi Shobhan</t>
  </si>
  <si>
    <t>https://research.ebsco.com/linkprocessor/plink?id=b06ad363-b2dc-3133-a89b-2b0e3aec68a3</t>
  </si>
  <si>
    <t>Melanoma genetics,Skin Neoplasms genetics,Female,Humans,Immunity,Male,Sex Characteristics,Sex Factors</t>
  </si>
  <si>
    <t>Pigment cell &amp; melanoma research</t>
  </si>
  <si>
    <t>Leveraging medical context to recommend semantically similar terms for chart reviews</t>
  </si>
  <si>
    <t>Background Information retrieval (IR) help clinicians answer questions posed to large collections of electronic medical records (EMRs), such as how best to identify a patient's cancer stage. One of the more promising approaches to IR for EMRs is to expand a keyword query with similar terms (e.g., augmenting cancer with mets). However, there is a large range of clinical chart review tasks, such that fixed sets of similar terms is insufficient. Current language models, such as Bidirectional Encoder Representations from Transformers (BERT) embeddings, do not capture the full non-textual context of a task. In this study, we present new methods that provide similar terms dynamically by adjusting with the context of the chart review task. Methods We introduce a vector space for medical-context in which each word is represented by a vector that captures the word's usage in different medical contexts (e.g., how frequently cancer is used when ordering a prescription versus describing family history) beyond the context learned from the surrounding text. These vectors are transformed into a vector space for customizing the set of similar terms selected for different chart review tasks. We evaluate the vector space model with multiple chart review tasks, in which supervised machine learning models learn to predict the preferred terms of clinically knowledgeable reviewers. To quantify the usefulness of the predicted similar terms to a baseline of standard word2vec embeddings, we measure (1) the prediction performance of the medical-context vector space model using the area under the receiver operating characteristic curve (AUROC) and (2) the labeling effort required to train the models. Results The vector space outperformed the baseline word2vec embeddings in all three chart review tasks with an average AUROC of 0.80 versus 0.66, respectively. Additionally, the medical-context vector space significantly reduced the number of labels required to learn and predict the preferred similar terms of reviewers. Specifically, the labeling effort was reduced to 10% of the entire dataset in all three tasks. Conclusions The set of preferred similar terms that are relevant to a chart review task can be learned by leveraging the medical context of the task.</t>
  </si>
  <si>
    <t>Ye C,Malin BA,Fabbri D</t>
  </si>
  <si>
    <t>https://www.webofscience.com/wos/woscc/full-record/WOS:000731388600001</t>
  </si>
  <si>
    <t>Electronic medical records; Data science; Chart reviews; Clinically similar terms; Vector space model</t>
  </si>
  <si>
    <t>BMC MEDICAL INFORMATICS AND DECISION MAKING</t>
  </si>
  <si>
    <t>Lifetime costs of surviving cancer-a queensland study (Cos-q): Protocol of a large healthcare data linkage study</t>
  </si>
  <si>
    <t>Australia-wide, there are currently more than one million cancer survivors. There are over 32 million world-wide. A trend of increasing cancer incidence, medical innovations and extended survival places growing pressure on healthcare systems to manage the ongoing and late effects of cancer treatment. There are no published studies of the long-term health service use and cost of cancer survivorship on a population basis in Australia. All residents of the state of Queensland, Australia, diagnosed with a first primary malignancy from 1997-2015 formed the cohort of interest. State and national healthcare databases are linked with cancer registry records to capture all health service utilization and healthcare costs for 20 years (or death, if this occurs first), starting from the date of cancer diagnosis, including hospital admissions, emergency presentations, healthcare costing data, Medicare services and pharmaceuticals. Data analyses include regression and economic modeling. We capture the whole journey of health service contact and estimate long-term costs of all cancer patients diagnosed and treated in Queensland by linking routinely collected state and national healthcare data. Our results may improve the understanding of lifetime health effects faced by cancer survivors and estimate related healthcare costs. Research outcomes may inform policy and facilitate future planning for the allocation of healthcare resources according to the burden of disease. © 2020 by the authors.</t>
  </si>
  <si>
    <t>Merollini,K.M.D.,Gordon,L.G.,Aitken,J.F.,Kimlin,M.G.</t>
  </si>
  <si>
    <t>https://www.scopus.com/inward/record.uri?eid=2-s2.0-85083961572&amp;doi=10.3390%2Fijerph17082831&amp;partnerID=40&amp;md5=3dceaba0a13c877f5d29bc80d405aa2e</t>
  </si>
  <si>
    <t>Cancer survivors,Costs and cost analysis,Economic models,Health economics,Health service use,Long-term outcomes</t>
  </si>
  <si>
    <t>Limited alignment of publicly competitive disease funding with disease burden in Japan.</t>
  </si>
  <si>
    <t>Objective: The need to align investments in health research and development (R&amp;D) with public health needs is one of the most important public health challenges in Japan. We examined the alignment of disease-specific publicly competitive R&amp;D funding to the disease burden in the country. Methods: We analyzed publicly available data on competitive public funding for health in 2015 and 2016 and compared it to disability-adjusted life year (DALYs) in 2016, which were obtained from the Global Burden of Disease (GBD) 2017 study. Their alignment was assessed as a percentage distribution among 22 GBD disease groups. Funding was allocated to the 22 disease groups based on natural language processing, using textual information such as project title and abstract for each research project, while considering for the frequency of information. Results: Total publicly competitive funding in health R&amp;D in 2015 and 2016 reached 344.1 billion JPY (about 3.0 billion USD) for 32,204 awarded projects. About 49.5% of the funding was classifiable for disease-specific projects. Five GDB disease groups were significantly and relatively well-funded compared to their contributions to Japan's DALY, including neglected tropical diseases and malaria (funding vs DALY = 1.7% vs 0.0%, p&lt;0.01) and neoplasms (28.5% vs 19.2%, p&lt;0.001). In contrast, four GDB disease groups were significantly under-funded, including cardiovascular diseases (8.0% vs 14.8%, p&lt;0.001) and musculoskeletal disorders (1.0% vs 11.9%, p&lt;0.001). These percentages do not include unclassifiable funding. Conclusions: While caution is necessary as this study was not able to consider public in-house funding and the methodological uncertainties could not be ruled out, the analysis may provide a snapshot of the limited alignment between publicly competitive disease-specific funding and the disease burden in the country. The results call for greater management over the allocation of scarce resources on health R&amp;D. DALYs will serve as a crucial, but not the only, consideration in aligning Japan's research priorities with the public health needs. In addition, the algorithms for natural language processing used in this study require continued efforts to improve accuracy.</t>
  </si>
  <si>
    <t>Nomura Shuhei,Yoneoka Daisuke,Tanaka Shiori,Makuuchi Ryoko,Sakamoto Haruka,Ishizuka Aya,Nakamura Haruyo,Kubota Anna,Shibuya Kenji</t>
  </si>
  <si>
    <t>https://research.ebsco.com/linkprocessor/plink?id=fd90fadb-6211-3b2d-b96b-365e0afd8dad</t>
  </si>
  <si>
    <t>Natural language processing,Rubella,Public health research,Cardiovascular diseases,Japan,Research and development in the physical, engineering and life sciences</t>
  </si>
  <si>
    <t>Linkage of Indiana State Cancer Registry and Indiana Network for Patient Care Data</t>
  </si>
  <si>
    <t>BACKGROUND: Large automated electronic health records (EHRs), if brought together in a federated data model, have the potential to serve as valuable population-based tools in studying the patterns and effectiveness of treatment. The Indiana Network for Patient Care (INPC) is a unique federated EHR data repository that contains data collected from a large population across various health care settings throughout the state of Indiana. The INPC clinical data environment allows quick access and extraction of information from medical charts. The purpose of this project was to evaluate 2 different methods of record linkage between the Indiana State Cancer Registry (ISCR) and INPC, determine the match rate for linkage between the ISCR and INPC data for patients diagnosed with cancer, and to assess the completeness of the ISCR based on additional validated cancer cases identified in the INPC EHRs. METHODS: Deterministic and probabilistic algorithms were applied to link ISCR cases to the INPC. The linkage results were validated by manual review and the accuracy assessed with positive predictive value (PPV). Medical charts of melanoma and lung cancer cases identified in INPC but not linked to ISCR were manually reviewed to identify true incidence cancers missed by the ISCR, from which the completeness of the ISCR was estimated for each cancer. RESULTS: Both deterministic and probabilistic approaches to linking ISCR and INPC had extremely high PPV (&gt;99%) for identifying true matches for the overall cohort and each subcohort. The combined match rate for melanoma and lung cancer cases identified in the ISCR that matched to any patient occurrence in INPC (not by disease) was 85.5% for the complete cohort, 94.4% for melanoma, and 84.4% for lung cancer. The estimated completeness of capture by the ISCR was 84% for melanoma and 98% for lung cancer. Conclusion: Cancer registries can be successfully linked to patients’ EHR data from institutions participating in a regional health information organization (RHIO) with a high match rate. A pragmatic approach to data linkage may apply both deterministic and probabilistic approaches together for the diverse purposes of cancer control research. The RHIO has the potential to add value to the state cancer registry through the identification of additional true incident cases, but more advanced approaches, such as natural language processing, are needed.</t>
  </si>
  <si>
    <t>Ruppert,L.P.,He,J.,Martin,J.,Eckert,G.,Ouyang,F.,Church,A.,Dexter,P.,Hui,S.,Haggstrom,D.</t>
  </si>
  <si>
    <t>https://www.scopus.com/inward/record.uri?eid=2-s2.0-85046276068&amp;partnerID=40&amp;md5=8bef18e6a68b1f857e3977d211dda917</t>
  </si>
  <si>
    <t>Journal of Registry Management</t>
  </si>
  <si>
    <t>Linkage of Routine Data to Other Data Sources in Germany: A Practical Example Illustrating Challenges and Solutions</t>
  </si>
  <si>
    <t>Routine data have a high potential for epidemiological and health care research but lack information, for instance, on the cause of death. Often detailed information, such as on lifestyle factors is also missing. In Germany, obtaining the missing information by linkage to data sources is challenging, mainly due to strict data protection regulations. One key challenge arises from the fact that routine data users usually have no access to person identifiers which would be necessary for record linkage. A second key challenge is that sensitive information (i. e., the cause of death) should not be transferred to an institution that holds person identifiers. In this paper, we illustrate these key challenges and present corresponding solutions based on a practical example where claims data from statutory health insurance providers are linked to an epidemiological cancer registry to obtain cause of death information. We describe the approval procedures necessary for the record linkage, the dataflow between the involved institutions and explain the rationale of the dataflow in view of the key challenges. Finally, we generalize the questions that need to be addressed when a record linkage is planned and point to additional potential challenges. Overall, we illustrate that a linkage between routine data and other data sources in Germany is feasible, but specific restrictions and hurdles need to be taken into consideration. © 2020 Georg Thieme Verlag. All rights reserved.</t>
  </si>
  <si>
    <t>Langner,I.,Riedel,O.,Czwikla,J.,Heinze,F.,Rothgang,H.,Zeeb,H.,Haug,U.</t>
  </si>
  <si>
    <t>https://www.scopus.com/inward/record.uri?eid=2-s2.0-85082143175&amp;doi=10.1055%2Fa-0999-5509&amp;partnerID=40&amp;md5=1ae5f7222295fd00ef45c9ea35911d93</t>
  </si>
  <si>
    <t>cause of death,claims data,record linkage,routine data,Secondary data</t>
  </si>
  <si>
    <t>Gesundheitswesen, Supplement</t>
  </si>
  <si>
    <t>Long‐term follow‐up of a racially and ethnically diverse population of men with localized prostate cancer who did not undergo initial active treatment.</t>
  </si>
  <si>
    <t>Background: There is limited research on the racial/ethnic differences in long‐term outcomes for men with untreated, localized prostate cancer. Methods: Men diagnosed with localized, Gleason ≤7 prostate cancer who were not treated within 1 year of diagnosis from 1997–2007 were identified. Cumulative incidence rates of the following events were calculated; treatment initiation, metastasis, death due to prostate cancer and all‐cause mortality, accounting for competing risks. The Cox model of all‐cause mortality and Fine‐Gray sub distribution model to account for competing risks were used to test for racial/ethnic differences in outcomes adjusted for clinical factors. Results: There were 3925 men in the study, 749 Hispanic, 2415 non‐Hispanic white, 559 non‐Hispanic African American, and 202 non‐Hispanic Asian/Pacific Islander (API). Median follow‐up was 9.3 years. At 19 years, overall cumulative incidence of treatment, metastasis, death due to prostate cancer, and all‐cause mortality was 25.0%, 14.7%, 11.7%, and 67.8%, respectively. In adjusted models compared to non‐Hispanic whites, African Americans had higher rates of treatment (HR = 1.39, 95% CI = 1.15–1.68); they had an increased risk of metastasis beyond 10 years after diagnosis (HR = 4.70, 95% CI = 2.30–9.61); API and Hispanic had lower rates of all‐cause mortality (HR = 0.66, 95% CI = 0.52–0.84, and HR = 0.72, 95% CI = 0.62–0.85, respectively), and API had lower rates of prostate cancer mortality in the first 10 years after diagnosis (HR = 0.29, 95% CI = 0.09–0.90) and elevated risks beyond 10 years (HR = 5.41, 95% CI = 1.39–21.11). Conclusions: Significant risks of metastasis and prostate cancer mortality exist in untreated men beyond 10 years after diagnosis, but are not equally distributed among racial/ethnic groups.</t>
  </si>
  <si>
    <t>Slezak Jeff M.,Van Den Eeden Stephen K.,Cannavale Kimberly L.,Chien Gary W.,Jacobsen Steven J.,Chao Chun R.</t>
  </si>
  <si>
    <t>https://research.ebsco.com/linkprocessor/plink?id=a89b9793-5b1f-38e5-a2d5-7d21add9e720</t>
  </si>
  <si>
    <t>Cancer-related mortality,Ethnic differences,Competing risks,Ethnic groups,African Americans,Gleason grading system</t>
  </si>
  <si>
    <t>Lung cancer screening in India: Preparing for the future using smart tools &amp; biomarkers to identify highest risk individuals.</t>
  </si>
  <si>
    <t>There is a growing burden of lung cancer cases in India, incidence projected to increase from 63,708 cases (2015) to 81,219 cases (2025). The increasing numbers are attributed to smoking (India currently has nearly 100 million adult smokers) and environmental pollution. Most patients present with advanced disease (80-85% are incurable), causing nearly 60,000 annual deaths from lung cancer. Early detection through lung cancer screening (LCS) can result in curative therapies for earlier stages of lung cancer and improved survival. Annual low-dose computerized tomography (LDCT) is the standard method for LCS. Usually, high-risk populations (age&gt;50 yr and &gt;20 pack-years of smoking) are considered for LCS, but even such focused screening may be challenging in resource-limited countries like India. However, developing a smart LCS programme with high yield may be possible by leveraging demographic and genomic data, use of smart tools, and judicious use of blood-based biomarkers. Developing this model over the next several years will facilitate a structured cancer screening programme for populations at the highest risk of lung cancer. In this paper, we discuss the demographics of lung cancer in India and its relation to smoking patterns. Further, we elaborate on the potential applications and challenges of bringing a smart approach to LCS in high-risk populations in India.</t>
  </si>
  <si>
    <t>Ramnath Nithya,Ganesan Prasanth,Penumadu Prasanth,Arenberg Douglas,Bryant Alex</t>
  </si>
  <si>
    <t>https://research.ebsco.com/linkprocessor/plink?id=57dc5850-79df-32d0-bc88-37eb616b8d4c</t>
  </si>
  <si>
    <t>India,Lung Neoplasms epidemiology,Lung Neoplasms diagnosis,Lung Neoplasms genetics,Lung Neoplasms pathology,Lung Neoplasms diagnostic imaging,Early Detection of Cancer methods,Smoking adverse effects,Smoking epidemiology,Biomarkers, Tumor genetics,Biomarkers, Tumor blood,Humans,India epidemiology,Tomography, X-Ray Computed,Risk Factors,Mass Screening</t>
  </si>
  <si>
    <t>The Indian journal of medical research</t>
  </si>
  <si>
    <t>Machine Learning Approaches for Extracting Stage from Pathology Reports in Prostate Cancer.</t>
  </si>
  <si>
    <t>Clinical and pathological stage are defining parameters in oncology, which direct a patient's treatment options and prognosis. Pathology reports contain a wealth of staging information that is not stored in structured form in most electronic health records (EHRs). Therefore, we evaluated three supervised machine learning methods (Support Vector Machine, Decision Trees, Gradient Boosting) to classify free-text pathology reports for prostate cancer into T, N and M stage groups.</t>
  </si>
  <si>
    <t>Lenain Raphael,Seneviratne Martin G,Bozkurt Selen,Blayney Douglas W,Brooks James D,Hernandez-Boussard Tina</t>
  </si>
  <si>
    <t>https://research.ebsco.com/linkprocessor/plink?id=dcc02395-eb2b-32cd-87af-856d716aa321</t>
  </si>
  <si>
    <t>Machine Learning,Prostatic Neoplasms,Electronic Health Records,Humans,Male</t>
  </si>
  <si>
    <t>Machine Learning in Colorectal Cancer Risk Prediction from Routinely Collected Data: A Review.</t>
  </si>
  <si>
    <t>The inclusion of machine-learning-derived models in systematic reviews of risk prediction models for colorectal cancer is rare. Whilst such reviews have highlighted methodological issues and limited performance of the models included, it is unclear why machine-learning-derived models are absent and whether such models suffer similar methodological problems. This scoping review aims to identify machine-learning models, assess their methodology, and compare their performance with that found in previous reviews. A literature search of four databases was performed for colorectal cancer prediction and prognosis model publications that included at least one machine-learning model. A total of 14 publications were identified for inclusion in the scoping review. Data was extracted using an adapted CHARM checklist against which the models were benchmarked. The review found similar methodological problems with machine-learning models to that observed in systematic reviews for non-machine-learning models, although model performance was better. The inclusion of machine-learning models in systematic reviews is required, as they offer improved performance despite similar methodological omissions; however, to achieve this the methodological issues that affect many prediction models need to be addressed.</t>
  </si>
  <si>
    <t>Burnett Bruce,Zhou Shang-Ming,Brophy Sinead,Davies Phil,Ellis Paul,Kennedy Jonathan,Bandyopadhyay Amrita,Parker Michael,Lyons Ronan A.</t>
  </si>
  <si>
    <t>https://research.ebsco.com/linkprocessor/plink?id=52898d4f-6d30-367d-a295-4a27fa3236b0</t>
  </si>
  <si>
    <t>Colorectal cancer,Machine learning,Disease risk factors,Prediction models,Forecasting</t>
  </si>
  <si>
    <t>Diagnostics (2075-4418)</t>
  </si>
  <si>
    <t>Machine learning to parse breast pathology reports in Chinese.</t>
  </si>
  <si>
    <t>Large structured databases of pathology findings are valuable in deriving new clinical insights. However, they are labor intensive to create and generally require manual annotation. There has been some work in the bioinformatics community to support automating this work via machine learning in English. Our contribution is to provide an automated approach to construct such structured databases in Chinese, and to set the stage for extraction from other languages.</t>
  </si>
  <si>
    <t>Tang Rong,Ouyang Lizhi,Li Clara,He Yue,Griffin Molly,Taghian Alphonse,Smith Barbara,Yala Adam,Barzilay Regina,Hughes Kevin</t>
  </si>
  <si>
    <t>https://research.ebsco.com/linkprocessor/plink?id=d870bbb9-6677-3ad3-b1f1-3fd7e4004a81</t>
  </si>
  <si>
    <t>Breast Neoplasms epidemiology,Electronic Health Records,Machine Learning,Natural Language Processing,Algorithms,Breast pathology,Breast Neoplasms pathology,Data Mining,Databases, Factual,Female,Humans</t>
  </si>
  <si>
    <t>Machine learning-based prediction model for brain metastasis in patients with extensive-stage small cell lung cancer.</t>
  </si>
  <si>
    <t>Brain metastases (BMs) in extensive-stage small cell lung cancer (ES-SCLC) are often associated with poor survival rates and quality of life, making the timely identification of high-risk patients for BMs in ES-SCLC crucial. Patients diagnosed with ES-SCLC between 2010 and 2018 were screened from the Surveillance, Epidemiology, and End Results (SEER) database. Four different machine learning (ML) algorithms were used to create prediction models for BMs in ES-SCLC patients. The accuracy, sensitivity, specificity, AUROC, and AUPRC were compared among these models and traditional logistic regression (LR). The random forest (RF) model demonstrated the best performance and was chosen for further analysis. The AUROC and AUPRC were calculated and compared. The findings from the RF model were utilized to identify the risk factors linked to BMs in patients diagnosed with ES-SCLC. Examining 4,716 instances of ES-SCLC, the research conducted an analysis, with brain metastases arising in 1,900 cases. Through evaluation of the ROC curve and PRC concerning the RF Model, results depicted an AUROC of 0.896 (95% CI: 0.889–0.899) and AUPRC of 0.900 (95% CI: 0.895–0.904). Test accuracy measured at 0.810 (95% CI: 0.784–0.833), sensitivity at 0.797 (95% CI: 0.756–0.841), and specificity at 0.819 (95% CI: 0.754–0.879). Based on the SHAP analysis of the RF predictive model, the top 10 most relevant features were identified and ranked in order of relative importance: bone metastasis, liver metastasis, radiation, age, tumor size, primary tumor location, N-stage, race, T-stage, and chemotherapy. The research developed and validated a predictive RF model using clinical and pathological data to predict the risk of BMs in patients with ES-SCLC. This model may assist physicians in making clinical decisions that could delay the onset of BMs and improve patient survival rates.</t>
  </si>
  <si>
    <t>Munai Erha,Zeng Siwei,Yuan Ze,Yang Dingyi,Jiang Yong,Wang Qiang,Wu Yongzhong,Zhang Yunyun,Tao Dan</t>
  </si>
  <si>
    <t>https://research.ebsco.com/linkprocessor/plink?id=dbe87604-853f-3258-9c88-40ac3c54204f</t>
  </si>
  <si>
    <t>Small cell lung cancer,Liver metastasis,Brain metastasis,Bone metastasis,Random forest algorithms</t>
  </si>
  <si>
    <t>Machine Learning-Based Prediction of Distant Recurrence in Invasive Breast Carcinoma Using Clinicopathological Data: A Cross-Institutional Study.</t>
  </si>
  <si>
    <t>Simple Summary: Breast cancer is a diverse disease with varying prognoses, even within the same subtype. Approximately 30% of breast cancer patients experience distant organ recurrence, known as metastasis, after treatment. The evaluation of breast tumors and surrounding lymph nodes occurs before and after neoadjuvant therapy, which aims to shrink the tumor before surgery. Following resection, residual tumor cells may remain in the breast tissue, lymph nodes, or other areas, necessitating adjuvant therapy. Typically, a follow-up visit is scheduled a year or more after adjuvant therapy, during which metastasis may be detected. By utilizing machine learning techniques, metastasis can be predicted earlier in a clinical setting, allowing for tailored surveillance and treatment strategies. This has the potential to significantly enhance the quality of life for breast cancer patients. Breast cancer is the most common type of cancer worldwide. Alarmingly, approximately 30% of breast cancer cases result in disease recurrence at distant organs after treatment. Distant recurrence is more common in some subtypes such as invasive breast carcinoma (IBC). While clinicians have utilized several clinicopathological measurements to predict distant recurrences in IBC, no studies have predicted distant recurrences by combining clinicopathological evaluations of IBC tumors pre- and post-therapy with machine learning (ML) models. The goal of our study was to determine whether classification-based ML techniques could predict distant recurrences in IBC patients using key clinicopathological measurements, including pathological staging of the tumor and surrounding lymph nodes assessed both pre- and post-neoadjuvant therapy, response to therapy via standard-of-care imaging, and binary status of adjuvant therapy administered to patients. We trained and tested four clinicopathological ML models using a dataset (144 and 17 patients for training and testing, respectively) from Duke University and validated the best-performing model using an external dataset (8 patients) from Dartmouth Hitchcock Medical Center. The random forest model performed better than the C-support vector classifier, multilayer perceptron, and logistic regression models, yielding AUC values of 1.0 in the testing set and 0.75 in the validation set (p &lt; 0.002) across both institutions, thereby demonstrating the cross-institutional portability and validity of ML models in the field of clinical research in cancer. The top-ranking clinicopathological measurement impacting the prediction of distant recurrences in IBC were identified to be tumor response to neoadjuvant therapy as evaluated via SOC imaging and pathology, which included tumor as well as node staging.</t>
  </si>
  <si>
    <t>Sukhadia Shrey S.,Muller Kristen E.,Workman Adrienne A.,Nagaraj Shivashankar H.</t>
  </si>
  <si>
    <t>https://research.ebsco.com/linkprocessor/plink?id=cf504dd9-4fa6-3b8f-bff8-cd8e9ea06d62</t>
  </si>
  <si>
    <t>Cancer invasiveness,Cross-sectional method,Machine learning,Cancer relapse,Metastasis,Lymph nodes,Quality of life,Combined modality therapy,Logistic regression analysis,Receiver operating characteristic curves,Breast tumors</t>
  </si>
  <si>
    <t>Machine Learning-Powered Smart Healthcare Systems in the Era of Big Data: Applications, Diagnostic Insights, Challenges, and Ethical Implications.</t>
  </si>
  <si>
    <t>Healthcare data rapidly increases, and patients seek customized, effective healthcare services. Big data and machine learning (ML) enabled smart healthcare systems hold revolutionary potential. Unlike previous reviews that separately address AI or big data, this work synthesizes their convergence through real-world case studies, cross-domain ML applications, and a critical discussion on ethical integration in smart diagnostics. The review focuses on the role of big data analysis and ML towards better diagnosis, improved efficiency of operations, and individualized care for patients. It explores the principal challenges of data heterogeneity, privacy, computational complexity, and advanced methods such as federated learning (FL) and edge computing. Applications in real-world settings, such as disease prediction, medical imaging, drug discovery, and remote monitoring, illustrate how ML methods, such as deep learning (DL) and natural language processing (NLP), enhance clinical decision-making. A comparison of ML models highlights their value in dealing with large and heterogeneous healthcare datasets. In addition, the use of nascent technologies such as wearables and Internet of Medical Things (IoMT) is examined for their role in supporting real-time data-driven delivery of healthcare. The paper emphasizes the pragmatic application of intelligent systems by highlighting case studies that reflect up to 95% diagnostic accuracy and cost savings. The review ends with future directions that seek to develop scalable, ethical, and interpretable AI-powered healthcare systems. It bridges the gap between ML algorithms and smart diagnostics, offering critical perspectives for clinicians, data scientists, and policymakers.</t>
  </si>
  <si>
    <t>Rani Sita,Kumar Raman,Panda B. S.,Kumar Rajender,Muften Nafaa Farhan,Abass Mayada Ahmed,Lozanović Jasmina</t>
  </si>
  <si>
    <t>https://research.ebsco.com/linkprocessor/plink?id=b3122970-4f70-312a-8f42-762f7a1bb461</t>
  </si>
  <si>
    <t>Machine learning,Big data,Data privacy,Internet of medical things,Social responsibility,Federated learning,Diagnostic examinations,Digital health</t>
  </si>
  <si>
    <t>Making sense of big data in health research: Towards an EU action plan.</t>
  </si>
  <si>
    <t>Medicine and healthcare are undergoing profound changes. Whole-genome sequencing and high-resolution imaging technologies are key drivers of this rapid and crucial transformation. Technological innovation combined with automation and miniaturization has triggered an explosion in data production that will soon reach exabyte proportions. How are we going to deal with this exponential increase in data production? The potential of "big data" for improving health is enormous but, at the same time, we face a wide range of challenges to overcome urgently. Europe is very proud of its cultural diversity; however, exploitation of the data made available through advances in genomic medicine, imaging, and a wide range of mobile health applications or connected devices is hampered by numerous historical, technical, legal, and political barriers. European health systems and databases are diverse and fragmented. There is a lack of harmonization of data formats, processing, analysis, and data transfer, which leads to incompatibilities and lost opportunities. Legal frameworks for data sharing are evolving. Clinicians, researchers, and citizens need improved methods, tools, and training to generate, analyze, and query data effectively. Addressing these barriers will contribute to creating the European Single Market for health, which will improve health and healthcare for all Europeans.</t>
  </si>
  <si>
    <t>Auffray Charles,Balling Rudi,Barroso Inês,Bencze László,Benson Mikael,Bergeron Jay,Bernal-Delgado Enrique,Blomberg Niklas,Bock Christoph,Conesa Ana,Del Signore Susanna,Delogne Christophe,Devilee Peter,Di Meglio Alberto,Eijkemans Marinus,Flicek Paul,Graf Norbert,Grimm Vera,Guchelaar Henk-Jan,Guo Yi-Ke</t>
  </si>
  <si>
    <t>https://research.ebsco.com/linkprocessor/plink?id=fc87c3d2-66aa-33ef-b08b-796378645702</t>
  </si>
  <si>
    <t>Medical care,Genomes,Electronic data processing,Europe,European Union,Data Processing, Hosting, and Related Services,Hippocrates. Hippocratic oath</t>
  </si>
  <si>
    <t>Genome Medicine</t>
  </si>
  <si>
    <t>Male involvement in female partners' screening for breast and cervical cancers in Southwest Nigeria.</t>
  </si>
  <si>
    <t>Background: Breast and cervical cancers are in the top 10 most common cancers in women globally and the most common cancers in Nigerian women. The incidences have been rising steadily over the years. Involvement of men as key players in reproductive health issues has been receiving global attention especially in low and middle-income countries. Aim: To assess male involvement in their female partners' screening for breast and cervical cancers in Southwest, Nigeria. Method: This was a community-based, cross-sectional study that employed a multi-stage sampling method to select 254 men who were married or in steady relationships in Lagos State, Southwest Nigeria. Data were collected from June to October 2018 using a semi-structured interviewer-administered questionnaire, analyzed using Epi Info version 3.5.1 and summarized with mean and standard deviation. Chi-square test was used for bivariate statistics, and the p-value of ≤0.05 was considered statistically significant. Multivariable logistic regression was used for predictor variables of male involvement in screening. Results: 29.5% of the respondents had good knowledge of breast and cervical cancers and screening and majority (85.5%) had a positive attitude towards screening. Only few, 19.3% and 15.7% had provided money for breast and cervical cancer screening respectively. Most men, 75% and 87.4% respectively had not accompanied their wife/female partner for breast and cervical cancer screening, while almost half (49.2%) and one-third (33.5%) respectively, had encouraged their female partners to screen for breast and cervical cancers. Overall, only about half, 138 (54.3%) of the men were considered 'involved' in their female partners' screening for breast and cervical cancers. Male involvement was significantly associated with screening for female cancers (χ2 = 77.62, p = 0.001). Older age group (AOR = 2.64, 95% CI: 1.3–4.9), higher educational attainment (AOR = 3.51, 95% CI: 1.14–10.73), and positive attitude (AOR = 2.48, 95% CI:1.16–5.33) were found to be the predictors of male involvement. Conclusion: Community-based programs for males, especially the younger and less educated, should be implemented to increase their involvement. It is also suggested that mass media messages be spread and online platforms be explored in order to increase men's awareness and participation in female cancer screening.</t>
  </si>
  <si>
    <t>Okafor Ifeoma Peace,Kukoyi Folayemi Oyinkansola,Kanma-Okafor Oluchi Joan,Izuka Michael Orji</t>
  </si>
  <si>
    <t>https://research.ebsco.com/linkprocessor/plink?id=34604d6d-1bff-3c6a-95a3-363e3b888af4</t>
  </si>
  <si>
    <t>Cervical cancer,Medical screening,Breast cancer,Independent variables,Early detection of cancer,Logistic regression analysis,Females,Lagos State (Nigeria),Nigeria,All Other Miscellaneous Ambulatory Health Care Services</t>
  </si>
  <si>
    <t>Mapping the Oncological Basis Dataset to the Standardized Vocabularies of a Common Data Model: A Feasibility Study.</t>
  </si>
  <si>
    <t>Simple Summary: Resident physicians and medical institutions in Germany are required to report diagnostics, treatments, progression, and follow-up information for tumor patients to the respective state cancer registries. The information is transmitted electronically according to a defined data scheme (oncological basis dataset [oBDS]). In this study, we first mapped oBDS elements to the standardized vocabularies, a metadata repository of the observational medical outcomes partnership (OMOP) common data model (CDM). The mapping of the oBDS to the standardized vocabularies promotes the semantic interoperability of oncological data in Germany and provides the opportunity to participate in network studies of observational health data sciences and informatics under the usage of federated analysis. In their joint effort against cancer, all involved parties within the German healthcare system are obligated to report diagnostics, treatments, progression, and follow-up information for tumor patients to the respective cancer registries. Given the federal structure of Germany, the oncological basis dataset (oBDS) operates as the legally required national standard for oncological reporting. Unfortunately, the usage of various documentation software solutions leads to semantic and technical heterogeneity of the data, complicating the establishment of research networks and collective data analysis. Within this feasibility study, we evaluated the transferability of all oBDS characteristics to the standardized vocabularies, a metadata repository of the observational medical outcomes partnership (OMOP) common data model (CDM). A total of 17,844 oBDS expressions were mapped automatically or manually to standardized concepts of the OMOP CDM. In a second step, we converted real patient data retrieved from the Hamburg Cancer Registry to the new terminologies. Given our pipeline, we transformed 1773.373 cancer-related data elements to the OMOP CDM. The mapping of the oBDS to the standardized vocabularies of the OMOP CDM promotes the semantic interoperability of oncological data in Germany. Moreover, it allows the participation in network studies of the observational health data sciences and informatics under the usage of federated analysis beyond the level of individual countries.</t>
  </si>
  <si>
    <t>Carus Jasmin,Trübe Leona,Szczepanski Philip,Nürnberg Sylvia,Hees Hanna,Bartels Stefan,Nennecke Alice,Ückert Frank,Gundler Christopher</t>
  </si>
  <si>
    <t>https://research.ebsco.com/linkprocessor/plink?id=a35566b5-b73e-3bb7-b455-213c8ca2c360</t>
  </si>
  <si>
    <t>Databases,Pilot projects,Semantics,Reporting of diseases,Medical information storage &amp; retrieval systems,Database management,Vocabulary,Common data elements (Metadata),Cancer patient medical care,Specialty (except Psychiatric and Substance Abuse) Hospitals,Data Processing, Hosting, and Related Services</t>
  </si>
  <si>
    <t>Matching Patients to Accelerate Clinical Trials (MPACT): Enabling Technology for Oncology Clinical Trial Workflow.</t>
  </si>
  <si>
    <t>Clinical trial enrollment is impeded by the significant time burden placed on research coordinators screening eligible patients. With 50,000 new cancer cases every year, the Veterans Health Administration (VHA) has made increased access for Veterans to high-quality clinical trials a priority. To aid in this effort, we worked with research coordinators to build the MPACT (Matching Patients to Accelerate Clinical Trials) platform with a goal of improving efficiency in the screening process. MPACT supports both a trial prescreening workflow and a screening workflow, employing Natural Language Processing and Data Science methods to produce reliable phenotypes of trial eligibility criteria. MPACT also has a functionality to track a patient's eligibility status over time. Qualitative feedback has been promising with users reporting a reduction in time spent on identifying eligible patients.</t>
  </si>
  <si>
    <t>Do Nhan V,Elbers Danne C,Fillmore Nathanael R,Ajjarapu Samuel,Bergstrom Steven J,Bihn John,Corrigan June K,Dhond Rupali,Dipietro Svitlana,Dolgin Arkadiy,Feldman Theodore C,Goryachev Sergey D,Huhmann Linden B,La Jennifer,Marcantonio Paul A,McGrath Kyle M,Miller Stephen J,Nguyen Vinh Q,Schneeloch George R,Sung Feng-Chi,Swinnerton Kaitlin N,Tarren Amelia H,Tosi Hannah M,Valley Danielle,Vo Austin D,Yildirim Cenk,Zheng Chunlei,Zwolinski Robert,Sarosy Gisele A,Loose David,Shannon Colleen,Brophy Mary T</t>
  </si>
  <si>
    <t>https://research.ebsco.com/linkprocessor/plink?id=4505ba1d-24f5-342f-b513-4ac8345c2a03</t>
  </si>
  <si>
    <t>Technology,Neoplasms diagnosis,Neoplasms therapy,Humans,Workflow,Data Science,Eligibility Determination</t>
  </si>
  <si>
    <t>MediGPT: Exploring Potentials of Conventional and Large Language Models on Medical Data</t>
  </si>
  <si>
    <t>Medical text classification organizes medical documents into categories to streamline information retrieval and support clinical decision-making. Traditional machine learning techniques, including pre-trained language models, are effective but require extensive domain-specific training data, often underperform across languages, and are costly and complex to deploy on a large scale. In this study, we employed four datasets: Clinical trials on cancer, encompassing 6 million statements from interventional cancer clinical trial protocols; the Illness-dataset, consisting of 22,660 categorized tweets from 2018 and 2019; the Multi-View active learning for short medical text classification in user-generated data, an extended version of the Illness-dataset including 22,660 documents from the same period; and the Symptom2Disease dataset, containing 1,200 data points used to predict diseases based on symptom descriptions. This study uses ChatGPT, particularly its ChatGPT-3.5 and ChatGPT-4 versions, as a viable alternative for classifying medical texts. We investigate essential aspects, including the construction of prompts, the parsing of responses, and the various strategic use of GPT models to optimize outcomes. Through comparative analysis with established methods like pre-trained language model fine-tuning and prompt-tuning, our findings indicate that ChatGPT addresses these challenges efficiently and matches the performance of traditional methods. Furthermore, the enhanced capabilities of the proposed MediGPT (Medical Generative Pre-Trained Transformers) have led to performance improvements of 14.3%, 22.3%, 13.6%, and 13.7% across the datasets, highlighting its adaptability and robustness in diverse medical text scenarios without the need for specialized domain adjustments. This research underscores the capability of ChatGPT to facilitate a versatile AI framework in medical text processing, which could revolutionize medical informatics practices.</t>
  </si>
  <si>
    <t>Rony MA,Islam MS,Sultan T,Alshathri S,El-Shafai W</t>
  </si>
  <si>
    <t>https://www.webofscience.com/wos/woscc/full-record/WOS:001286673400001</t>
  </si>
  <si>
    <t>Protocols; Text categorization; Training data; Clinical trials; Chatbots; Transformers; Data models; Medical text; natural language processing; ChatGPT; classification; large language model</t>
  </si>
  <si>
    <t>IEEE ACCESS</t>
  </si>
  <si>
    <t>Meeting Abstracts from the 5th National Big Data Health Science Conference.</t>
  </si>
  <si>
    <t>into account when analyzing stroke-related deficits.P30: This study explores the relationship between sleep duration and cognitive function in older adults. The researchers analyzed data from the National Health and Aging Trends Study and found that both short and long sleep durations were associated with poorer cognitive function. The findings suggest that maintaining an optimal sleep duration is important for cognitive health in older adults.P31: This study investigates the impact of neighborhood characteristics on physical activity levels among older adults. The researchers used data from the Health and Retirement Study and found that neighborhood walkability, safety, and social cohesion were positively associated with physical activity. The findings highlight the importance of creating age-friendly neighborhoods that promote physical activity and support healthy aging.P32: This study examines the relationship between social media use and mental health outcomes among college students. The researchers surveyed college students and found that higher levels of social media use were associated with increased symptoms of depression and anxiety. The findings suggest that promoting healthy social media use and providing mental health support for college students is crucial.P33: This study explores the impact of mindfulness-based interventions on stress and well-being in healthcare professionals. The researchers conducted a systematic review and meta-analysis of randomized controlled trials and found that mindfulness-based interventions were effective in reducing stress and improving well-being among healthcare professionals. The findings suggest that incorporating mindfulness practices into healthcare settings can benefit both healthcare professionals and patient outcomes.P34: This study investigates the relationship between physical activity and mental health outcomes in adolescents. The researchers analyzed data from the National</t>
  </si>
  <si>
    <t>https://research.ebsco.com/linkprocessor/plink?id=517e033e-8ea4-3aaf-988e-1ed3850f6497</t>
  </si>
  <si>
    <t>Science conferences,Peripartum cardiomyopathy,Pelvic pain,Data science,Big data,Medical personnel,Health services administration,Administration of Public Health Programs</t>
  </si>
  <si>
    <t>Melhora na qualidade e completitude da base de dados do Registro de Câncer de Base Populacional do município de São Paulo: uso das técnicas de linkage/ Quality and completeness improvement of the Population-based Cancer Registry of São Paulo: linkage technique use</t>
  </si>
  <si>
    <t>RESUMO: A disponibilidade de grandes bases de dados informatizadas em saúde tornou a técnica de linkage uma alternativa para diferentes tipos de estudos, proporcionando a geração de uma base de dados mais completa e de baixo custo operacional.  Objetivo:  Melhorar a qualidade e a completitude dos casos incidentes de câncer por meio dos linkages probabilístico e determinístico entre o Registro de Câncer de Base Populacional de São Paulo (RCBP-SP), o banco de dados de óbitos e de Autorização e Procedimentos de Alta Complexidade.  Método:  Foi utilizado o banco de dados do RCBP-SP, composto de 343.306 casos de câncer incidentes no município de São Paulo entre 1997 e 2005, com idades entre 1 e 106 anos, de ambos os sexos. Para o linkage foram utilizadas três bases de dados, a saber: do Programa de Aprimoramento de Mortalidade no Município de São Paulo (PRO-AIM), da Fundação SEADE e da Autorização e Procedimentos de Alta Complexidade/Custo do Sistema de Informação Ambulatorial do Sistema Único de Saúde (APAC-SIA/SUS). Foram analisadas os coeficientes brutos de incidência (CBI) e mortalidade (CBM) e a sobrevida global pela técnica de Kaplan-Meier.  Resultados:  Após o linkage, verificou-se um ganho de 4,3% para a CBI e 25,8% para a CBM. Na análise de sobrevida global antes do linkage havia uma subestimação da probabilidade de estar vivo para todas as variáveis analisadas (p &amp;lt; 0,001).  Conclusão:  As técnicas de linkage contribuíram para a melhora da qualidade da informação do RCBP-SP tanto na completitude das variáveis quanto na definição do status vital do paciente, refletindo a capacidade das bases de dados, quando trabalhadas de maneira conjunta, de fornecerem subsídios para diversos tipos de estudos e informações para o planejamento de ações políticas e estratégicas.</t>
  </si>
  <si>
    <t>Peres Stela Verzinhasse,Latorre Maria do Rosário Dias de Oliveira,Tanaka Luana Fiengo,Michels Fernanda Alessandra Silva,Teixeira Monica La Porte,Coeli Claudia Medina,Almeida Márcia Furquim de</t>
  </si>
  <si>
    <t>http://www.scielosp.org/scielo.php?script=sci_arttext&amp;pid=S1415-790X2016000400753</t>
  </si>
  <si>
    <t>Análise de sobrevida,Health information systems,Incidence,Incidência,Medical record linkage,Mortalidade,Mortality,Neoplasias,Neoplasms,Registro médico coordenado,Sistemas de informação em saúde,Survival analysis</t>
  </si>
  <si>
    <t>Rev. bras. epidemiol. (Online)</t>
  </si>
  <si>
    <t>LILACS</t>
  </si>
  <si>
    <t>Metastasis-Free Survival after Adjuvant or Salvage Radiation Therapy Following Radical Prostatectomy in a National Healthcare Delivery System.</t>
  </si>
  <si>
    <t>Some men benefit from post-operative radiation after radical prostatectomy (RP) for localized prostate cancer. A recent meta-analysis indicated early salvage (SRT) was comparable to adjuvant radiation therapy (ART) primarily based on biochemical endpoints (i.e., PSA), known to be poor surrogates of survival. In addition, the optimal PSA threshold to initiate SRT remains unclear. While awaiting long-term prospective data to confirm survival endpoints for these treatments, we evaluated metastasis-free (MFS) and prostate cancer-specific survival (PCSS) after post-operative radiation in a large contemporary national cohort of men previously treated with RP. We used Veterans Health Administration Corporate Data Warehouse and Central Cancer Registry to identify men with localized prostate cancer treated with RP from 2005 to 2016, with follow up through 2019. We identified incident metastatic disease using a validated natural language processing algorithm and cause of death with National Death Index data. We defined ART as start of radiation ≤1 year after RP; SRT was &gt;1 year after RP and early SRT was considered pre-SRT PSA ≤0.2 ng/mL. We used Cox models to identify factors associated with MFS/PCSS, adjusting for age, year of RP, comorbidity, pT/N stage, margin status, grade group, initial post-op PSA, and ADT use. We conducted sensitivity analyses for SRT patients across pre-SRT PSA groups. Of 27,823 patients treated with RP, 2,990 received ART, 948 received early SRT, and 981 received late SRT. The ART cohort, compared to SRT, was more likely to have adverse features, including pT3b (28% vs 12%), pN1 (8% vs 3%), grade group 5 (20% vs 11%), and initial post-op PSA &gt;0.1 ng/mL (48% vs 26%) (all p&lt;0.05). Median PSA for early vs. late SRT was 0.07 ng/mL (IQR 0.01-0.14) vs. 0.47 ng/mL (IQR 0.30-1.00). Compared to early SRT, ART may be associated with worse MFS (adjusted HR = 1.24, 95% CI = 1.00-1.54, p = 0.05) but not PCSS (aHR = 1.23, 95% CI = 0.76-1.99, p = 0.40). Compared to early SRT, late SRT was associated with both worse MFS (aHR = 1.73, 95% CI = 1.29-1.97, p&lt;0.001) and PCSS (aHR = 2.44, 95% CI = 1.48- 4.00, p&lt;0.001). Increasing pre-SRT PSA was significantly associated with worse MFS, but only the PSA &gt;0.6 ng/mL subgroup was associated with worse PCSS (Table). For men receiving radiation therapy after RP within a national healthcare system, late SRT was associated with worse survival endpoints, possibly driven by the subset with a pre-SRT PSA &gt;0.6 ng/mL. Early SRT and ART had similar outcomes after adjusting for adverse pathology. These findings support the use of early SRT with further work needed to define optimal PSA thresholds and kinetics to initiate treatment.</t>
  </si>
  <si>
    <t>Regan S.N.,Herr D.J.,Elliott D.A.,Chapman C.H.,Caram M.E.,Burns J.,Hollenbeck B.,Sparks J.B.,Shin C.,Zaslavsky A.,Tsodikov A.,Skolarus T.</t>
  </si>
  <si>
    <t>https://research.ebsco.com/linkprocessor/plink?id=fbb8c58c-12fa-3ad0-af1b-c7cfca5c25f7</t>
  </si>
  <si>
    <t>Natural language processing,Medical care,Prostate cancer patients,Radical prostatectomy,Data warehousing,Prostate cancer,Gleason grading system</t>
  </si>
  <si>
    <t>Metastatic Carcinomas at the Episiotomy Site: A Systematic Literature Review.</t>
  </si>
  <si>
    <t>Simple Summary: Episiotomy is a surgical perineal incision enlarging the vaginal opening during labor to prevent severe perineal lacerations. We previously reviewed the characteristics of primary carcinomas arising from the episiotomy scar. In the present systematic literature review, we analyzed the clinical–pathological features of patients with secondary carcinomas metastasizing to the episiotomy scar site. Background/Objectives: Rarely, primary (PriCs) or metastatic (metECs) carcinomas occur in the episiotomy site. Methods: A systematic literature review of metECs was carried out. We reviewed the PRISMA guidelines and the Scopus, Pubmed, and Web of Science databases. Results: We found 21 carcinomas; all of them were cervical carcinomas (11 squamous, SCC; 6 adenocarcinomas; 3 adenosquamous; 1 SCC or adenocarcinoma) diagnosed during pregnancy (38%) or 0.25–8 months postpartum (57%). SCCs were larger (mean size: 4.8 cm). At presentation, only two cases were pN+, and no distant metastases were found, excluding four episiotomy metastases (one anticipating the cervical cancer diagnosis); the remaining episiotomy metastases (mean size: 3 cm; one multifocal) were found at follow-up (these were first metastases in 86% of cases). The time range from the episiotomy/last delivery to first episiotomy metastasis was 1–66 (mean, 12.3) months. Treatment was variable: hysterectomy (71%) ± lymphadenectomy (67%) and/or adjuvant treatment (19%); chemoradiation/radiotherapy alone (24%). A total of 90% of cases recurred after 18 days to 66 months (mean, 12 months). At last follow-up, ten patients (48%) were disease-free after 12–120 (mean, 63.5) months, two patients (10%) were alive with disease, and nine (42%) patients died of disease after 6–36 (mean, 12.5) months (including two never-cleared/progressing cases). Conclusions: PriCs and metECs are rare. Iatrogenic/obstetric implantation or vascular dissemination of cervical cancer at the site of episiotomy may occur. For episiotomy lesions, accurate gynecological/perineal examination is required, and biopsy can be considered. Larger studies are required in order to determine treatment guidelines. Compared to PriCs, metECs occurred in younger (premenopausal) patients, were not associated with endometriosis, and demonstrated slightly smaller size and shorter mean time from episiotomy to episiotomy metastases, with a higher likelihood of a less favorable prognosis.</t>
  </si>
  <si>
    <t>Palicelli Andrea,Tonni Gabriele,Torricelli Federica,Melli Beatrice,Cusenza Vincenza Ylenia,Martinelli Sandra,Zanetti Eleonora,Bisagni Alessandra,Zanelli Magda,Bonasoni Maria Paola,Rossi Teresa,Mangone Lucia,Medina-Illueca Venus Damaris,Zizzo Maurizio,Morini Andrea,Broggi Giuseppe,Caltabiano Rosario,Salzano Serena,Sanguedolce Francesca,Koufopoulos Nektarios I.</t>
  </si>
  <si>
    <t>https://research.ebsco.com/linkprocessor/plink?id=a10592d2-5379-372b-a276-3f7ae4a23bee</t>
  </si>
  <si>
    <t>Risk assessment,Squamous cell carcinoma,Adenocarcinoma,Hysterectomy,Research funding,Lymphadenectomy,Kruskal-Wallis Test,Chemoradiotherapy,Descriptive statistics,Age distribution,Episiotomy,Metastasis,Systematic reviews,MEDLINE,Log-rank test,Online information services,Cervical cancer,Survival analysis (Biometry),Cervix uteri tumors</t>
  </si>
  <si>
    <t>Metformin Improves Survival in Patients with Pancreatic Ductal Adenocarcinoma and Pre-Existing Diabetes: A Propensity Score Analysis</t>
  </si>
  <si>
    <t>Objectives: Pancreatic ductal adenocarcinoma (PDAC) remains a highly lethal disease. Diabetes mellitus (DM) is both a risk factor for and a sequela of PDAC. Metformin is a commonly prescribed biguanide oral hypoglycemic used for the treatment of type II DM. We investigated whether metformin use before PDAC diagnosis affected survival of patients with DM, controlling confounders such as diabetic severity. Methods: We used the Surveillance, Epidemiology, and End Results registry (SEER)-Medicare linked database to identify patients with PDAC diagnosed between 2007 and 2011. The diabetic TO comorbidity severity index (DCSI) controlled for DM severity. Inverse propensity weighted Cox Proportional-Hazard Models assessed the association between metformin use and overall survival adjusting for relevant confounders. Results: We identified 1,916 patients with PDAC and pre-existing DM on hypoglycemic medications at least 1 year before cancer diagnosis. Of these, 1,098 (57.3%) were treated with metformin and 818 (42.7%) with other DM medications. Mean survival for those on metformin was 5.5 months compared with 4.2 months for those not on metformin (P&lt;0.01). After adjusting for confounders including DCSI, Charlson score, and chronic kidney disease (CKD), patients on metformin had a 12% decreased risk of mortality compared with patients on other medications (hazard ratio (HR): 0.88, 95% confidence interval (CI): 0.81-0.96, P&lt;0.01). In stratified analysis, differences persisted regardless of the Charlson score, the DCSI score, the presence of kidney disease, or the use of insulin/other hypoglycemic medications (P&lt;0.01 for all). Conclusions: Metformin is associated with increased survival among diabetics with PDAC. If confirmed in a prospective study, then these results suggest a possible role for metformin as an adjunct to chemotherapy among diabetics with PDAC. © 2016 by the American College of Gastroenterology.</t>
  </si>
  <si>
    <t>Amin,S.,Mhango,G.,Lin,J.,Aronson,A.,Wisnivesky,J.,Boffetta,P.,Lucas,A.L.</t>
  </si>
  <si>
    <t>https://www.scopus.com/inward/record.uri?eid=2-s2.0-84978695254&amp;doi=10.1038%2Fajg.2016.288&amp;partnerID=40&amp;md5=1208dd293459930722be43a675f9af7b</t>
  </si>
  <si>
    <t>American Journal of Gastroenterology</t>
  </si>
  <si>
    <t>MISTIC: a novel approach for metastasis classification in Italian electronic health records using transformers.</t>
  </si>
  <si>
    <t>Declarations. Ethics approval and consent to participate: The use of data for this study has been implemented in full compliance with ethics and GDPR requirements. Specifically, data usage has been approved by the Ethics Committee Policlinico Gemelli to conduct the presented research (Protocol Number: 2889256), and the de-identification of sensitive data has been performed. Consent for publication: Not applicable. Competing interests: The authors declare no competing interests</t>
  </si>
  <si>
    <t>Lilli Livia,Santoro Mario,Masiello Valeria,Patarnello Stefano,Tagliaferri Luca,Marazzi Fabio,Capocchiano Nikola Dino</t>
  </si>
  <si>
    <t>https://research.ebsco.com/linkprocessor/plink?id=be4b5336-834e-3f1f-bb3c-01ba7cda15e8</t>
  </si>
  <si>
    <t>Italy,Electronic Health Records,Natural Language Processing,Breast Neoplasms pathology,Breast Neoplasms classification,Neoplasm Metastasis,Data Mining methods,Humans,Italy,Female</t>
  </si>
  <si>
    <t>Molecular and Clinical Features of Pancreatic Acinar Cell Carcinoma: A Single-Institution Case Series.</t>
  </si>
  <si>
    <t>Simple Summary: We present a case series of 16 patients with pancreatic acinar cell carcinoma treated at our institution for whom available molecular information was evaluated. Most of the patients had metastatic disease, and all patients tested for KRAS mutations were KRAS wild type. Five of 12 patients who underwent DNA damage repair gene testing had germline and/or somatic mutations. One patient was found to have RET fusion and responded favorably to selpercatinib for over 42 months. We also include two additional cases who underwent BostonGene testing, including genomic alterations, RNA expression, and tumor microenvironment (TME) features. One of the two cases was found to have NTRK1 fusion. These findings highlight the need for further investigation of acinar cell carcinoma using larger samples to refine treatment strategies for this rare pancreatic cancer. Objectives: Acinar cell carcinoma (ACC) accounts for about 1% of pancreatic cancers. The molecular and clinical features of ACC are less characterized than those of pancreatic ductal adenocarcinoma. Methods: We retrospectively evaluated the clinical and molecular features of ACC patients who underwent germline and/or somatic molecular testing at The University of Texas MD Anderson Cancer Center from 2008 to 2022 and two cases from 2023–2024 who underwent RNA and TME analysis by Boston Gene. Patient information was extracted from our institutional database with the approval of the Institutional Review Board. Results: We identified 16 patients with available molecular testing results. Fourteen patients had metastatic disease, one had borderline resectable disease, and one had localized resectable disease at diagnosis. Fifteen patients were wild type for KRAS (one patient had unknown KRAS status). Somatic/germline mutations of DNA damage repair genes (BRCA1/2, PALB2, and ATM) were present in 5 of 12 patients tested for these genes. One patient was found to have RET fusion and responded favorably to selpercatinib for over 42 months. The median overall survival (OS) was 24 months for patients with metastatic disease. One of the additional two cases who underwent BostonGene testing was found to have NTRK1 fusion. RNA and TME analysis by Boston Gene of the two cases reported immune desert features and relatively lower RNA levels of CEACAM5, CD47, CD74, and MMP1 and higher RNA levels of CDH6 compared with PDAC.</t>
  </si>
  <si>
    <t>Balachandran Pillai Ashwathy,Yousef Mahmoud,Yousef Abdelrahman,Alfaro-Munoz Kristin D.,Smaglo Brandon G.,Willis Jason,Wolff Robert A.,Pant Shubham,Hurd Mark W.,Maitra Anirban,Wang Huamin,Katz Matthew Harold G.,Prakash Laura R.,Tzeng Ching-Wei D.,Snyder Rebecca,Castelnovo Luca F.,Chen Anthony,Kravets Andrey,Kudriavtseva Kseniia,Tarasov Artem</t>
  </si>
  <si>
    <t>https://research.ebsco.com/linkprocessor/plink?id=d2f7cac9-1d16-3f9d-a7ec-b239a6427012</t>
  </si>
  <si>
    <t>RNA analysis,Academic medical centers,Protein-tyrosine kinase inhibitors,Retrospective studies,Pancreatic tumors,Genes,Immunohistochemistry,DNA repair,Molecular biology,Overall survival,Symptoms,Texas</t>
  </si>
  <si>
    <t>Monitoring lung cancer screening use and outcomes at four cancer research network sites</t>
  </si>
  <si>
    <t>Rationale: Lung cancer screening registries can monitor screening outcomes and improve quality of care. Objectives: To describe nascent lung cancer screening programs and share efficient data collection approaches for mandatory registry reporting in four integrated health care systems of the National Cancer Institute-funded Cancer Research Network. Methods: We documented the distinctive characteristics of lung cancer screening programs, and we provide examples of strategies to facilitate data collection and describe early challenges and possible solutions. In addition, we report preliminary data on use and outcomes of screening with low-dose computed tomography at each of the participating sites. Results: Programs varied in approaches to confirming patient eligibility, ordering screening low-dose computed tomographic scans, and coordinating follow-up care. Most data elements were collected from structured fields in electronic health records, but sites also made use of standardized order templates, local procedure codes, identifiable hashtags in radiology reports, and natural language processing algorithms. Common challenges included incomplete documentation of tobacco smoking history, difficulty distinguishing between scans performed for screening versus diagnosis or surveillance, and variable adherence with use of standardized templates. Adherence with eligibility criteria as well as the accuracy and completeness of data collection appeared to depend at least partly on availability of personnel and other resources to support the successful implementation of screening. Conclusions: To maximize the effectiveness of lung cancer screening, minimize the burden of data collection, and facilitate research and quality improvement, clinical workflow and information technology should be purposefully designed to ensure that patients meet eligibility criteria and receive appropriate follow-up testing. © © 2017 by the American Thoracic Society.</t>
  </si>
  <si>
    <t>Gould,M.K.,Sakoda,L.C.,Ritzwoller,D.P.,Simoff,M.J.,Neslund-Dudas,C.M.,Kushi,L.H.,Carter-Harris,L.,Feigelson,H.S.,Minowada,G.,Doria-Rose,V.</t>
  </si>
  <si>
    <t>https://www.scopus.com/inward/record.uri?eid=2-s2.0-85039802209&amp;doi=10.1513%2FAnnalsATS.201703-237OC&amp;partnerID=40&amp;md5=02299b6b99deffcdc0182318ab067663</t>
  </si>
  <si>
    <t>Electronic Health Records,Lung Cancer,Registry,Screening</t>
  </si>
  <si>
    <t>Annals of the American Thoracic Society</t>
  </si>
  <si>
    <t>Mother and child characteristics at birth and early age leukemia: a case-cohort population-based study.</t>
  </si>
  <si>
    <t>OBJECTIVE: The population-based cancer registries (PBCR) and the Information System on Live Births in Brazil (Sistema de Informações sobre Nascidos Vivos [SINASC]) have information that enables the test for risk factors associated with leukemia at an early age. The aim of this study was to identify maternal and birth characteristics associated with early-age acute leukemia (EAL) in Brazil. METHODS: A case-cohort study was performed using secondary dataset information of PBCR and SINASC. The risk association variables were grouped into (i) characteristics of the child at birth and (ii) characteristics of maternal exposure during pregnancy. The case-control ratio was 1:4. Linkage was performed using R software; odds ratio (OR) and 95% confidence interval (CI) were calculated by logistic regression models. RESULTS: EAL was associated with maternal occupational exposure to chemicals (agricultural, chemical, and petrochemical industry; adjOR: 2.18, 95% CI: 1.16-4.10) and with birth defects (adjOR: 3.62, 95% CI: 1.19-11.00). CONCLUSIONS: The results of this study, with the identification of EAL risk factors in population-based case-cohort study, strengthen the knowledge and improve databases, contributing to investigations on risk factors associated with childhood leukemia worldwide.</t>
  </si>
  <si>
    <t>Reis Rejane de Souza,Silva Neimar de Paula,Santos Marceli de Oliveira,Oliveira Julio Fernando Pinto,Thuler Luiz Claudio Santos,de Camargo Beatriz,Pombo-de-Oliveira Maria S</t>
  </si>
  <si>
    <t>https://dx.doi.org/10.1016/j.jped.2016.12.009</t>
  </si>
  <si>
    <t>Birth characteristics,Birth weight,Brasil,Brazil,Características ao nascimento,Early age leukemia,Exposições maternas,Fatores de risco,Leucemias na Infância,Maternal characteristics,Maternal occupation,Peso ao nascer</t>
  </si>
  <si>
    <t>J Pediatr (Rio J)</t>
  </si>
  <si>
    <t>Mother and child characteristics at birth and early age leukemia: a case-cohort population-based study/ Características mãe-filho ao nascer e leucemias na primeira infância: um estudo de caso-coorte de base populacional no Brasil</t>
  </si>
  <si>
    <t>Abstract  Objective: The population-based cancer registries (PBCR) and the Information System on Live Births in Brazil (Sistema de Informações sobre Nascidos Vivos [SINASC]) have information that enables the test for risk factors associated with leukemia at an early age. The aim of this study was to identify maternal and birth characteristics associated with early-age acute leukemia (EAL) in Brazil.  Methods: A case-cohort study was performed using secondary dataset information of PBCR and SINASC. The risk association variables were grouped into (i) characteristics of the child at birth and (ii) characteristics of maternal exposure during pregnancy. The case-control ratio was 1:4. Linkage was performed using R software; odds ratio (OR) and 95% confidence interval (CI) were calculated by logistic regression models.  Results: EAL was associated with maternal occupational exposure to chemicals (agricultural, chemical, and petrochemical industry; adjOR: 2.18, 95% CI: 1.16-4.10) and with birth defects (adjOR: 3.62, 95% CI: 1.19-11.00).  Conclusions: The results of this study, with the identification of EAL risk factors in population-based case-cohort study, strengthen the knowledge and improve databases, contributing to investigations on risk factors associated with childhood leukemia worldwide.</t>
  </si>
  <si>
    <t>Reis Rejane de Souza,Silva Neimar de Paula,Santos Marceli de Oliveira,Oliveira Julio Fernando Pinto,Thuler Luiz Claudio Santos,Camargo Beatriz de,Pombo-de-Oliveira Maria S</t>
  </si>
  <si>
    <t>http://www.scielo.br/scielo.php?script=sci_arttext&amp;pid=S0021-75572017000600610</t>
  </si>
  <si>
    <t>J. pediatr. (Rio J.)</t>
  </si>
  <si>
    <t>Multi-Task Topic Analysis Framework for Hallmarks of Cancer with Weak Supervision</t>
  </si>
  <si>
    <t>The hallmarks of cancer represent an essential concept for discovering novel knowledge about cancer and for extracting the complexity of cancer. Due to the lack of topic analysis frameworks optimized specifically for cancer data, the studies on topic modeling in cancer research still have a strong challenge. Recently, deep learning (DL) based approaches were successfully employed to learn semantic and contextual information from scientific documents using word embeddings according to the hallmarks of cancer (HoC). However, those are only applicable to labeled data. There is a comparatively small number of documents that are labeled by experts. In the real world, there is a massive number of unlabeled documents that are available online. In this paper, we present a multi-task topic analysis (MTTA) framework to analyze cancer hallmark-specific topics from documents. The MTTA framework consists of three main subtasks: (1) cancer hallmark learning (CHL)-used to learn cancer hallmarks on existing labeled documents; (2) weak label propagation (WLP)-used to classify a large number of unlabeled documents with the pre-trained model in the CHL task; and (3) topic modeling (ToM)-used to discover topics for each hallmark category. In the CHL task, we employed a convolutional neural network (CNN) with pre-trained word embedding that represents semantic meanings obtained from an unlabeled large corpus. In the ToM task, we employed a latent topic model such as latent Dirichlet allocation (LDA) and probabilistic latent semantic analysis (PLSA) model to catch the semantic information learned by the CNN model for topic analysis. To evaluate the MTTA framework, we collected a large number of documents related to lung cancer in a case study. We also conducted a comprehensive performance evaluation for the MTTA framework, comparing it with several approaches.</t>
  </si>
  <si>
    <t>Batbaatar E,Pham VH,Ryu KH</t>
  </si>
  <si>
    <t>https://www.webofscience.com/wos/woscc/full-record/WOS:000525305900105</t>
  </si>
  <si>
    <t>multi-task learning; topic analysis; semantic learning; convolutional neural network; latent semantic learning; biomedical domain; cancer hallmark; lung cancer</t>
  </si>
  <si>
    <t>APPLIED SCIENCES-BASEL</t>
  </si>
  <si>
    <t>Myelodysplastic syndrome and acute myeloid leukemia after receipt of granulocyte colony-stimulating factors in older patients with non-Hodgkin lymphoma</t>
  </si>
  <si>
    <t>Background: Granulocyte colony-stimulating factors (G-CSFs), which are used for the prevention of complications from chemotherapy-related neutropenia, are linked to the risk of developing second primary myelodysplastic syndrome (MDS) and acute myeloid leukemia (AML). The objective of this study was to examine the correlation between using a specific G-CSF agent and the risk of MDS/AML among older patients with non-Hodgkin lymphoma (NHL). Methods: This was a retrospective cohort study of adults aged &gt;65 years who were diagnosed with first primary NHL between 2001 and 2011. With data from the Surveillance, Epidemiology, and End Results-Medicare–linked database, adjusted hazard ratios (HRs) and 95% confidence intervals (CIs) were estimated for the risk of MDS/AML associated with the receipt of G-CSF(filgrastim and pegfilgrastim) in Cox proportional-hazards models, which were stratified according to treatment accounting for confounding by indication. Results: Among 18,245 patients with NHL patients who had a median follow-up of 3.5 years, 56% received chemotherapy and/or immunotherapy, and G-CSF was most commonly used in those who received rituximab plus multiple chemotherapy regimens (77%). Subsequent MDS/AML diagnoses were identified in 666 patients (3.7%). A modest increased risk of MDS/AML was observed with the receipt of G-CSF (HR, 1.28; 95% CI, 1.01-1.62) and a trend was observed with increasing doses (P &lt;inf&gt;trend&lt;/inf&gt; &lt;.01). When specific agents were analyzed, an increased risk of MDS/AML was consistently observed with filgrastim (≥10 doses: HR, 1.67; 95% CI, 1.25-2.23), but not with pegfilgrastim (≥10 + doses: HR, 1.11; 95% CI, 0.84-1.45). Conclusions: A higher of MDS/AML was observed in patients with NHL risk among those who received G-CSF that was specific to the use of filgrastim (≥10 doses), but not pegfilgrastim. Neutropenia prophylaxis is an essential component of highly effective NHL treatment regimens. The differential risk related to the types of G-CSF agents used warrants further study given their increasing use and newly available, US Food and Drug Administration–approved, biosimilar products. © 2018 American Cancer Society</t>
  </si>
  <si>
    <t>Calip,G.S.,Moran,K.M.,Sweiss,K.I.,Patel,P.R.,Wu,Z.,Adimadhyam,S.,Lee,T.A.,Ko,N.Y.,Quigley,J.G.,Chiu,B.C.H.</t>
  </si>
  <si>
    <t>https://www.scopus.com/inward/record.uri?eid=2-s2.0-85058387424&amp;doi=10.1002%2Fcncr.31914&amp;partnerID=40&amp;md5=154a1bb8d19bce5176ca03c6b6a5b23b</t>
  </si>
  <si>
    <t>acute myeloid leukemia,epidemiology,granulocyte colony-stimulating factors,myelodysplastic syndrome,non-Hodgkin lymphoma</t>
  </si>
  <si>
    <t>National Speakers.</t>
  </si>
  <si>
    <t>The document from the Asia Pacific Journal of Clinical Oncology provides detailed profiles of various professionals working in the field of oncology across Australia. These profiles include information about their roles, qualifications, research interests, and contributions to cancer care. The professionals mentioned work in diverse areas such as nursing, medical oncology, psycho-oncology, and palliative care, showcasing the multidisciplinary approach to cancer care in Australia. Their work focuses on improving patient outcomes, advancing cancer research, and enhancing the quality of care provided to individuals affected by cancer.</t>
  </si>
  <si>
    <t>https://research.ebsco.com/linkprocessor/plink?id=20a292e1-dc07-3d8f-b8f3-6f68f2ffda26</t>
  </si>
  <si>
    <t>Medical students,Physicians,Medical care,Career development,Medical personnel,Oncology nursing,Prostate cancer,Ovarian cancer,Nurse practitioners,Specialty (except Psychiatric and Substance Abuse) Hospitals,Vocational Rehabilitation Services,Professional and Management Development Training,Offices of Physicians (except Mental Health Specialists),Offices of physicians</t>
  </si>
  <si>
    <t>Asia Pacific Journal of Clinical Oncology</t>
  </si>
  <si>
    <t>Natural Language Processing Algorithm to Extract Multiple Myeloma Stage From Oncology Notes in the Veterans Affair Healthcare System</t>
  </si>
  <si>
    <t>PURPOSE Stage in multiple myeloma (MM) is an essential measure of disease risk, but its measurement in large databases is often lacking. We aimed to develop and validate a natural language processing (NLP) algorithm to extract oncologists’ documentation of stage in the national Veterans Affairs (VA) Healthcare System. METHODS Using nationwide electronic health record (EHR) and cancer registry data from the VA Corporate Data Warehouse, we developed and validated a rule-based NLP algorithm to extract oncologist-determined MM stage. To that end, a clinician annotated MM stage within over 5,000 short snippets of clinical notes, and annotated MM stage at MM treatment initiation for 200 patients. These were allocated into snippet- and patient-level development and validation sets. We developed MM stage extraction and roll-up algorithms within the development sets. After the algorithms were finalized, we validated them using standard measures in held-out validation sets. RESULTS We developed algorithms for three different MM staging systems that have been in widespread use (Revised International Staging System [R-ISS], International Staging System [ISS], and Durie-Salmon [DS]) and for stage reported without a clearly defined system. Precision and recall were uniformly high for MM stage at the snippet level, ranging from 0.92 to 0.99 for the different MM staging systems. Performance in identifying for MM stage at treatment initiation at the patient level was also excellent, with precision of 0.92, 0.96, 0.90, and 0.86 and recall of 0.99, 0.98, 0.94, and 0.92 for R-ISS, ISS, DS, and unclear stage, respectively. CONCLUSION Our MM stage extraction algorithm uses rule-based NLP and data aggregation to accurately measure MM stage documented in oncology notes and pathology reports in VA’s national EHR system. It may be adapted to other systems where MM stage is recorded in clinical notes. © 2024 by American Society of Clinical Oncology.</t>
  </si>
  <si>
    <t>Goryachev,S.D.,Yildirim,C.,DuMontier,C.,La,J.,Dharne,M.,Gaziano,J.M.,Brophy,M.T.,Munshi,N.C.,Driver,J.A.,Do,N.V.,Fillmore,N.R.</t>
  </si>
  <si>
    <t>https://www.scopus.com/inward/record.uri?eid=2-s2.0-85199538169&amp;doi=10.1200%2FCCI.23.00197&amp;partnerID=40&amp;md5=170673a9e3508f4c3a49b258a296d26c</t>
  </si>
  <si>
    <t>Natural Language Processing Applications for Computer-Aided Diagnosis in Oncology.</t>
  </si>
  <si>
    <t>In the era of big data, text-based medical data, such as electronic health records (EHR) and electronic medical records (EMR), are growing rapidly. EHR and EMR are collected from patients to record their basic information, lab tests, vital signs, clinical notes, and reports. EHR and EMR contain the helpful information to assist oncologists in computer-aided diagnosis and decision making. However, it is time consuming for doctors to extract the valuable information they need and analyze the information from the EHR and EMR data. Recently, more and more research works have applied natural language processing (NLP) techniques, i.e., rule-based, machine learning-based, and deep learning-based techniques, on the EHR and EMR data for computer-aided diagnosis in oncology. The objective of this review is to narratively review the recent progress in the area of NLP applications for computer-aided diagnosis in oncology. Moreover, we intend to reduce the research gap between artificial intelligence (AI) experts and clinical specialists to design better NLP applications. We originally identified 295 articles from the three electronic databases: PubMed, Google Scholar, and ACL Anthology; then, we removed the duplicated papers and manually screened the irrelevant papers based on the content of the abstract; finally, we included a total of 23 articles after the screening process of the literature review. Furthermore, we provided an in-depth analysis and categorized these studies into seven cancer types: breast cancer, lung cancer, liver cancer, prostate cancer, pancreatic cancer, colorectal cancer, and brain tumors. Additionally, we identified the current limitations of NLP applications on supporting the clinical practices and we suggest some promising future research directions in this paper.</t>
  </si>
  <si>
    <t>Li Chengtai,Zhang Yiming,Weng Ying,Wang Boding,Li Zhenzhu</t>
  </si>
  <si>
    <t>https://research.ebsco.com/linkprocessor/plink?id=d24f953f-dab5-382c-8cf2-ebfeb2633711</t>
  </si>
  <si>
    <t>Computer-aided diagnosis,Natural language processing,Anterior cruciate ligament injuries,Electronic health records,Oncology,Prostate cancer,Evidence gaps</t>
  </si>
  <si>
    <t>Natural Language Processing for Information Extraction of Gastric Diseases and Its Application in Large-Scale Clinical Research.</t>
  </si>
  <si>
    <t>Background and Aims: The utility of clinical information from esophagogastroduodenoscopy (EGD) reports has been limited because of its unstructured narrative format. We developed a natural language processing (NLP) pipeline that automatically extracts information about gastric diseases from unstructured EGD reports and demonstrated its applicability in clinical research. Methods: An NLP pipeline was developed using 2000 EGD and associated pathology reports that were retrieved from a single healthcare center. The pipeline extracted clinical information, including the presence, location, and size, for 10 gastric diseases from the EGD reports. It was validated with 1000 EGD reports by evaluating sensitivity, positive predictive value (PPV), accuracy, and F1 score. The pipeline was applied to 248,966 EGD reports from 2010–2019 to identify patient demographics and clinical information for 10 gastric diseases. Results: For gastritis information extraction, we achieved an overall sensitivity, PPV, accuracy, and F1 score of 0.966, 0.972, 0.996, and 0.967, respectively. Other gastric diseases, such as ulcers, and neoplastic diseases achieved an overall sensitivity, PPV, accuracy, and F1 score of 0.975, 0.982, 0.999, and 0.978, respectively. The study of EGD data of over 10 years revealed the demographics of patients with gastric diseases by sex and age. In addition, the study identified the extent and locations of gastritis and other gastric diseases, respectively. Conclusions: We demonstrated the feasibility of the NLP pipeline providing an automated extraction of gastric disease information from EGD reports. Incorporating the pipeline can facilitate large-scale clinical research to better understand gastric diseases.</t>
  </si>
  <si>
    <t>Song Gyuseon,Chung Su Jin,Seo Ji Yeon,Yang Sun Young,Jin Eun Hyo,Chung Goh Eun,Shim Sung Ryul,Sa Soonok,Hong Moongi Simon,Kim Kang Hyun,Jang Eunchan,Lee Chae Won,Bae Jung Ho,Han Hyun Wook</t>
  </si>
  <si>
    <t>https://research.ebsco.com/linkprocessor/plink?id=11a4101c-9cd5-384a-b3e8-4fd1d561139e</t>
  </si>
  <si>
    <t>Gastric diseases,Natural language processing,Data mining,Medical research,Research and Development in the Physical, Engineering, and Life Sciences (except Biotechnology)</t>
  </si>
  <si>
    <t>Natural language processing for local, regional, and distant breast cancer relapse identification in pathology reports</t>
  </si>
  <si>
    <t>Purpose: Cancer registries rarely track breast cancer relapse due to the resource-intensive nature of manual chart review. To address this gap, we developed natural language processing (NLP) models to automate the identification of breast cancer relapse in pathology reports. Methods: We collected pathology reports from patients diagnosed with breast cancer between January 1, 2005, and December 31, 2014, in British Columbia, Canada, and manually annotated each for the presence or absence of local, regional, distant, and any breast cancer relapses. With these reports, we fine-tuned large language models to classify pathology reports. Results: The corpus contained 1,888 pathology reports from a cohort of 993 breast cancer patients. Of these reports, 673 (35.6%) described local, 296 (15.7%) regional, and 654 (34.6%) distant relapses. In addition, 1,510 (80.0%) described at least one of any relapse type. The median time from diagnosis to first relapse was 7.3 years (range 0.2–18.2). All models demonstrated excellent performance. The local-relapse model performed particularly well, with &gt; 93% accuracy, sensitivity, specificity, and 0.98 area under the receiver operating characteristic curve (AUC) score. Conclusion: We developed NLP models to detect breast cancer relapses from pathology reports with excellent accuracy, sensitivity, specificity, and AUC. NLP may facilitate more efficient and accurate collection of breast cancer outcomes data from clinical reports. © The Author(s), under exclusive licence to Springer Science+Business Media, LLC, part of Springer Nature 2025.</t>
  </si>
  <si>
    <t>Lee,J.J.,Jettinghoff,W.,Arbour,G.,Zepeda,A.,Isaac,K.V.,Ng,R.T.,Nichol,A.M.</t>
  </si>
  <si>
    <t>https://www.scopus.com/inward/record.uri?eid=2-s2.0-105015052508&amp;doi=10.1007%2Fs10549-025-07801-8&amp;partnerID=40&amp;md5=03fa32420d589a547d613e47597458b7</t>
  </si>
  <si>
    <t>Breast cancer,Natural language processing,Pathology,Relapse</t>
  </si>
  <si>
    <t>Breast Cancer Research and Treatment</t>
  </si>
  <si>
    <t>Natural Language Processing in Diagnostic Texts from Nephropathology.</t>
  </si>
  <si>
    <t>Introduction: This study investigates whether it is possible to predict a final diagnosis based on a written nephropathological description—as a surrogate for image analysis—using various NLP methods. Methods: For this work, 1107 unlabelled nephropathological reports were included. (i) First, after separating each report into its microscopic description and diagnosis section, the diagnosis sections were clustered unsupervised to less than 20 diagnostic groups using different clustering techniques. (ii) Second, different text classification methods were used to predict the diagnostic group based on the microscopic description section. Results: The best clustering results (i) could be achieved with HDBSCAN, using BoW-based feature extraction methods. Based on keywords, these clusters can be mapped to certain diagnostic groups. A transformer encoder-based approach as well as an SVM worked best regarding diagnosis prediction based on the histomorphological description (ii). Certain diagnosis groups reached F1-scores of up to 0.892 while others achieved weak classification metrics. Conclusion: While textual morphological description alone enables retrieving the correct diagnosis for some entities, it does not work sufficiently for other entities. This is in accordance with a previous image analysis study on glomerular change patterns, where some diagnoses are associated with one pattern, but for others, there exists a complex pattern combination.</t>
  </si>
  <si>
    <t>Legnar Maximilian,Daumke Philipp,Hesser Jürgen,Porubsky Stefan,Popovic Zoran,Bindzus Jan Niklas,Siemoneit Joern-Helge Heinrich,Weis Cleo-Aron</t>
  </si>
  <si>
    <t>https://research.ebsco.com/linkprocessor/plink?id=3385da86-1b32-3408-9e1d-de1bd3437b7d</t>
  </si>
  <si>
    <t>Natural language processing,Image analysis,Feature extraction</t>
  </si>
  <si>
    <t>Natural Language Processing in Surgery: A Systematic Review and Meta-analysis.</t>
  </si>
  <si>
    <t>Conflicts of Interest and Source of Funding: J.P.F. has received payments as a consultant from Baxter, Becton-Dickinson, Gore, and Integra LifeSciences. This research did not receive financial support for the study. The remaining authors do not have any financial disclosures. The authors report no conflicts of interest.</t>
  </si>
  <si>
    <t>Mellia Joseph A,Basta Marten N,Toyoda Yoshiko,Othman Sammy,Elfanagely Omar,Morris Martin P,Torre-Healy Luke,Ungar Lyle H,Fischer John P</t>
  </si>
  <si>
    <t>https://research.ebsco.com/linkprocessor/plink?id=16954a26-e455-312b-810e-b83c58c7cb94</t>
  </si>
  <si>
    <t>Algorithms,Electronic Health Records statistics &amp; numerical data,Narration,Natural Language Processing,Surgical Procedures, Operative,Humans</t>
  </si>
  <si>
    <t>Annals of surgery</t>
  </si>
  <si>
    <t>Natural language processing in urology: Automated extraction of clinical information from histopathology reports of uro-oncology procedures</t>
  </si>
  <si>
    <t>Objectives: We aimed to automate routine extraction of clinically relevant unstructured information from uro-oncological histopathology reports by applying rule-based and machine learning (ML)/deep learning (DL) methods to develop an oncology focused natural language processing (NLP) algorithm. Methods: Our algorithm employs a combination of a rule-based approach and support vector machines/neural networks (BioBert/Clinical BERT), and is optimised for accuracy. We randomly extracted 5772 uro-oncological histology reports from 2008 to 2018 from electronic health records (EHRs) and split the data into training and validation datasets in an 80:20 ratio. The training dataset was annotated by medical professionals and reviewed by cancer registrars. The validation dataset was annotated by cancer registrars and defined as the gold standard with which the algorithm outcomes were compared. The accuracy of NLP-parsed data was matched against these human annotation results. We defined an accuracy rate of &gt;95% as “acceptable” by professional human extraction, as per our cancer registry definition. Results: There were 11 extraction variables in 268 free-text reports. We achieved an accuracy rate of between 61.2% and 99.0% using our algorithm. Of the 11 data fields, a total of 8 data fields met the acceptable accuracy standard, while another 3 data fields had an accuracy rate between 61.2% and 89.7%. Noticeably, the rule-based approach was shown to be more effective and robust in extracting variables of interest. On the other hand, ML/DL models had poorer predictive performances due to highly imbalanced data distribution and variable writing styles between different reports and data used for domain-specific pre-trained models. Conclusion: We designed an NLP algorithm that can automate clinical information extraction accurately from histopathology reports with an overall average micro accuracy of 93.3%. © 2023 The Authors</t>
  </si>
  <si>
    <t>Huang,H.,Lim,F.X.Y.,Gu,G.T.,Han,M.J.,Fang,A.H.S.,Chia,E.H.S.,Bei,E.Y.T.,Tham,S.Z.,Ho,H.S.S.,Yuen,J.S.P.,Sun,A.,Lim,J.K.S.</t>
  </si>
  <si>
    <t>https://www.scopus.com/inward/record.uri?eid=2-s2.0-85151252120&amp;doi=10.1016%2Fj.heliyon.2023.e14793&amp;partnerID=40&amp;md5=fef1c6e029b16e37603668f0157474fe</t>
  </si>
  <si>
    <t>Cancer registry,Deep learning,Machine learning,Natural language processing,Uro-oncology histology reports</t>
  </si>
  <si>
    <t>Heliyon</t>
  </si>
  <si>
    <t>Natural language processing in urology: Automated extraction of clinical information from histopathology reports of uro-oncology procedures.</t>
  </si>
  <si>
    <t>We aimed to automate routine extraction of clinically relevant unstructured information from uro-oncological histopathology reports by applying rule-based and machine learning (ML)/deep learning (DL) methods to develop an oncology focused natural language processing (NLP) algorithm.</t>
  </si>
  <si>
    <t>Huang Honghong,Lim Fiona Xin Yi,Gu Gary Tianyu,Han Matthew Jiangchou,Fang Andrew Hao Sen,Chia Elian Hui San,Bei Eileen Yen Tze,Tham Sarah Zhuling,Ho Henry Sun Sien,Yuen John Shyi Peng,Sun Aixin,Lim Jay Kheng Sit</t>
  </si>
  <si>
    <t>https://research.ebsco.com/linkprocessor/plink?id=a3774fa1-9ba8-3f98-acb0-d05087db8eda</t>
  </si>
  <si>
    <t>Natural language processing systems for diagnosing and determining level of lung cancer: A systematic review.</t>
  </si>
  <si>
    <t>Introduction: Lung cancer is the second most common cancer for men and women. Using natural language processing to automatically extract information from text, lead to decrease labor of manual extraction from large volume of text material and save time. The aim of this study is to systematically review of studies which reviewed NLP methods in diagnosing and staging lung cancer. Material and Methods: PubMed, Scopus, Web of science, Embase was searched for English language articles that reported diagnosing and staging methods in lung cancer Using NLP until DEC 2019. Two reviewers independently assessed original papers to determine eligibility for inclusion in the review. Results: Of 231 studies, 7 studies were included. Three studies developed a NLP algorithm to scan radiology notes and determine the presence or absence of nodules to identify patients with incident lung nodules for treatment or follow-up. Two studies used NLP to transform the report text, including identification of UMLS terms and detection of negated findings to classifying reports, also one of them used an SVM-based text classification system for staging lung cancer patients. All studies reported various performance measures based on the difference between combinations of methods. Most of studies have reported sensitivity and specificity of the NLP algorithm for identifying the presence of lung nodules. Conclusion: Evaluation of studies in diagnosing and staging methods in lung cancer using NLP shows there is a number of studies on diagnosing lung cancer but there are a few works on staging that. In some studies, combination of methods was considered and NLP isolated was not sufficient for capturing satisfying results. There are potentials to improve studies by adding other data sources, further refinement and subsequent validation.</t>
  </si>
  <si>
    <t>Montazeri Mahdieh,Afraz Ali,Farimani Raheleh Mahboob,Ghasemian Fahimeh</t>
  </si>
  <si>
    <t>https://research.ebsco.com/linkprocessor/plink?id=64a84cde-2a84-3d1a-b045-45c2418a14ce</t>
  </si>
  <si>
    <t>Natural language processing,Lung cancer,Diagnosis,Pulmonary nodules,Manual labor,Cancer patients</t>
  </si>
  <si>
    <t>Natural Language Processing to Ascertain Cancer Outcomes From Medical Oncologist Notes</t>
  </si>
  <si>
    <t>PURPOSE Cancer research using electronic health records and genomic data sets requires clinical outcomes data, which may be recorded only in unstructured text by treating oncologists. Natural language processing (NLP) could substantially accelerate extraction of this information. METHODS Patients with lung cancer who had tumor sequencing as part of a single-institution precision oncology study from 2013 to 2018 were identified. Medical oncologists' progress notes for these patients were reviewed. For each note, curators recorded whether the assessment/plan indicated any cancer, progression/worsening of disease, and/or response to therapy or improving disease. Next, a recurrent neural network was trained using unlabeled notes to extract the assessment/plan from each note. Finally, convolutional neural networks were trained on labeled assessments/plans to predict the probability that each curated outcome was present. Model performance was evaluated using the area under the receiver operating characteristic curve (AUROC) among a held-out test set of 10% of patients. Associations between curated response or progression end points and overall survival were measured using Cox models among patients receiving palliative-intent systemic therapy. RESULTS Medical oncologist notes (n = 7,597) were manually curated for 919 patients. In the 10% test set, NLP models replicated human curation with AUROCs of 0.94 for the any-cancer outcome, 0.86 for the progression outcome, and 0.90 for the response outcome. Progression/worsening events identified using NLP models were associated with shortened survival (hazard ratio [HR] for mortality, 2.49; 95% CI, 2.00 to 3.09); response/improvement events were associated with improved survival (HR, 0.45; 95% CI, 0.30 to 0.67). CONCLUSION NLP models based on neural networks can extract meaningful outcomes from oncologist notes at scale. Such models may facilitate identification of clinical and genomic features associated with response to cancer treatment. (c) 2020 by American Society of Clinical Oncology</t>
  </si>
  <si>
    <t>Kehl KL,Xu WX,Lepisto E,Elmarakeby H,Hassett MJ,Van Allen EM,Johnson BE,Schrag D</t>
  </si>
  <si>
    <t>https://www.webofscience.com/wos/woscc/full-record/WOS:000618857000001</t>
  </si>
  <si>
    <t>Natural Language Processing to Identify Cancer Treatments With Electronic Medical Records</t>
  </si>
  <si>
    <t>PURPOSE Knowing the treatments administered to patients with cancer is important for treatment planning and correlating treatment patterns with outcomes for personalized medicine study. However, existing methods to identify treatments are often lacking. We develop a natural language processing approach with structured electronic medical records and unstructured clinical notes to identify the initial treatment administered to patients with cancer. METHODS We used a total number of 4,412 patients with 483,782 clinical notes from the Stanford Cancer Institute Research Database containing patients with nonmetastatic prostate, oropharynx, and esophagus cancer. We trained treatment identification models for each cancer type separately and compared performance of using only structured, only unstructured (bag-of-words, doc2vec, fasttext), and combinations of both (structured + bow, structured + doc2vec, structured + fasttext). We optimized the identification model among five machine learning methods (logistic regression, multilayer perceptrons, random forest, support vector machines, and stochastic gradient boosting). The treatment information recorded in the cancer registry is the gold standard and compares our methods to an identification baseline with billing codes. RESULTS For prostate cancer, we achieved an f1-score of 0.99 (95% CI, 0.97 to 1.00) for radiation and 1.00 (95% CI, 0.99 to 1.00) for surgery using structured + doc2vec. For oropharynx cancer, we achieved an f1-score of 0.78 (95% CI, 0.58 to 0.93) for chemoradiation and 0.83 (95% CI, 0.69 to 0.95) for surgery using doc2vec. For esophagus cancer, we achieved an f1-score of 1.0 (95% CI, 1.0 to 1.0) for both chemoradiation and surgery using all combinations of structured and unstructured data. We found that employing the free-text clinical notes outperforms using the billing codes or only structured data for all three cancer types. CONCLUSION Our results show that treatment identification using free-text clinical notes greatly improves upon the performance using billing codes and simple structured data. The approach can be used for treatment cohort identification and adapted for longitudinal cancer treatment identification. © 2023 American Society of Clinical Oncology. All rights reserved.</t>
  </si>
  <si>
    <t>Zeng,J.,Banerjee,I.,Henry,A.S.,Wood,D.J.,Shachter,R.D.,Gensheimer,M.F.,Rubin,D.L.</t>
  </si>
  <si>
    <t>https://www.scopus.com/inward/record.uri?eid=2-s2.0-85103996605&amp;doi=10.1200%2FCCI.20.00173&amp;partnerID=40&amp;md5=2327c6c1d24c195d0f0d7b5a340195cb</t>
  </si>
  <si>
    <t>Necesidades de formación en el Registro Nacional de Cáncer de Cuba/ Training Needs in the Cuban National Cancer Registry</t>
  </si>
  <si>
    <t>Introducción: La calidad de los datos de los registros de cáncer depende de mantener un alto nivel en las competencias técnicas del personal que garanticen la sostenibilidad en el desempeño de sus funciones. Dada la incorporación de nuevos técnicos y profesionales vinculados al registro de cáncer, la necesidad de formar nuevos profesores, entre otras razones, el Registro Nacional de Cáncer de Cuba se ha propuesto desarrollar un plan de formación continua sustentado en la estrategia docente de Formador de formadores. Objetivo: Evaluar las necesidades de formación relacionadas con los registros de cáncer, entre los profesionales vinculados a este sistema de información. Métodos: Se realizó un estudio observacional, descriptivo y transversal, de corte cualitativo-cuantitativo para identificar conocimientos y necesidades de formación. Se enviaron encuestas anónimas a través del correo electrónico y se diseñaron dos instrumentos para la recolección de datos, de acuerdo con el grupo de estudio. Resultados: Se recibieron 167 encuestas, en las que el 57,5 por ciento eran médicos. Del total de registradores solo el 62  por ciento había recibido cursos o entrenamiento durante los últimos diez años. El 93  por ciento del total de médicos encuestados consideró necesario y útil recibir formación en este tema. Conclusiones: Los resultados obtenidos permiten justificar ampliamente la necesidad del desarrollo del Plan de formación de los recursos humanos vinculados al registro de cáncer(AU)</t>
  </si>
  <si>
    <t>Galán Álvarez Yaima Haydeé,Fernández Garrote Leticia María</t>
  </si>
  <si>
    <t>http://scielo.sld.cu/pdf/ems/v39/1561-2902-ems-39-e4338.pdf</t>
  </si>
  <si>
    <t>Cancer,Cancer registry,Cáncer,Educación,Education,Registro de cáncer</t>
  </si>
  <si>
    <t>Educ. med. super</t>
  </si>
  <si>
    <t>New method for determining breast cancer recurrence-free survival using routinely collected real-world health data.</t>
  </si>
  <si>
    <t>In cancer survival analyses using population-based data, researchers face the challenge of ascertaining the timing of recurrence. We previously developed algorithms to identify recurrence of breast cancer. This is a follow-up study to detect the timing of recurrence.</t>
  </si>
  <si>
    <t>Jung Hyunmin,Lu Mingshan,Quan May Lynn,Cheung Winson Y,Kong Shiying,Lupichuk Sasha,Feng Yuanchao,Xu Yuan</t>
  </si>
  <si>
    <t>https://research.ebsco.com/linkprocessor/plink?id=3fd6a9f2-b7cc-3d60-9f19-82213ba3e181</t>
  </si>
  <si>
    <t>Breast Neoplasms diagnosis,Breast Neoplasms epidemiology,Female,Follow-Up Studies,Global Health,Humans,Neoplasm Recurrence, Local diagnosis,Neoplasm Recurrence, Local epidemiology,Proportional Hazards Models</t>
  </si>
  <si>
    <t>New Opportunities for Cancer Health Services Research</t>
  </si>
  <si>
    <t>Background: The Surveillance, Epidemiology and End Results (SEER)-Medicare data combine clinical information from population-based cancer registries with Medicare claims. These data have been used in many studies to understand cancer screening, treatment, outcomes, and costs. However, until recently, these data included limited information related to the characteristics and outcomes of cancer patients residing in or admitted to nursing homes. Objectives: To provide an overview of the new linkage between SEER-Medicare data and the Minimum Data Set (MDS), a nursing home resident assessment instrument detailing residents' physical, psychological, and psychosocial functioning as well as any therapies or treatments received. Research Design: This is a descriptive, retrospective cohort study. Subjects: Persons in SEER-Medicare diagnosed with cancer from 2004 to 2013 were linked to the 2011-2014 MDS, with 17% of SEER-Medicare patients linked to the MDS data. During 2011-2014, we identified 318,617 cancer patients receiving care in a nursing home and 256,947 cancer patients newly admitted to a total of 10,953 nursing homes. Of these patients, approximately two thirds were Medicare fee-for-service beneficiaries. Results: The timing from cancer diagnoses to nursing home admission varied by cancer. In total, 93% of all patients were admitted directly to a nursing home from an acute care hospital. The majority of patients were cognitively intact, 21% reported some level of depression, and 9% had severe functional limitations. Conclusions: The new SEER-Medicare-MDS dataset provides a valuable resource for understanding the postacute and long-Term care experiences of cancer patients receiving care in United States' nursing homes. © © © 2018 Wolters Kluwer Health, Inc. All rights reserved.</t>
  </si>
  <si>
    <t>Thomas,K.S.,Boyd,E.,Mariotto,A.B.,Penn,D.C.,Barrett,M.J.,Warren,J.L.</t>
  </si>
  <si>
    <t>https://www.scopus.com/inward/record.uri?eid=2-s2.0-85056299064&amp;doi=10.1097%2FMLR.0000000000000877&amp;partnerID=40&amp;md5=4270fd5cd8ee2874b260b730ea02f7c9</t>
  </si>
  <si>
    <t>cancer,health services research,Medicare,nursing home,SEER data</t>
  </si>
  <si>
    <t>Medical Care</t>
  </si>
  <si>
    <t>New South Wales data linkage study reveals a shift in HCC mortality risk: Time for broader strategies</t>
  </si>
  <si>
    <t>Background: This study aims to examine the impact of sociodemographic and clinical factors on hepatocellular carcinoma (HCC) mortality in New South Wales (NSW), Australia. Methods: We conducted a 15-year retrospective study (2001–2015) using data linkage of health records and cancer registry databases, to identify all HCC cases and analyse HCC-related and all-cause mortality rates. Location-based socioeconomic status (SES) was determined using the Socioeconomic Indexes for Areas (SEIFA). Multivariable Cox regression analysis was used to determine the effect of key variables on mortality. Results: 5564 cases of HCC were diagnosed during the study period. A study cohort of 5454 cases was analysed after excluding cases with key missing data. More than half of the chronic liver disease cases were due to non-viral causes. During the study period, 4033 deaths occurred, of which 2862 were HCC-related. The median survival time for HCC-related deaths was 547 days, and the 5-year survival rate was 31.3 %. Higher HCC-related mortality rates were observed in SEIFA quintiles 2, 3 and 4, when compared to 5 (where SEIFA 1 is most disadvantaged, and SEIFA 5 is most advantaged). Furthermore, significantly increased HCC-related mortality was observed for those aged ≥65, male gender, Australian-born, hospitalisation due to complications of alcohol use, having metastatic HCC at diagnosis, and not receiving surgery for HCC. Conclusions: There is higher prevalence of non-viral-related HCC than viral-related HCC in NSW, Australia, where HCC-related mortality risk is greatest among those Australian-born and lower to higher SES, when compared to highest SES. Identifying factors contributing to these emerging disparities is crucial for developing effective prevention programs and allocating research and health resources. © 2024</t>
  </si>
  <si>
    <t>Maher,S.,Kabir,A.,Behary,J.,Conway,D.P.,Akon,A.C.,Barr,M.,Zekry,A.</t>
  </si>
  <si>
    <t>https://www.scopus.com/inward/record.uri?eid=2-s2.0-85207876037&amp;doi=10.1016%2Fj.canep.2024.102690&amp;partnerID=40&amp;md5=7b41199de375865b16624410108c65df</t>
  </si>
  <si>
    <t>Alcoholic liver disease,Cancer epidemiology,Liver cancer,Liver disease,Metabolic dysfunction-associated steatotic liver disease</t>
  </si>
  <si>
    <t>Nodal disease burden and outcome of medullary thyroid carcinoma</t>
  </si>
  <si>
    <t>Background: Medullary thyroid carcinoma (MTC) is a rare malignancy with high incidence of cervical lymph node (CLN) metastasis. We investigated the impact of nodal disease burden on survival. Methods: We searched the National Cancer Database for MTC patients treated surgically. Impact of nodal metastasis on survival was analyzed using Cox univariable and multivariable regression. Results: We identified 2627 patients from 2004 to 2015. Positive CLNs were identified in 1433 (54.5%), and 542 (20.6%) had &gt;10 CLN+. Overall survival was 94.5% and 89.6% at 3 and 5 years. Patients with 11 to 20 CLN+ had significantly worse survival than patients with 1 to 10 CLN+ in univariable and multivariable analyses (HR = 3.56 (2.31-5.50) vs 2.26 (1.60-3.20); P &lt;.0001). The ratio of positive to dissected CLN was associated with overall survival. Conclusions: Higher burden of nodal disease is associated with worse survival in MTC. The number of positive nodes could be a valuable prognosticator in addition to the current staging system. © 2020 Wiley Periodicals LLC</t>
  </si>
  <si>
    <t>Moses,L.E.,Oliver,J.R.,Rotsides,J.M.,Shao,Q.,Patel,K.N.,Morris,L.G.T.,Givi,B.</t>
  </si>
  <si>
    <t>https://www.scopus.com/inward/record.uri?eid=2-s2.0-85093974721&amp;doi=10.1002%2Fhed.26511&amp;partnerID=40&amp;md5=6a22807d39d8d30c97c563043e7fe0de</t>
  </si>
  <si>
    <t>Head and Neck</t>
  </si>
  <si>
    <t>Non-asbestiform elongate mineral particles and mesothelioma risk: Human and experimental evidence</t>
  </si>
  <si>
    <t>The presentations in this session of the Monticello II conference were aimed at summarizing what is known about asbestiform and non-asbestiform elongate mineral particles (EMPs) and mesothelioma risks based on evidence from experimental and epidemiology studies. Dr. Case discussed case reports of mesothelioma over the last several decades. Dr. Taioli indicated that the epidemiology evidence concerning non-asbestiform EMPs is weak or lacking, and that progress would be limited unless mesothelioma registries are established. One exception discussed is that of taconite miners, who are exposed to grunerite. Drs. Mandel and Odo noted that studies of taconite miners in Minnesota have revealed an excess rate of mesothelioma, but the role of non-asbestiform EMPs in this excess incidence of mesothelioma is unclear. Dr. Becich discussed the National Mesothelioma Virtual Bank (NMVB), a virtual mesothelioma patient registry that includes mesothelioma patients' lifetime work histories, exposure histories, biospecimens, proteogenomic information, and imaging data that can be used in epidemiology research on mesothelioma. Dr. Bernstein indicated that there is a strong consensus that long, highly durable respirable asbestiform EMPs have the potential to cause mesothelioma, but there is continued debate concerning the biodurability required, and the dimensions (both length and diameter), the shape, and the dose associated with mesothelioma risk. Finally, Dr. Nel discussed how experimental studies of High Aspect Ratio Engineered Nanomaterials have clarified dimensional and durability features that impact disease risk, the impact of inflammation and oxidative stress on the epigenetic regulation of tumor suppressor genes, and the generation of immune suppressive effects in the mesothelioma tumor microenvironment. The session ended with a discussion of future research needs. © 2022 Gradco LLC dba Gradient</t>
  </si>
  <si>
    <t>Goodman,J.E.,Becich,M.J.,Bernstein,D.M.,Case,B.W.,Mandel,J.H.,Nel,A.E.,Nolan,R.,Odo,N.U.,Smith,S.R.,Taioli,E.,Gibbs,G.</t>
  </si>
  <si>
    <t>https://www.scopus.com/inward/record.uri?eid=2-s2.0-85160332875&amp;doi=10.1016%2Fj.envres.2022.114578&amp;partnerID=40&amp;md5=8c1ea31ade7ba004534f1daf906543a0</t>
  </si>
  <si>
    <t>Asbestos,Cleavage fragments,Elongate mineral particle (EMP),High aspect ratio engineered nanomaterials,Mesothelioma</t>
  </si>
  <si>
    <t>Environmental Research</t>
  </si>
  <si>
    <t>Novel Data Linkages to Characterize Palliative and End-Of-Life Care: Challenges and Considerations</t>
  </si>
  <si>
    <t>Context: Working groups have called for linkages of existing and diverse databases to improve quality measurement in palliative and end-of-life (EOL) care, but limited data are available on the challenges of using different data sources to measure such care. Objectives: To assess concordance of data obtained from different sources in a novel linkage of death certificates, electronic health records (EHRs), cancer registry data, and insurance claims for patients who died with cancer. Methods: We joined a database of Washington State death certificates and EHR to a data repository of commercial health plan enrollment and claims files linked to registry records from Puget Sound Cancer Surveillance System. We assessed care in the last month including hospitalizations, intensive care unit (ICU) admissions, emergency department visits, imaging scans, radiation, and hospice, plus chemotherapy in the last 14 days. We used a Chi-squared test to compare differences between health care in EHR and claims. Results: Records of hospitalization, ICU use, and emergency department use were 33%, 15%, and 33% lower in EHR versus claims, respectively. Radiation, hospice, and imaging were 6%, 14%, and 28% lower, respectively, in EHR, but chemotherapy was 4% higher than that in claims. These differences were statistically different for hospice (P &lt; 0.02), hospitalization, ICU, ER, and imaging (all P &lt; 0.01) but not radiation (P = 0.12) or chemotherapy (P = 0.29). Conclusion: We found substantial variation between EHR and claims for EOL health-care use. Reliance on EHR will miss some health-care use, while claims will not capture the complex clinical details in EHR that can help define the quality of palliative care and EOL health-care utilization. © 2019 American Academy of Hospice and Palliative Medicine</t>
  </si>
  <si>
    <t>McDermott,C.L.,Engelberg,R.A.,Woo,C.,Li,L.,Fedorenko,C.,Ramsey,S.D.,Curtis,J.R.</t>
  </si>
  <si>
    <t>https://www.scopus.com/inward/record.uri?eid=2-s2.0-85070533113&amp;doi=10.1016%2Fj.jpainsymman.2019.07.017&amp;partnerID=40&amp;md5=66f4c46a3a645b02c7c39e8c44132a42</t>
  </si>
  <si>
    <t>cancer,databases,electronic health records,end-of-life,insurance claims,Palliative care</t>
  </si>
  <si>
    <t>Journal of Pain and Symptom Management</t>
  </si>
  <si>
    <t>NSAUA 2025 ABSTRACTS.</t>
  </si>
  <si>
    <t>The document presents a series of abstracts from the NSAUA 2025 conference, focusing on various aspects of urology, including oncology, surgical techniques, and patient care. Key topics include the impact of testosterone recovery on oncologic outcomes in prostate cancer, cost comparisons between stereotactic body radiation therapy and intensity-modulated radiation therapy for localized prostate cancer, and the effectiveness of new treatments like TAR-200 for non-muscle invasive bladder cancer. Other abstracts discuss the role of artificial intelligence in patient education, the importance of multidisciplinary conferences in treatment decisions, and the evaluation of surgical techniques such as holmium laser enucleation of the prostate. The findings emphasize the need for improved patient management strategies, the significance of collaboration in treatment approaches, and the potential of innovative technologies in enhancing surgical outcomes.</t>
  </si>
  <si>
    <t>https://research.ebsco.com/linkprocessor/plink?id=69899ac9-e56a-34ab-a536-411fbe481b9a</t>
  </si>
  <si>
    <t>Urology,Urinary organ diseases,Conferences &amp; conventions,Male reproductive organ diseases,Pediatrics,Evidence-based medicine,Arizona,New England,Convention and Trade Show Organizers</t>
  </si>
  <si>
    <t>Objectives, design and main findings until 2020 from the Rotterdam Study.</t>
  </si>
  <si>
    <t>The Rotterdam Study is an ongoing prospective cohort study that started in 1990 in the city of Rotterdam, The Netherlands. The study aims to unravel etiology, preclinical course, natural history and potential targets for intervention for chronic diseases in mid-life and late-life. The study focuses on cardiovascular, endocrine, hepatic, neurological, ophthalmic, psychiatric, dermatological, otolaryngological, locomotor, and respiratory diseases. As of 2008, 14,926 subjects aged 45 years or over comprise the Rotterdam Study cohort. Since 2016, the cohort is being expanded by persons aged 40 years and over. The findings of the Rotterdam Study have been presented in over 1700 research articles and reports. This article provides an update on the rationale and design of the study. It also presents a summary of the major findings from the preceding 3 years and outlines developments for the coming period.</t>
  </si>
  <si>
    <t>Ikram M Arfan,Brusselle Guy,Ghanbari Mohsen,Goedegebure André,Ikram M Kamran,Kavousi Maryam,Kieboom Brenda C T,Klaver Caroline C W,de Knegt Robert J,Luik Annemarie I,Nijsten Tamar E C,Peeters Robin P,van Rooij Frank J A,Stricker Bruno H,Uitterlinden André G,Vernooij Meike W,Voortman Trudy</t>
  </si>
  <si>
    <t>https://research.ebsco.com/linkprocessor/plink?id=466a111c-ad73-30c2-80a5-a7485248800f</t>
  </si>
  <si>
    <t>Netherlands,Chronic Disease epidemiology,Life Expectancy trends,Population Surveillance methods,Adult,Cohort Studies,Epidemiologic Research Design,Female,Humans,Male,Middle Aged,Netherlands epidemiology,Prospective Studies,Risk Factors</t>
  </si>
  <si>
    <t>Obtaining knowledge in pathology reports through a natural language processing approach with classification, named-entity recognition, and relation-extraction heuristics</t>
  </si>
  <si>
    <t>PURPOSE Robust institutional tumor banks depend on continuous sample curation or else subsequent biopsy or resection specimens are overlooked after initial enrollment. Curation automation is hindered by semistructured free-text clinical pathology notes, which complicate data abstraction. Our motivation is to develop a natural language processing method that dynamically identifies existing pathology specimen elements necessary for locating specimens for future use in a manner that can be re-implemented by other institutions. PATIENTS AND METHODS Pathology reports from patients with gastroesophageal cancer enrolled in The University of Chicago GI oncology tumor bank were used to train and validate a novel composite natural language processing-based pipeline with a supervised machine learning classification step to separate notes into internal (primary review) and external (consultation) reports; a named-entity recognition step to obtain label (accession number), location, date, and sublabels (block identifiers); and a results proofreading step. RESULTS We analyzed 188 pathology reports, including 82 internal reports and 106 external consult reports, and successfully extracted named entities grouped as sample information (label, date, location). Our approach identified up to 24 additional unique samples in external consult notes that could have been overlooked. Our classification model obtained 100% accuracy on the basis of 10-fold cross-validation. Precision, recall, and F1 for class-specific named-entity recognition models show strong performance. CONCLUSION Through a combination of natural language processing and machine learning, we devised a re-implementable and automated approach that can accurately extract specimen attributes from semistructured pathology notes to dynamically populate a tumor registry. © 2019 by American Society of Clinical Oncology.</t>
  </si>
  <si>
    <t>Oliwa,T.,Maron,S.B.,Chase,L.M.,Lomnicki,S.,Catenacci,D.V.T.,Furner,B.,Volchenboum,S.L.</t>
  </si>
  <si>
    <t>https://www.scopus.com/inward/record.uri?eid=2-s2.0-85077485464&amp;doi=10.1200%2FCCI.19.00008&amp;partnerID=40&amp;md5=38f02f4ee84a0a27763e6ad076f95ac4</t>
  </si>
  <si>
    <t>Oesophageal and proximal gastric adenocarcinomas are rare after detection of Helicobacter pylori infection.</t>
  </si>
  <si>
    <t>Summary: Background: Helicobacter pylori infection is the most important risk factor for non‐proximal gastric adenocarcinoma, yet some posit it is protective against oesophageal adenocarcinoma and proximal gastric cancers. Aims: To evaluate the incidence of and risk factors for future oesophageal and proximal gastric cancers, utilizing the largest North American cohort of patients with previously identified H pylori. Also to identify whether treatment and eradication of H pylori alter future oesophageal and proximal gastric cancer risk. Methods: Retrospective cohort study within the Veterans Administration of 36 803 patients (median age 60.4 years; 91.8% male) with confirmed H pylori between 01 January 1994 and 31 December 2018. Primary outcome was diagnosis of future oesophageal and proximal gastric cancers. A time to event with competing risk analysis was performed, evaluating patient factors and whether the patient received H pylori treatment. Secondary analysis of those treated evaluated whether confirmed eradication was associated with cancer. Results: The cumulative incidence of oesophageal and proximal gastric cancers 5, 10 and 15 years after H pylori detection was 0.145%, 0.26% and 0.34%. Risk of future oesophageal or proximal gastric cancer was similar amongst whites (reference), African Americans (SHR 0.87, 95%CI 0.57‐1.43) and American Indians (SHR 1.31, 95%CI 0.18‐9.60) but substantially reduced in those of Asian (no cases amongst 213 H pylori positive) or native Hawaiian origin (no cases amongst 295 H pylori positive) (P &lt;.001). Increasing age (SHR 1.17 per 5 years, 95% CI: 1.09‐1.25, P &lt; 0.001) and smoking (SHR 2.06, 95% CI: 1.33‐3.18, P = 0.001) were associated with oesophageal and proximal gastric cancers. Neither treatment of H pylori nor eradication status were associated with cancer (P &gt; 0.20). Conclusions: In the largest study of US patients with H pylori, we demonstrate that rates of oesophageal and proximal gastric cancers after treatment of H pylori are low. Older age, and smoking are associated with future cancer, whilst Asian or Native Hawaiian race are protective. H pylori treatment and eradication are not associated with future cancer.</t>
  </si>
  <si>
    <t>Kumar Shria,Metz David C.,Ginsberg Gregory G.,Kaplan David E.,Goldberg David S.</t>
  </si>
  <si>
    <t>https://research.ebsco.com/linkprocessor/plink?id=8a3c0351-b640-3ebd-a6e8-e0a912eb88a4</t>
  </si>
  <si>
    <t>Helicobacter pylori infections,Stomach cancer,Indigenous peoples,Hawaiians,Competing risks,Risk assessment</t>
  </si>
  <si>
    <t>Alimentary Pharmacology &amp; Therapeutics</t>
  </si>
  <si>
    <t>On Capturing Radiological Diagnoses of Brain Tumors to Provide Complete Population Data in Cancer Registries in Canada</t>
  </si>
  <si>
    <t>Nonmalignant brain tumors are underreported by an estimated 60% in Canadian cancer registries. One explanation is that radiology facilities or their databases may not be adequately included in the cancer reporting infrastructure. A multidisciplinary stakeholder team met for 1 day, followed by teleconferences, to discuss the evidence for the importance of incorporating radiology diagnoses in brain tumor reports. A role for the neuroradiologist was delineated in brain tumor diagnosis and in ensuring that radiology report information is available to support cancer case ascertainment in the cancer surveillance system. It was noted that brain tumors identified through imaging are clinically managed depending on the diagnosis and prognosis of the disease, and that patient radiology reports become a part of a larger administrative information system. The proportion of nonmalignant brain tumors diagnosed using histology is lower in the United States (49.3%) than in Canada (59%), suggesting that a higher proportion of cases with nonhistologic (likely radiology) diagnosis are captured by the US system (eg, tumors of the sellar region, cranial and spinal tumors, and tumors of the meninges). Finding a way to use existing electronic radiology reports to identify nonmalignant brain tumors needs to be prioritized. This will require access to electronic radiology reports, as manual reporting is impractical. Once access is achieved, an electronic flag to identify new cases through a natural language processing algorithm could be pursued. As radiologists and cancer registrars become more familiar with each other's mandates and workflow demands, innovative and collaborative solutions to improve case ascertainment for brain and other cancers are likely to emerge.</t>
  </si>
  <si>
    <t>Yuan,Y.,Amjad,S.,Eckstrand,A.,Sevick,R.,Scott,J.,Devji,S.,Bertrand,C.,King,M.J.,Brunka,V.,Maplethorpe,E.,Walker,E.V.,Muanza,T.,Davis,F.</t>
  </si>
  <si>
    <t>https://www.scopus.com/inward/record.uri?eid=2-s2.0-85071896712&amp;partnerID=40&amp;md5=88611d9b57c4617218ff0654e53284d8</t>
  </si>
  <si>
    <t>algorithm solution,electronic access,natural language processing,radiology reports,tumors</t>
  </si>
  <si>
    <t>OncDRS: An integrative clinical and genomic data platform for enabling translational research and precision medicine</t>
  </si>
  <si>
    <t>We live in the genomic era of medicine, where a patient's genomic/molecular data is becoming increasingly important for disease diagnosis, identification of targeted therapy, and risk assessment for adverse reactions. However, decoding the genomic test results and integrating it with clinical data for retrospective studies and cohort identification for prospective clinical trials is still a challenging task. In order to overcome these barriers, we developed an overarching enterprise informatics framework for translational research and personalized medicine called Synergistic Patient and Research Knowledge Systems (SPARKS) and a suite of tools called Oncology Data Retrieval Systems (OncDRS). OncDRS enables seamless data integration, secure and self-navigated query and extraction of clinical and genomic data from heterogeneous sources. Within a year of release, the system has facilitated more than 1500 research queries and has delivered data for more than 50 research studies. © 2015 The Authors.</t>
  </si>
  <si>
    <t>Orechia,J.,Pathak,A.,Shi,Y.,Nawani,A.,Belozerov,A.,Fontes,C.,Lakhiani,C.,Jawale,C.,Patel,C.,Quinn,D.,Botvinnik,D.,Mei,E.,Cotter,E.,Byleckie,J.,Ullman-Culleré,M.,Chhetri,P.,Chalasani,P.,Karnam,P.,Beaudoin,R.,Sahu,S.,Belozerova,Y.,Mathew,J.P.</t>
  </si>
  <si>
    <t>https://www.scopus.com/inward/record.uri?eid=2-s2.0-84946563544&amp;doi=10.1016%2Fj.atg.2015.08.005&amp;partnerID=40&amp;md5=c4c5aaa6e221a22511b9d96837e9da1d</t>
  </si>
  <si>
    <t>Clinical &amp; genomic data integration,Clinical and translational informatics,Genomic profile,Next generation sequencing data,Precision medicine</t>
  </si>
  <si>
    <t>Applied and Translational Genomics</t>
  </si>
  <si>
    <t>Online information analysis on pancreatic cancer in Korea using structural topic model.</t>
  </si>
  <si>
    <t>Inappropriate information on a deadly and rare disease can make people vulnerable to problematic decisions, leading to irreversible bad outcomes. This study explored online information exchanges on pancreatic cancer. We collected 35,596 questions and 83,888 answers related to pancreatic cancer from January 1, 2003 to May 31, 2020, from Naver, the most popular Korean web portal. We also collected 8495 news articles related to pancreatic cancer during the same period. The study methods employed were structural topic modeling, keyword frequency analysis, and qualitative coding of medical professionals. The number of questions and news articles increased over time. In Naver's questions, topics on symptoms and diagnostic tests regarding pancreatic cancer increased in proportion. The news topics on new technologies related to pancreatic cancer from various companies increased as well. The use of words related to back pain—which is not an important early symptom in pancreatic cancer—and biomarker tests using blood increased over time in Naver's questions. Based on 100 question samples related to symptoms and diagnostic tests and an analysis of the threaded answers' appropriateness, there was considerable misinformation and commercialized information in both categories.</t>
  </si>
  <si>
    <t>Jo Wonkwang,Kim Yeol,Seo Minji,Lee Nayoung,Park Junli</t>
  </si>
  <si>
    <t>https://research.ebsco.com/linkprocessor/plink?id=cff09acc-2d24-3d61-bcb8-21562c78b479</t>
  </si>
  <si>
    <t>Pancreatic cancer,Structural models,Web portals,Medical coding,Backache,Internet Publishing and Broadcasting and Web Search Portals</t>
  </si>
  <si>
    <t>Ontologies and Knowledge Graphs in Oncology Research.</t>
  </si>
  <si>
    <t>Simple Summary: Cancer is a complex phenomenon and cancer research is increasingly data-rich. Representing this knowledge in a manner that is both human and computer-friendly can help manage and analyze the high volumes of complex cancer data that are created by scientific research and health care. This review looks at the last decade of works on using ontologies—computational representations of knowledge—in cancer, describing their contributions and achievements and charting a path for future research in this area. The complexity of cancer research stems from leaning on several biomedical disciplines for relevant sources of data, many of which are complex in their own right. A holistic view of cancer—which is critical for precision medicine approaches—hinges on integrating a variety of heterogeneous data sources under a cohesive knowledge model, a role which biomedical ontologies can fill. This study reviews the application of ontologies and knowledge graphs in cancer research. In total, our review encompasses 141 published works, which we categorized under 14 hierarchical categories according to their usage of ontologies and knowledge graphs. We also review the most commonly used ontologies and newly developed ones. Our review highlights the growing traction of ontologies in biomedical research in general, and cancer research in particular. Ontologies enable data accessibility, interoperability and integration, support data analysis, facilitate data interpretation and data mining, and more recently, with the emergence of the knowledge graph paradigm, support the application of Artificial Intelligence methods to unlock new knowledge from a holistic view of the available large volumes of heterogeneous data.</t>
  </si>
  <si>
    <t>Silva Marta Contreiras,Eugénio Patrícia,Faria Daniel,Pesquita Catia</t>
  </si>
  <si>
    <t>https://research.ebsco.com/linkprocessor/plink?id=c6379c29-ff01-33ca-a12c-63dda2bed52c</t>
  </si>
  <si>
    <t>Online information services,Semantics,Systematic reviews,Artificial intelligence,Ontologies (Information retrieval),MEDLINE,Data analytics,Oncology,Medical research,Data mining,Research and Development in the Physical, Engineering, and Life Sciences (except Biotechnology)</t>
  </si>
  <si>
    <t>Open Forum Infectious Diseases.</t>
  </si>
  <si>
    <t>https://research.ebsco.com/linkprocessor/plink?id=35f24791-32c9-3c5e-969c-20a4393b677a</t>
  </si>
  <si>
    <t>Urinary tract infections,Syphilis,Communicable diseases,Forums,Clinical decision support systems</t>
  </si>
  <si>
    <t>Opportunistic Screening of Oral Potentially Malignant Disorders: A Public Health Need for India</t>
  </si>
  <si>
    <t>PURPOSE Oral cancer (OC) is the leading cancer in 25% of Indian cancer registries, and 80% of OCs are diagnosed in advanced stages. OC screening is a topic of debate. Studies from other countries have used a variety of study designs as OC screening strategies. There are not many studies from India on strategic screening, and there is a need to review the literature to provide insights and knowledge about screening programs. The purpose of this narrative review is to present broad epidemiologic evidence on the OC burden in India, to discuss and summarize the currently available evidence for OC screening strategies, and to highlight a feasible opportunistic screening strategy for addressing OC burden in India. METHODS Medline and EMBASE were used to identify articles. Data from GLOBOCAN and government reports were obtained from websites. As many key concepts and divergent views cannot be addressed with a single research question, a narrative review was considered appropriate, but to ensure a comprehensive literature search, a systematic review search strategy was used. RESULTS OC rates are rising more rapidly in India than projected. Wide variations in OC incidence within India reflect regional diversity of risk factors. Studies abroad have demonstrated the feasibility of opportunistic screening of oral potentially malignant disorders by dentists; however, although recommendations exist in India, no studies of opportunistic screening by dentists have been reported. CONCLUSION The projected major increases in the OC burden necessitate an OC screening program; opportunistic screening of high-risk groups by dentists using oral visual examination is recommended as a costeffective strategy. As a way forward, a pilot project to assess the feasibility of regional opportunistic screening is in progress. © © 2020 American Society of Clinical Oncology.</t>
  </si>
  <si>
    <t>Mohan,P.,Richardson,A.,Potter,J.,Coope,P.,Paterson,M.</t>
  </si>
  <si>
    <t>https://www.scopus.com/inward/record.uri?eid=2-s2.0-85085384218&amp;doi=10.1200%2FJGO.19.00350&amp;partnerID=40&amp;md5=9a4ca8812eacd7eefa6fdcc5c489b4b2</t>
  </si>
  <si>
    <t>JCO Global Oncology</t>
  </si>
  <si>
    <t>Opportunities and obstacles in linking large health care registries: the primary secondary cancer care registry - breast cancer</t>
  </si>
  <si>
    <t>Background: The growing volume of health data provides new opportunities for medical research. By using existing registries, large populations can be studied over a long period of time. Patient-level linkage of registries leads to even more detailed and extended information per patient, but brings challenges regarding responsibilities, privacy and security, and quality of data linkage. In this paper we describe how we dealt with these challenges when creating the Primary Secondary Cancer Care Registry (PSCCR)- Breast Cancer. Methods: The PSCCR – Breast Cancer was created by linking two existing registries containing data on 1) diagnosis, tumour and treatment characteristics of all Dutch breast cancer patients (NCR), and 2) consultations and diagnoses from primary care electronic health records of about 10% of Dutch GP practices (Nivel-PCD). The existing registry governance structures and privacy regulations were incorporated in those of the new registry. Privacy and security risks were reassessed. Data were restricted to females and linked using postal code and date of birth. The breast cancer diagnosis was verified in both registries and for a subsample of 44 patients with the GP as well. Results: A collaboration agreement was signed in which the organisations retained data responsibility and accountability for ‘their’ registry. A Trusted Third Party performed the record linkage. Ten percent of the patients with breast cancer could be linked to the primary care registry, as was expected based on the coverage of Nivel-PCD, and finally 7 % could be included. The breast cancer diagnosis was verified by the GP in 42 of the 44 patients. Conclusions: We developed and validated a procedure for patient-level linkage of health data registries without a unique identifier, while preserving the integrity and privacy of the original registries. The method described may help researchers wishing to link existing health data registries. © 2022, The Author(s).</t>
  </si>
  <si>
    <t>Heins,M.J.,de Ligt,K.M.,Verloop,J.,Siesling,S.,Korevaar,J.C.</t>
  </si>
  <si>
    <t>https://www.scopus.com/inward/record.uri?eid=2-s2.0-85128926506&amp;doi=10.1186%2Fs12874-022-01601-0&amp;partnerID=40&amp;md5=7b49e939abf33deb0477def6bf2ea638</t>
  </si>
  <si>
    <t>Big data,Breast neoplasms,Cancer registry,GP registry,Linkage,Primary care,Registries</t>
  </si>
  <si>
    <t>BMC Medical Research Methodology</t>
  </si>
  <si>
    <t>Oral abstracts of the 11th IAS Conference on HIV Science, 18‐21 July 2021.</t>
  </si>
  <si>
    <t>B Methods: b This was a five-year retrospective cohort analysis of all ART-experienced HIV/TB co-infected patients who completed TB treatment in a specialist HIV clinic between 2009 and 2014. SP 2 sp Ministry of Public Health Thailand, Department of Disease Control, Nonthaburi, Thailand B Background: b The Thai Ministry of Public Health (MoPH) considers HIV self-testing (HIVST) a complementary approach to increase access to and uptake of HIV testing especially among men who have sex with men (MSM) and transgender women (TGW), who historically have low access to HIV testing. Using a real-world claims database, we evaluated the utilization of PrEP in the United States (US) from December 2019 to June 2020. B Results: b The total study sample included 177,572 people (66.0% women, mean age 29 ± 10 years), among whom 86.6% (95%-CI 86.4 to 86.7) had never heard of HIVST, 11.7% (95%-CI 11.6 to 11.9) had heard of HIVST but never tested and 1.7% (95%-CI 1.6 to 1.8) had tested with HIVST. SP 5 sp University of Alabama Birmingham, Nursing, Birmingham, United States B Background: b Pre-exposure prophylaxis (PrEP) is a potent biomedical tool for HIV prevention; however, PrEP is underutilized among African American (AA) women in the Deep South of the United States, despite an inequitable HIV burden.</t>
  </si>
  <si>
    <t>https://research.ebsco.com/linkprocessor/plink?id=b30349ce-4951-352b-9a6c-6c2ee76ffc5e</t>
  </si>
  <si>
    <t>HIV seroconversion,Unsafe sex,Science conferences,Men's sexual behavior,Medical personnel,Mononuclear leukocytes,Social sciences education,Histocompatibility class I antigens,Research and Development in the Social Sciences and Humanities</t>
  </si>
  <si>
    <t>Journal of the International AIDS Society</t>
  </si>
  <si>
    <t>Oral Abstracts.</t>
  </si>
  <si>
    <t>The Asia Pacific Journal of Clinical Oncology published oral abstracts on various cancer care topics, including health disparities, telehealth interventions, and cultural competency. The research aimed to address disparities in cancer care and promote equity for diverse populations. A study in Australia explored pain management for Aboriginal and Torres Strait Islander peoples with cancer, emphasizing the importance of culturally safe care and involving family and community in decision-making. Healthcare professionals highlighted challenges in providing care for patients with brain tumour-related cognitive impairment, emphasizing the need for ongoing education and individualized support. A symposium in London will discuss the integration of Artificial Intelligence in healthcare, focusing on personalized treatment optimization and the transformative potential of AI in revolutionizing healthcare practices.</t>
  </si>
  <si>
    <t>https://research.ebsco.com/linkprocessor/plink?id=8dd9b381-d41e-3f77-9daf-fab5fb894dfd</t>
  </si>
  <si>
    <t>Medical care,Medical personnel,Health facilities,Emergency room visits,Indigenous Australians,Communicative disorders,Oncology nursing,Specialty (except Psychiatric and Substance Abuse) Hospitals,All Other Outpatient Care Centers,Central nervous system tumors</t>
  </si>
  <si>
    <t>Our World Is Changing—Global Epidemiologic and Etiologic Perspectives in Dermatology.</t>
  </si>
  <si>
    <t>Lim Henry W.,Schalka Sergio,Guitera Pascale,Xiang Leihong F.</t>
  </si>
  <si>
    <t>https://research.ebsco.com/linkprocessor/plink?id=0d651ac3-f2a1-3772-8994-7ede0fd78f01</t>
  </si>
  <si>
    <t>JEADV Clinical Practice</t>
  </si>
  <si>
    <t>Outcomes after definitive radiation therapy for localized prostate cancer in a national health care delivery system</t>
  </si>
  <si>
    <t>Purpose: Accurate information regarding real-world outcomes after contemporary radiation therapy for localized prostate cancer is important for shared decision-making. Clinically relevant end points at 10 years among men treated within a national health care delivery system were examined. Methods: National administrative, cancer registry, and electronic health record data were used for patients undergoing definitive radiation therapy with or without concurrent androgen deprivation therapy within the Veterans Health Administration from 2005 to 2015. National Death Index data were used through 2019 for overall and prostate cancer–specific survival and identified date of incident metastatic prostate cancer using a validated natural language processing algorithm. Metastasis-free, prostate cancer–specific, and overall survival using Kaplan–Meier methods were estimated. Results: Among 41,735 men treated with definitive radiation therapy, the median age at diagnosis was 65 years and median follow-up was 8.7 years. Most had intermediate (42%) and high-risk (33%) disease, with 40% receiving androgen deprivation therapy as part of initial therapy. Unadjusted 10-year metastasis-free survival was 96%, 92%, and 80% for low-, intermediate-, and high-risk disease. Similarly, unadjusted 10-year prostate cancer–specific survival was 98%, 97%, and 90% for low-, intermediate-, and high-risk disease. The unadjusted overall survival was lower across increasing disease risk categories at 77%, 71%, and 62% for low-, intermediate-, and high-risk disease (p &lt;.001). Conclusions: These data provide population-based 10-year benchmarks for clinically relevant end points, including metastasis-free survival, among patients with localized prostate cancer undergoing radiation therapy using contemporary techniques. The survival rates for high-risk disease in particular suggest that outcomes have recently improved. © 2023 The Authors. Cancer published by Wiley Periodicals LLC on behalf of American Cancer Society.</t>
  </si>
  <si>
    <t>Herr,D.J.,Elliott,D.A.,Duchesne,G.,Stensland,K.D.,Caram,M.E.V.,Chapman,C.,Burns,J.A.,Hollenbeck,B.K.,Sparks,J.B.,Shin,C.,Zaslavsky,A.,Tsodikov,A.,Skolarus,T.A.</t>
  </si>
  <si>
    <t>https://www.scopus.com/inward/record.uri?eid=2-s2.0-85164170322&amp;doi=10.1002%2Fcncr.34916&amp;partnerID=40&amp;md5=73ec8b0a548c0af815d31a9ba2eb1665</t>
  </si>
  <si>
    <t>neoplasm metastasis,population,prostatic neoplasms,radiotherapy,survival</t>
  </si>
  <si>
    <t>Outpatient palliative care specialist referral patterns among patients with gynecological cancers.</t>
  </si>
  <si>
    <t>Background: Outpatient palliative care specialists remain underutilized in highresource settings despite evidence demonstrating benefits in quality-of-life and symptom burden with early referral. The objective of this single institution retrospective cohort study was to develop a method to evaluate palliative care (PC) referral patterns to assess compliance with recently updated American Society of Clinical Oncology (ASCO) guidelines. Methods: Patients with gynecological cancers with advanced or recurrent disease seen in gynecologic oncology clinic from 2019-2022 were identified by Current Procedural Terminology (CPT) code and an institutional palliative care referral database. Demographics, referral source and utilization metrics were collected. Outcomes included rates of palliative care referral of eligible patients, referral completion and time from referral to first palliative care visit, hospice enrollment and/or death. Results: 434 patients with gynecological cancers met ASCO criteria for outpatient palliative care specialist referral. 192 of 434 (44%) were referred to palliative care and 147 of 192 (76.5%) saw a palliative care provider. 78% were referred by gynecologic oncology, 12% were referred by palliative care at hospital discharge and 8% were referred by medical or radiation oncology. Median time from referral to appointment was 20 days (interquartile range (IQR) 12-29 days). Patients did not utilize palliative care most commonly due to hospice enrollment (44%), patient preference (41%) and unable to be contacted (9%). Median time from referral to hospice enrollment was 112 days (IQR 30-329 days), and median time from hospice enrollment to death was 18 days (IQR 9-38 days). Conclusions: Fewer than half of patients with advanced or recurrent gynecological cancers were referred to outpatient palliative care specialists. Most referrals were completed within thirty days. Institutions can evaluate compliance with ASCO guidelines for palliative care uptake using a multi-pronged approach leveraging billing data and administrative databases to design strategic interventions for quality improvement.</t>
  </si>
  <si>
    <t>Ratnaparkhi Rubina,Pope Elaine,Cook Ian,Javellana Melissa,Jewell Andrea,Sinclair Christian,Spoozak Lori</t>
  </si>
  <si>
    <t>https://research.ebsco.com/linkprocessor/plink?id=007c901e-0664-355b-a4fe-237fb59c8f36</t>
  </si>
  <si>
    <t>Symptom burden,Palliative treatment,Patient preferences,Gynecologic oncology,Cancer patients</t>
  </si>
  <si>
    <t>European Journal of Gynaecological Oncology</t>
  </si>
  <si>
    <t>Outstanding Posters.</t>
  </si>
  <si>
    <t>This document provides concise summaries of research studies presented at a medical conference on digestive endoscopy. The studies explore various topics, such as the effectiveness of different procedures for treating gastric conditions and the use of artificial intelligence in diagnosing gastrointestinal diseases. While the studies offer valuable insights into the safety and potential benefits of these interventions, further research is needed to validate their findings and assess their impact on patient care. The document also includes studies on endoscopic procedures for other gastrointestinal conditions, contributing to the understanding and improvement of endoscopic techniques and interventions.</t>
  </si>
  <si>
    <t>https://research.ebsco.com/linkprocessor/plink?id=32b9f83d-4a2e-30f4-a444-b3786c37d7a9</t>
  </si>
  <si>
    <t>Adenomatous polyps,Medical waste disposal,Wound healing,Bile,Machine learning,Convolutional neural networks</t>
  </si>
  <si>
    <t>Digestive Endoscopy</t>
  </si>
  <si>
    <t>Overall survival of patients with metastatic breast cancer in Sweden: a nationwide study.</t>
  </si>
  <si>
    <t>Breast cancer is the most common cancer among women in Sweden. Whereas survival for the overall breast cancer population is well-documented, survival of patients with metastatic breast cancer (MBC) is harder to quantify due to the lack of reliable data on disease recurrence in national cancer registers.</t>
  </si>
  <si>
    <t>Valachis Antonis,Carlqvist Peter,Ma Yuanjun,Szilcz Máté,Freilich Jonatan,Vertuani Simona,Holm Barbro,Lindman Henrik</t>
  </si>
  <si>
    <t>https://research.ebsco.com/linkprocessor/plink?id=5c082372-268e-3f55-9b07-148a158cb133</t>
  </si>
  <si>
    <t>Sweden,Breast Neoplasms pathology,Female,Humans,Neoplasm Recurrence, Local pathology,Receptor, ErbB-2,Retrospective Studies,Sweden epidemiology</t>
  </si>
  <si>
    <t>British journal of cancer</t>
  </si>
  <si>
    <t>Pancreatectomy is underused in NSW regions with low institutional surgical volumes: A population data linkage study</t>
  </si>
  <si>
    <t>Objective: To examine differences in the proportions of people diagnosed with pancreatic cancer who underwent pancreatectomy, post-operative outcomes and 5-year survival in different New South Wales administrative health regions of residence. Design, setting and participants: Retrospective analysis of NSW data on pancreatic cancer incidence and surgery, 2005e2013. Main outcome measures: The proportion of newly diagnosed patients with pancreatic cancer who were resected in each region; 90-day post-operative mortality; one-year post-operative survival; 5-year post-diagnosis survival. Results: 14% of people diagnosed with pancreatic cancer during 2010e2013 (431 of 3064) underwent pancreatectomy, an average of 108 resections per year. After adjusting for age, sex and comorbidities, the proportion that underwent resection varied significantly between regions, ranging between 8% and 21% (P&lt;0.001). Higher resection rates were not associated with higher post-operative 90-day mortality or lower one-year survival (unadjusted and risk-adjusted analyses). Higher resection rates were associated with higher 5-year post-diagnosis survival: the mean survival in regions with resection rates below 10% was 3.4%, compared with 7.2% in regions with rates greater than 15% (unadjusted and adjusted survival analyses; P&lt;0.001). There was a positive association between regional resection rate and the pancreatectomy volume of hospitals during 2005e2009. An additional 32 people would be resected annually if resection rates in low rate regions were increased to the 80th percentile regional resection rate (18%). Conclusion: There is significant geographic variation in the proportion of people with pancreatic cancer undergoing pancreatectomy, and the 5-year survival rate is higher in regions where this proportion is higher. © 2017 AMPCo Pty Ltd. Produced with Elsevier B.V. All rights reserved.</t>
  </si>
  <si>
    <t>Creighton,N.,Walton,R.,Roder,D.M.,Aranda,S.,Richardson,A.J.,Merrett,N.,Currow,D.</t>
  </si>
  <si>
    <t>https://www.scopus.com/inward/record.uri?eid=2-s2.0-85010280743&amp;doi=10.5694%2Fmja16.00150&amp;partnerID=40&amp;md5=1bd662e77187b91240b2ccc647ab6ea7</t>
  </si>
  <si>
    <t>Medical Journal of Australia</t>
  </si>
  <si>
    <t>Pathology Informatics Summit 2022 David L. Lawrence Convention Center May 9-12 Pittsburgh, PA.</t>
  </si>
  <si>
    <t>Hernandez Patricia,Kwon Jennie H.,Dubberke Erik R.,Jackups Ronald</t>
  </si>
  <si>
    <t>https://research.ebsco.com/linkprocessor/plink?id=416d8ce3-fdd9-31e6-be20-5ef95243ef15</t>
  </si>
  <si>
    <t>Medical informatics,Deep learning,Pathology,Convention facilities,Machine learning,Health Insurance Portability &amp; Accountability Act,Respiration,Pittsburgh (Pa.),Convention and Visitors Bureaus</t>
  </si>
  <si>
    <t>Patient-reported outcomes in Alberta: Rationale, scope, and design of a database initiative</t>
  </si>
  <si>
    <t>Background The collection of patient reported outcomes (pros) is a standard of care in many cancer organizations. In Alberta, pros have been integrated into routine clinical practice since 2012. This longitudinal collection of pros provides a wealth of data and a unique research opportunity to improve cancer care. The goal of this pro data initiative is to establish a robust repository of information for ongoing clinical care and research focused on pros. In this paper, we describe the rationale, scope, and design of this initiative. Implementation The initiative consists of pros and other administrative health data from the province of Alberta. Retrieval of health data from a variety of provincially governed sources will create a platform of information on pros, health outcomes, cancer data, other health conditions, and demographics. The aims of the initiative are to use the data to inform best practices at the point of care; to conduct health services research, particularly clinical epidemiology studies; and to evaluate a variety of pro-related outcomes. Discussion Because this effort represents our first to integrate routinely collected pros with other administrative health data, a unique and robust data repository will be created. The ability to integrate various types of data will provide a comprehensive mechanism to evaluate a variety of outcomes. Because cancer care in Alberta is governed by a single health care system, the data linkages will include population health and psychosocial cancer data. We anticipate that research related to this initiative will ultimately help to inform more patient-centred care. © 2019 Multimed Inc.</t>
  </si>
  <si>
    <t>Cuthbert,C.A.,Watson,L.,Xu,Y.,Boyne,D.J.,Hemmelgarn,B.R.,Cheung,W.Y.</t>
  </si>
  <si>
    <t>https://www.scopus.com/inward/record.uri?eid=2-s2.0-85072582604&amp;doi=10.3747%2Fco.26.4919&amp;partnerID=40&amp;md5=c8eecd80d5693965ab93a2161f4eef30</t>
  </si>
  <si>
    <t>Administrative health data,Health services research,Patient-centred care,Patient-reported outcomes,Pros</t>
  </si>
  <si>
    <t>Patients with breast cancer may be at higher risk of colorectal neoplasia.</t>
  </si>
  <si>
    <t>Background The risk of colorectal neoplasia in breast cancer survivors is unclear. This study aimed to determine the colonic adenoma detection rate (ADR) in patients with breast cancer. Methods We conducted a retrospective study of patients with breast cancer who underwent a colonoscopy between 2000 and 2017. A control group (n=3295), comprising cancer-free patients undergoing their first screening colonoscopy, was used for comparison. Results Of 62,820 breast cancer patients, 3304 met the inclusion criteria. The mean age at the time of first colonoscopy was 59 years. ADR was 55%; 1803 patients had adenomas. Highgrade dysplasia was evident in 28% of polyps and invasive adenocarcinoma was detected in 172 patients (5%). The median time from breast cancer diagnosis to adenoma detection was 3 years. The ADR was 21% in patients aged &lt;40 years (n=63) and 39% in patients aged 40-50 years (n=314). The ADR was 26% in patients &lt;50 years with a body mass index (BMI) lower than 30 kg/m2 or no family history of colorectal cancer. Multivariate logistic regression analysis revealed that the following independent factors were associated with a greater risk of colon adenoma: older age, higher BMI, family history of colorectal cancer, and personal history of breast cancer. Conclusions In patients with breast cancer, the ADR was higher than the reported rates for the general population. Screening colonoscopy should be considered soon after breast cancer diagnosis in patients &lt;50 years of age. Further prospective studies investigating our findings are warranted.</t>
  </si>
  <si>
    <t>Abu-Sbeih Hamzah,Ali Faisal S.,Ge Phillip S.,Barcenas Carlos H.,Lum Phillip,Wei Qiao,Bresalier Robert S.,Bhutani Manoop S.,Raju Gottumukkala S.,Yinghong Wang</t>
  </si>
  <si>
    <t>https://research.ebsco.com/linkprocessor/plink?id=88a56d33-fc60-328a-8bca-c66ba951f9aa</t>
  </si>
  <si>
    <t>Breast cancer,Cancer patients,Cancer diagnosis,Body mass index,Logistic regression analysis,Bowel preparation (Procedure),Sigmoidoscopy</t>
  </si>
  <si>
    <t>Annals of Gastroenterology</t>
  </si>
  <si>
    <t>Patterns of Care for Brain Metastasis Radiotherapy (RT) in an Integrated Healthcare System: Does Increasing Utilization of Stereotactic Radiosurgery (SRS) Compared to Whole Brain RT (WBRT) Lead to Excessive Use at the End of Life (EOL)?</t>
  </si>
  <si>
    <t>&lt;bold&gt;Purpose/objective(s): &lt;/bold&gt;Previous study at our institution showed a high rate of WBRT received near the EOL. Growing evidence of improved neurocognitive and quality of life (QOL) outcomes without compromise of local control has led to increased advocacy of SRS for brain metastasis compared to WBRT. We examine our trend in patterns of care for non-small cell lung cancer (NSCLC) patients, including palliative care/hospice enrollment, and whether rate of brain metastasis RT near EOL has changed with evolving practices.&lt;bold&gt;Materials/methods: &lt;/bold&gt;Central Cancer Registry identified 4765 patients diagnosed with NSCLC at 2 facilities from 2007-17. Patients with brain metastasis were identified using natural language processing of imaging reports and confirmed by image review. Patient clinical/treatment characteristics were obtained through database linkage and manual chart abstraction. Bivariate and multivariate logistic regression analyses were performed.&lt;bold&gt;Results: &lt;/bold&gt;Of 792 patients with brain metastasis, 537 received at least 1 fraction of RT. SRS as initial treatment increased over time, comprising 10% of cases in 2007-11, 22% in 2012-16, and 52% in 2017. Number of lesions initially treated with SRS also increased: among patients with 1-3 lesions, 15% in 2007-11, 33% in 2012-16, and 68% in 2017 received SRS upfront, while 3%, 13%, and 33% of patients with 4-9 lesions received it in the respective periods. SRS for patients with 10-19 lesions was minimal, though half received SRS upfront in 2017. The proportion of patients receiving WBRT near EOL was substantial and higher than for SRS. Of 244 patients with 1-3 lesions, 64 (26%) died within 30 days of RT, comprising 25% of patients receiving WBRT and 11% receiving SRS. Older age, male sex, increasing number of extracranial metastatic sites, and inpatient consultation were independent predictors of death within 30 days of RT. Patients enrolled in palliative care/hospice were less likely to die within 30 days of RT (P = 0.048) and less likely to die as inpatients (P &lt; 0.01).&lt;bold&gt;Conclusion: &lt;/bold&gt;SRS utilization increased from 2007-17, particularly among patients with 1-9 lesions. Despite this increase, the proportion of patients receiving SRS near EOL was low and much less than the proportion receiving WBRT, suggesting that patients were selected well for SRS but not WBRT. As SRS is associated with shorter treatment time and lower toxicity compared to WBRT, greater SRS utilization in those without poor predictive factors may maintain QOL without risking excessive use at EOL. Early palliative care and expanding indications for upfront SRS may be considerations for decreasing the risk of treatment near the EOL.&lt;bold&gt;Author Disclosure: &lt;/bold&gt;A.D. Batra: None. S. Yang: None. C. Zheng: None. D. Jiang: None. J. Rahimian: None. M.R. Girvigian: None. M.K. Gould: None. J.J. Ryoo: None.</t>
  </si>
  <si>
    <t>Batra A.D.,Yang S.J.,Zheng C.,Jiang D.,Rahimian J.,Girvigian M.R.,Gould M.K.,Ryoo J.J.</t>
  </si>
  <si>
    <t>https://research.ebsco.com/linkprocessor/plink?id=bc628ed5-0531-357b-bb1e-e17026366121</t>
  </si>
  <si>
    <t>Brain metastasis,Stereotactic radiosurgery,Hospice nurses,Non-small-cell lung carcinoma,Natural language processing,Logistic regression analysis,Home Health Care Services</t>
  </si>
  <si>
    <t>Patterns of Screening Recall Behavior Among Subspecialty Breast Radiologists</t>
  </si>
  <si>
    <t>Rationale and Objectives: Determine whether there are patterns of lesion recall among breast imaging subspecialists interpreting screening mammography, and if so, whether recall patterns correlate to morphologies of screen-detected cancers. Materials and Methods: This Institutional Review Board-approved, retrospective review included all screening examinations January 3, 2012–October 1, 2018 interpreted by fifteen breast imaging subspecialists at a large academic medical center and two outpatient imaging centers. Natural language processing identified radiologist recalls by lesion type (mass, calcifications, asymmetry, architectural distortion); proportions of callbacks by lesion types were calculated per radiologist. Hierarchical cluster analysis grouped radiologists based on recall patterns. Groups were compared to overall practice and each other by proportions of lesion types recalled, and overall and lesion-specific positive predictive value-1 (PPV1). Results: Among 161,859 screening mammograms with 13,086 (8.1%) recalls, Hierarchical cluster analysis grouped 15 radiologists into five groups. There was substantial variation in proportions of lesions recalled: calcifications 13%–18% (Chi-square 45.69, p &lt; 0.00001); mass 16%–44% (Chi-square 498.42, p &lt; 0.00001); asymmetry 13%–47% (Chi-square 660.93, p &lt; 0.00001) architectural distortion 6%–20% (Chi-square 283.81, p &lt; 0.00001). Radiologist groups differed significantly in overall PPV1 (range 5.6%–8.8%; Chi-square 17.065, p = 0.0019). PPV1 by lesion type varied among groups: calcifications 9.2%–15.4% (Chi-square 2.56, p = 0.6339); mass 5.6%–8.5% (Chi-square 1.31, p = 0.8597); asymmetry 3.4%–5.9% (Chi-square 2.225, p = 0.6945); architectural distortion 5.6%–10.8% (Chi-square 5.810, p = 0.2138). Proportions of recalled lesions did not consistently correlate to proportions of screen-detected cancer. Conclusion: Breast imaging subspecialists have patterns for screening mammography recalls, suggesting differential weighting of imaging findings for perceived malignant potential. Radiologist recall patterns are not always predictive of screen-detected cancers nor lesion-specific PPV1s. © 2022 The Association of University Radiologists</t>
  </si>
  <si>
    <t>Giesś,C.S.,Ip,I.K.,Licaros,A.,Chikarmane,S.A.,Cochon,L.R.,Lacson,R.,Khorasani,R.</t>
  </si>
  <si>
    <t>https://www.scopus.com/inward/record.uri?eid=2-s2.0-85133855388&amp;doi=10.1016%2Fj.acra.2022.06.005&amp;partnerID=40&amp;md5=e1418ca4a920ef4e702cd592037c6296</t>
  </si>
  <si>
    <t>Breast cancer,Mammography,Recalls,Screening</t>
  </si>
  <si>
    <t>Academic Radiology</t>
  </si>
  <si>
    <t>Paucity of Health Data in Africa: An Obstacle to Digital Health Implementation and Evidence-Based Practice.</t>
  </si>
  <si>
    <t>Background: Among the numerous challenges that Africa faces in improving its healthcare systems, the paucity of health data stands out as paramount. This study aims to examine the challenges related to the paucity of health data in Africa and its impact on the implementation of digital health and evidence-based practice. The findings of the study reveal that health data availability in Africa is both limited and frequently of poor quality. Several factors contribute to this concerning situation, encompassing inadequate infrastructure, a shortage of resources, and cultural barriers. Furthermore, the available data, despite its limitations, is often underutilized due to a lack of capacity and expertise in data analysis and interpretation. Policy Options and Recommendations: To improve healthcare delivery in Africa, we recommend implementing novel strategies for data collection. It's important to recognize that effective information technology service is crucial for enhancing healthcare delivery, and a holistic approach is necessary to achieve this. Conclusion: This brief presents information to help policymakers develop long-term solutions to Africa's health data poverty. Taking action based on this evidence can assist in addressing the problem.</t>
  </si>
  <si>
    <t>Musa Sulaiman Muhammad,Haruna Usman Abubakar,Manirambona Emery,Eshun Gilbert,Ahmad Dalhatu Muhammad,Dada David Adelekan,Gololo Ahmed Adamu,Musa Shuaibu Saidu,Abdulkadir Abdulafeez Katibi,Lucero-Prisno III Don Eliseo</t>
  </si>
  <si>
    <t>https://research.ebsco.com/linkprocessor/plink?id=3d2202c4-7d69-3661-a64b-28e1b7a55985</t>
  </si>
  <si>
    <t>Digital health,Information technology,Acquisition of data,Data analysis,Information services,Africa,All Other Information Services</t>
  </si>
  <si>
    <t>Public Health Reviews (2107-6952)</t>
  </si>
  <si>
    <t>Penetrance of male breast cancer susceptibility genes: a systematic review.</t>
  </si>
  <si>
    <t>Several male breast cancer (MBC) susceptibility genes have been identified, but the MBC risk for individuals with a pathogenic variant in each of these genes (i.e., penetrance) remains unclear. We conducted a systematic review of studies reporting the penetrance of MBC susceptibility genes to better summarize current estimates of penetrance.</t>
  </si>
  <si>
    <t>Chamseddine Reem S,Wang Cathy,Yin Kanhua,Wang Jin,Singh Preeti,Zhou Jingan,Robson Mark E,Braun Danielle,Hughes Kevin S</t>
  </si>
  <si>
    <t>https://research.ebsco.com/linkprocessor/plink?id=2bab513c-fb39-33e1-b73b-b1845462b973</t>
  </si>
  <si>
    <t>Breast Neoplasms, Male epidemiology,Breast Neoplasms, Male genetics,Genetic Predisposition to Disease,Penetrance,Ataxia Telangiectasia Mutated Proteins genetics,Checkpoint Kinase 2 genetics,Cohort Studies,Fanconi Anemia Complementation Group N Protein genetics,Genes, BRCA2,Humans,Male</t>
  </si>
  <si>
    <t>Performance of a rule-based semi-automated method to optimize chart abstraction for surveillance imaging among patients treated for non-small cell lung cancer.</t>
  </si>
  <si>
    <t>We aim to develop and test performance of a semi-automated method (computerized query combined with manual review) for chart abstraction in the identification and characterization of surveillance radiology imaging for post-treatment non-small cell lung cancer patients.</t>
  </si>
  <si>
    <t>Byrd Catherine,Ajawara Ureka,Laundry Ryan,Radin John,Bhandari Prasha,Leung Ann,Han Summer,Asch Stephen M,Zeliadt Steven,Harris Alex H S,Backhus Leah</t>
  </si>
  <si>
    <t>https://research.ebsco.com/linkprocessor/plink?id=a52bba91-1097-3970-ac09-0e91a33b6a78</t>
  </si>
  <si>
    <t>Carcinoma, Non-Small-Cell Lung diagnostic imaging,Lung Neoplasms diagnostic imaging,Radiology,Electronic Health Records,Humans,Radiography</t>
  </si>
  <si>
    <t>Performance of a Web-based Method for Generating Synoptic Reports.</t>
  </si>
  <si>
    <t>Context: The College of American Pathologists (CAP) requires synoptic reporting of all tumor excisions. Objective: To compare the performance of different methods of generating synoptic reports. Methods: Completeness, amendment rates, rate of timely ordering of ancillary studies (KRAS in T4/N1 colon carcinoma), and structured data file extraction were compared for four different synoptic report generating methods. Results: Use of the printed tumor protocols directly from the CAP website had the lowest completeness (84%) and highest amendment (1.8%) rates. Reformatting these protocols was associated with higher completeness (94%, P &lt; 0.001) and reduced amendment (1%, P = 0.20) rates. Extraction into a structured data file was successful 93% of the time. Word-based macros improved completeness (98% vs. 94%, P &lt; 0.001) but not amendment rates (1.5%). KRAS was ordered before sign out 89% of the time. In contrast, a web-based product with a reminder flag when items were missing, an embedded flag for data extraction, and a reminder to order KRAS when appropriate resulted in improved completeness (100%, P = 0.005), amendment rates (0.3%, P = 0.03), KRAS ordering before sign out (100%, P = 0.23), and structured data extraction (100%, P &lt; 0.001) without reducing the speed (P = 0.34) or accuracy (P = 1.00) of data extraction by the reader. Conclusion: Completeness, amendment rates, ancillary test ordering rates, and data extraction rates vary significantly with the method used to construct the synoptic report. A web-based method compares favorably with all other methods examined and does not reduce reader usability.</t>
  </si>
  <si>
    <t>Renshaw Megan A.,Renshaw Scott A.,Mena-Allauca Mercy,Carrion Patricia P.,Xiaorong Mei,Narciandi Arniris,Gould Edwin W.,Renshaw Andrew A.</t>
  </si>
  <si>
    <t>https://research.ebsco.com/linkprocessor/plink?id=7a7fc423-5acc-3745-ad5d-9d49946e5c66</t>
  </si>
  <si>
    <t>Surgical pathology,College of American Pathologists,Tumor surgery</t>
  </si>
  <si>
    <t>Performance/outcomes data and physician process challenges for practical big data efforts in radiation oncology.</t>
  </si>
  <si>
    <t>It is an exciting time for big data efforts in radiation oncology. The use of big data to help aid both outcomes and decision-making research is becoming a reality. However, there are true challenges that exist in the space of gathering and utilizing performance and outcomes data. Here, we summarize the current state of big data in radiation oncology with respect to outcomes and discuss some of the efforts and challenges in radiation oncology big data.</t>
  </si>
  <si>
    <t>Matuszak Martha M,Fuller Clifton D,Yock Torunn I,Hess Clayton B,McNutt Todd,Jolly Shruti,Gabriel Peter,Mayo Charles S,Thor Maria,Caissie Amanda,Rao Arvind,Owen Dawn,Smith Wade,Palta Jatinder,Kapoor Rishabh,Hayman James,Waddle Mark,Rosenstein Barry,Miller Robert,Choi Seungtaek,Moreno Amy,Herman Joseph,Feng Mary</t>
  </si>
  <si>
    <t>https://research.ebsco.com/linkprocessor/plink?id=31d8cca4-b858-3cce-a629-7d7b97351026</t>
  </si>
  <si>
    <t>Databases, Factual,Medical Informatics methods,Outcome Assessment, Health Care,Physicians,Radiation Oncology statistics &amp; numerical data,Humans,Registries,Universities</t>
  </si>
  <si>
    <t>Medical physics</t>
  </si>
  <si>
    <t>Performing studies using the UK clinical practice research datalink: To link or not to link?</t>
  </si>
  <si>
    <t>The Clinical Practice Research Datalink (CPRD) is a repository of electronic medical records collected during routine primary care clinical practice in the UK, and is one of the most widely used sources of real-world data for healthcare research. Although CPRD provides access to comprehensive longitudinal patient records, the data does not fully capture diagnoses or outcomes occurring in secondary care and/or mortality. We provide here an overview of CPRD and the potential bias when using unlinked data in certain situations. Linkage of CPRD to other datasets can help to overcome these limitations. We discuss when to consider linkage to secondary care, disease-specific data sources or the official mortality data when conducting research using CPRD data. © Springer Science+Business Media B.V., part of Springer Nature 2018.</t>
  </si>
  <si>
    <t>McDonald,L.,Schultze,A.,Carroll,R.,Ramaǵopalan,S.V.</t>
  </si>
  <si>
    <t>https://www.scopus.com/inward/record.uri?eid=2-s2.0-85044923222&amp;doi=10.1007%2Fs10654-018-0389-5&amp;partnerID=40&amp;md5=8019df061df9f6b7ec27262ba2d63189</t>
  </si>
  <si>
    <t>CPRD,Data linkage,Epidemiology,HES,Primary care,Secondary care</t>
  </si>
  <si>
    <t>European Journal of Epidemiology</t>
  </si>
  <si>
    <t>Perspectives in Immunotherapy: meeting report from Immunotherapy Bridge (Naples, November 30th–December 1st, 2022).</t>
  </si>
  <si>
    <t>The discovery and development of novel treatments that harness the patient's immune system and prevent immune escape has dramatically improved outcomes for patients across cancer types. However, not all patients respond to immunotherapy, acquired resistance remains a challenge, and responses are poor in certain tumors which are considered to be immunologically cold. This has led to the need for new immunotherapy-based approaches, including adoptive cell transfer (ACT), therapeutic vaccines, and novel immune checkpoint inhibitors. These new approaches are focused on patients with an inadequate response to current treatments, with emerging evidence of improved responses in various cancers with new immunotherapy agents, often in combinations with existing agents. The use of cell therapies, drivers of immune response, and trends in immunotherapy were the focus of the Immunotherapy Bridge (November 30th–December 1st, 2022), organized by the Fondazione Melanoma Onlus, Naples, Italy, in collaboration with the Society for Immunotherapy of Cancer.</t>
  </si>
  <si>
    <t>Ascierto Paolo A.,Avallone Antonio,Bifulco Carlo,Bracarda Sergio,Brody Joshua D.,Emens Leisha A.,Ferris Robert L.,Formenti Silvia C.,Hamid Omid,Johnson Douglas B.,Kirchhoff Tomas,Klebanoff Christopher A.,Lesinski Gregory B.,Monette Anne,Neyns Bart,Odunsi Kunle,Paulos Chrystal M.,Powell Jr. Daniel J.,Rezvani Katayoun,Segal Brahm H.</t>
  </si>
  <si>
    <t>https://research.ebsco.com/linkprocessor/plink?id=98b65b08-df16-3e97-894a-f2ef50b50bea</t>
  </si>
  <si>
    <t>Immune checkpoint inhibitors,Immunotherapy,Immune system,Immune response,Cancer prognosis,Naples (Italy)</t>
  </si>
  <si>
    <t>Journal of Translational Medicine</t>
  </si>
  <si>
    <t>Pharmacovigilance in Cell and Gene Therapy: Evolving Challenges in Risk Management and Long-Term Follow-Up.</t>
  </si>
  <si>
    <t>Declarations. Funding: This research received no external funding. Conflict of interest: The authors are employed by Kapadi, a contract research organization (CRO). Authors contributions: All authors contributed to the conceptualization, writing, and revision of the manuscript. All authors have read and approved the final version. Ethics approval: Not applicable. This article is a narrative review based entirely on previously published literature and does not involve any new studies with human participants, animals, or identifiable data. Therefore, institutional ethics approval or consent was not required. Consent to participate: Not applicable. This review does not involve any original research with human participants; thus, no participant consent was necessary. Consent for publication: Not applicable. This article does not include any individual data or images requiring consent for publication. Availability of data and material:: Data sharing is not applicable to this article as no datasets were generated or analyzed during the current study. Code availability: Not applicable. No custom code or software applications were used in the preparation of this manuscript.</t>
  </si>
  <si>
    <t>Youssef Emile,Weddle Kari,Zimmerman Lisa,Palmer Dannelle</t>
  </si>
  <si>
    <t>https://research.ebsco.com/linkprocessor/plink?id=7f529ed4-74b3-3f68-92fc-c470a06c990b</t>
  </si>
  <si>
    <t>Drug safety</t>
  </si>
  <si>
    <t>Population-Based Analysis of Histologically Confirmed Melanocytic Proliferations Using Natural Language Processing.</t>
  </si>
  <si>
    <t>Population-based information on the distribution of histologic diagnoses associated with skin biopsies is unknown. Electronic medical records (EMRs) enable automated extraction of pathology report data to improve our epidemiologic understanding of skin biopsy outcomes, specifically those of melanocytic origin.</t>
  </si>
  <si>
    <t>Lott Jason P,Boudreau Denise M,Barnhill Ray L,Weinstock Martin A,Knopp Eleanor,Piepkorn Michael W,Elder David E,Knezevich Steven R,Baer Andrew,Tosteson Anna N A,Elmore Joann G</t>
  </si>
  <si>
    <t>https://research.ebsco.com/linkprocessor/plink?id=b2a1e366-ff48-39f6-8b3a-47f47dcb6bd8</t>
  </si>
  <si>
    <t>United States,Electronic Health Records statistics &amp; numerical data,Melanocytes cytology,Melanoma pathology,Natural Language Processing,Skin Neoplasms pathology,Adult,Aged,Biopsy, Needle,Cell Proliferation,Cross-Sectional Studies,Female,Humans,Immunohistochemistry,Male,Melanoma epidemiology,Middle Aged,SEER Program,Skin Neoplasms epidemiology,United States,Melanoma, Cutaneous Malignant</t>
  </si>
  <si>
    <t>JAMA dermatology</t>
  </si>
  <si>
    <t>Population-based cancer staging for oesophageal, gastric, and pancreatic cancer 2012-2014: International Cancer Benchmarking Partnership SurvMark-2.</t>
  </si>
  <si>
    <t>Cancer stage at diagnosis is important information for management and treatment of individual patients as well as in epidemiological studies to evaluate effectiveness of health care system in managing cancer patients. Population-based studies to examine international disparities on cancer survival by stage, however, has been challenging due to the lack of international standardization on recording stage information and variation in stage completeness across regions and countries. The International Cancer Benchmarking Partnership (ICBP) previously assessed the availability and comparability of staging information for colorectal, lung, female breast and ovarian cancers. Stage conversion algorithms were developed to aggregate and map all stage information into a single staging system to allow international comparison by stage at diagnosis. In this article, we developed stage conversion algorithms for three additional cancers, namely oesophageal, gastric and pancreatic cancers. We examined all stage information available, evaluated stage completeness, applied each stage conversion algorithm, and assessed the magnitude of misclassification using data from six Canadian cancer registries (Alberta, Manitoba, Newfoundland, Nova Scotia, Prince Edward Island and Saskatchewan). In addition, we discussed five recommendations for registries to improve international cancer survival comparison by stage: (a) improve collection and completeness of staging data; (b) promote a comparable definition for stage at diagnosis; (c) promote the use of a common stage classification system; (d) record versions of staging classifications and (e) use multiple data sources for valid staging data.</t>
  </si>
  <si>
    <t>Cabasag Citadel J,Arnold Melina,Piñeros Marion,Morgan Eileen,Brierley James,Hofferkamp Jim,Kehoe Sean,Butler John,Bucher Oliver,Bray Freddie,Soerjomataram Isabelle,Parkin D Maxwell</t>
  </si>
  <si>
    <t>https://research.ebsco.com/linkprocessor/plink?id=2f457ff2-9b37-3482-a661-b2f9a19892c2</t>
  </si>
  <si>
    <t>Canada,Esophageal Neoplasms pathology,Pancreatic Neoplasms pathology,Stomach Neoplasms pathology,Adolescent,Adult,Aged,Aged, 80 and over,Algorithms,Benchmarking,Canada epidemiology,Esophageal Neoplasms epidemiology,Female,Humans,Male,Middle Aged,Neoplasm Staging,Pancreatic Neoplasms epidemiology,Stomach Neoplasms epidemiology,Survival Analysis,Young Adult</t>
  </si>
  <si>
    <t>International journal of cancer</t>
  </si>
  <si>
    <t>Population-Based Data Linkage Describing Patterns of Cancer Clinical Trial Enrollment Among Children and Adolescents</t>
  </si>
  <si>
    <t>PURPOSEDatabase linkage between cancer registries and clinical trial consortia has the potential to elucidate referral patterns of children and adolescents with newly diagnosed cancer, including enrollment into cancer clinical trials. This study's primary objective was to assess the feasibility of this linkage approach.METHODSPatients younger than 20 years diagnosed with incident cancer during 2012-2017 in the Kentucky Cancer Registry (KCR) were linked with patients enrolled in a Children's Oncology Group (COG) study. Matched patients between databases were described by sex, age, race and ethnicity, geographical location when diagnosed, and cancer type. Logistic regression modeling identified factors associated with COG study enrollment. Timeliness of patient identification by KCR was reported through the Centers for Disease Control and Prevention's Early Case Capture (ECC) program.RESULTSOf 1,357 patients reported to KCR, 47% were determined by matching to be enrolled in a COG study. Patients had greater odds of enrollment if they were age 0-4 years (v 15-19 years), reported from a COG-affiliated institution, and had renal cancer, neuroblastoma, or leukemia. Patients had lower odds of enrollment if Hispanic (v non-Hispanic White) or had epithelial (eg, thyroid, melanoma) cancer. Most (59%) patients were reported to KCR within 10 days of pathologic diagnosis.CONCLUSIONLinkage of clinical trial data with cancer registries is a feasible approach for tracking patient referral and clinical trial enrollment patterns. Adolescents had lower enrollment compared with younger age groups, independent of cancer type. Population-based early case capture could guide interventions designed to increase cancer clinical trial enrollment. © American Society of Clinical Oncology.</t>
  </si>
  <si>
    <t>Siegel,D.A.,Durbin,E.B.,Pollock,B.H.,Grimes,A.,Ji,L.,Alonzo,T.A.,Vargas,S.L.,Huang,B.,McDowell,J.R.,Lycan,E.,Ransdell,P.,Tai,E.,Roth,M.E.,Freyer,D.R.</t>
  </si>
  <si>
    <t>https://www.scopus.com/inward/record.uri?eid=2-s2.0-85193100984&amp;doi=10.1200%2FOP.23.00325&amp;partnerID=40&amp;md5=b94e4717e93e9d7dc7852d8a923acf81</t>
  </si>
  <si>
    <t>JCO Oncology Practice</t>
  </si>
  <si>
    <t>Post Capsule Endoscopy Small Bowel Cancer Rate—An Australian Data Linkage Analysis</t>
  </si>
  <si>
    <t>Purpose: Small bowel (SB) capsule endoscopy (CE) is a well-established investigation for suspected SB pathology, but little research has evaluated the diagnostic miss rate of SB cancer. This Australian study sought to assess the risk of developing SB cancer within 36 months of a cancer-negative CE (PCSBC-3Y) using a novel root-cause analysis (RCA) method. Methods: Using a prospective CE database and data linkage with a population-based state cancer registry, the PCSBC-3Y rate was evaluated in consecutive patients undergoing CE between 2007 and 2019. SB cancers diagnosed or suspected from CE were defined as ‘detected cancers’, whilst those diagnosed within 36 months of a negative CE were defined as ‘missed cancers’. Descriptive statistics summarised characteristics for all diagnosed SB cancers. All PCSBC-3Y cases were evaluated by RCA. Results: A total of 20 patients were diagnosed with SB cancer within 36 months of CE, comprising of 18 detected cancers and two missed cancers. The overall PCSBC-3Y rate was 10% (95% CI 2.6–28.7%). The two missed cancers included one jejunal gastrointestinal stromal tumour and one duodenal adenocarcinoma. RCA revealed both missed cancers to be unavoidable, as the SB was normal on two retrospective reviews of the CE video recordings. Conclusion: This study introduces the concept of measuring the PCSBC-3Y rate and a novel algorithm of RCA. In our quaternary referral CE cohort, the PCSBC-3Y rate was 10%. A subsequent RCA suggested that the two missed cancers were unavoidable. © The Author(s) 2025.</t>
  </si>
  <si>
    <t>Hoey,P.,Goetz,N.,Ryan,K.,Appleyard,M.,Grimpen,F.</t>
  </si>
  <si>
    <t>https://www.scopus.com/inward/record.uri?eid=2-s2.0-105016607697&amp;doi=10.1007%2Fs12029-025-01313-w&amp;partnerID=40&amp;md5=424172adc41d15cec96d6344ae2a9cae</t>
  </si>
  <si>
    <t>Cancer,Capsule endoscopy,Small bowel</t>
  </si>
  <si>
    <t>Journal of Gastrointestinal Cancer</t>
  </si>
  <si>
    <t>Post-colonoscopy cancer rate at a tertiary referral hospital in Australia: A data linkage analysis</t>
  </si>
  <si>
    <t>Background and Aim: Colorectal cancer (CRC) diagnosed following a cancer-negative colonoscopy is termed as post-colonoscopy CRC (PCCRC). The World Endoscopy Organization has recently standardized the definition of PCCRC-3Y (CRC developing within 3 years of a cancer-negative colonoscopy). In the present study, we sought to assess PCCRC-3Y rate, perform root-cause analyses, and identify factors associated with development of PCCRC at a tertiary referral hospital in Australia. Methods: All patients undergoing colonoscopy from 2011 to 2018 were matched to a population-based cancer register. PCCRC-3Y rate was assessed for years 2011–2015. All PCCRC cases that developed within 6–48 months after a cancer-negative colonoscopy underwent root-cause analyses. Descriptive statistics were used to summarize data. Results: Among 17 828 patients undergoing colonoscopy, 367 CRC cases were diagnosed during the study period. This included nine PCCRC cases, which developed at a median of 14 months (range 7–34 months) after cancer-negative colonoscopy. The PCCRC-3Y rate for years 2011–2015 was 2.16% (95% CI 0.91–5.15). All nine PCCRC cases were moderately or poorly differentiated adenocarcinomas; seven of nine were early-stage CRC (stages I and II) and six of nine probably represented missed lesions at index colonoscopy despite an apparently adequate examination. History of inflammatory bowel disease (IBD) (odds ratio [OR] 21.9, 95% confidence interval [CI] 4.6–103.7, P &lt; 0.001) and diverticulosis (OR 5.4, 95% CI 1.4–20.5, P = 0.01) were significantly associated with development of missed CRC. Conclusions: In our tertiary referral colonoscopy cohort, PCCRC-3Y rate was 2.16% (95% CI 0.91–5.15). IBD and diverticulosis were significantly associated with risk of PCCRC. The majority of PCCRC lesions were likely missed at index colonoscopy, despite an apparently adequate examination. © 2022 Journal of Gastroenterology and Hepatology Foundation and John Wiley &amp; Sons Australia, Ltd.</t>
  </si>
  <si>
    <t>Lamba,M.,Khaing,M.M.,Ma,X.,Ryan,K.,Appleyard,M.,Leggett,B.,Grimpen,F.</t>
  </si>
  <si>
    <t>https://www.scopus.com/inward/record.uri?eid=2-s2.0-85144094789&amp;doi=10.1111%2Fjgh.16077&amp;partnerID=40&amp;md5=bdf906c69d8c0d348b28995fdb603e13</t>
  </si>
  <si>
    <t>adenocarcinoma,colonoscopy,colorectal neoplasms,inflammatory bowel diseases,quality improvement,root-cause analyses,surveillance</t>
  </si>
  <si>
    <t>Journal of Gastroenterology and Hepatology (Australia)</t>
  </si>
  <si>
    <t>Postcolonoscopy Colorectal Cancer in Fecal Immunochemical Test-Positive Individuals: Prevalence, Predictors, and Root Cause Analysis in a Nationwide Cohort.</t>
  </si>
  <si>
    <t>Postcolonoscopy colorectal cancer (PCCRC) represents an important real-world colonoscopy quality indicator. Using a national database, we evaluated predictors of PCCRC in fecal immunochemical test (FIT)-positive individuals, determined the PCCRC 3-year (PCCRC-3y) rate, and performed a root cause analysis (RCA).</t>
  </si>
  <si>
    <t>Wilson Natalie,Bilal Mohammad,Westanmo Anders,Karna Rahul,Gravely Amy,Shaukat Aasma</t>
  </si>
  <si>
    <t>https://research.ebsco.com/linkprocessor/plink?id=cc043a1d-67f0-3ae7-836e-4fab31b1ca5c</t>
  </si>
  <si>
    <t>The American journal of gastroenterology</t>
  </si>
  <si>
    <t>Post-Endoscopy Upper Gastrointestinal Cancer Rate in a Tertiary Referral Centre: An Australian Data Linkage Analysis</t>
  </si>
  <si>
    <t>Objective: High-quality gastroscopy is critical for early diagnosis of upper gastrointestinal cancers (UGCs), and assessment of missed cancers may serve as a key quality metric. Using a prospective gastroscopy database and data linkage with the Queensland Cancer Registry, we assessed the risk of developing UGC within 3 years of a cancer-negative gastroscopy at an Australian tertiary centre. Additional aims were to identify factors predictive of missed cancer, perform root cause analyses for missed cancers and assess overall survival. Design/Method: We identified patients who were diagnosed with UGC within 3 years of undergoing gastroscopy between 2011 and 2016. Non-mucosal cancers, cancers distal to duodenum and patients undergoing surveillance were excluded. Cases diagnosed within 6 months of gastroscopy were defined as detected cancers, while those developing within 6–36 months were defined as missed cancers. Post-endoscopy UGC rate (PEUGIC-3Y) was calculated as ratio of missed over total cancers detected. Demographic, clinical, endoscopic and histologic variables were analysed. Results: A total of 17,131 gastroscopies were performed for 10,393 patients during the study period. One hundred and twenty-six UGCs were diagnosed, including 120 detected UGCs and 6 missed UGCs. The overall PEUGIC-3Y rate was 4.8% (95% CI 2.1–10.4). The missed UGCs included 3 gastric adenocarcinomas, 2 gastro-oesophageal junction adenocarcinomas and 1 oesophageal squamous cell carcinoma. At the preceding ‘cancer-negative gastroscopy’, no macroscopic abnormalities were detected at the site of future UGC in 5/6 patients. A UGC developed in 2/6 patients despite an apparent adequate examination at index gastroscopy. Age, sex, indication for endoscopy and cancer location or histology were not predictive of missed cases, and survival was comparable between groups. Conclusion: We demonstrate that the PEUGIC-3Y rate was 4.8% (95% CI 2.1–10.4). The majority of missed cases were adenocarcinomas of the gastro-oesophageal junction or stomach and developed in segments which were found to be normal at index gastroscopy, highlighting the challenges in detecting subtle mucosal lesions in the upper gastrointestinal tract. While overall survival between patients with detected and post-gastroscopy cancers was comparable, these ultimately represent potential missed opportunities for diagnosing an early cancer and underscore the need for quality improvement in gastroscopy. © 2022, Crown.</t>
  </si>
  <si>
    <t>Goetz,N.,Lamba,M.,Ryan,K.,Grimpen,F.</t>
  </si>
  <si>
    <t>https://www.scopus.com/inward/record.uri?eid=2-s2.0-85139988088&amp;doi=10.1007%2Fs12029-022-00874-4&amp;partnerID=40&amp;md5=500f48e9983ecf74f41aebba98fe2dcd</t>
  </si>
  <si>
    <t>Early detection of cancer,Endoscopy,Oesophageal Neoplasms,Quality indicators (health care),Stomach neoplasms</t>
  </si>
  <si>
    <t>Poster Abstracts.</t>
  </si>
  <si>
    <t>B Results b : Of 481 patients prescreened, METamp was identified by TBx FISH in 169 (35%) patients and by LBx NGS in 52 (11%) patients. Laura E Anderson SP 1,2 sp , Katelyn Collins SP 1,3 sp , Larry Myers SP 1,3 sp , Michael J Ireland SP 3,4 sp , Mariam Omar SP 1 sp , Allanah Drummond SP 3 sp , Leah Zajdlewicz SP 1 sp , Belinda Goodwin SP 1,4,5 sp I SP 1 sp Cancer Council Queensland, Fortitude Valley, Queensland, Australia i I SP 2 sp National Centre for Youth Substance Use Research, The University of Queensland, St Lucia, Queensland, Australia i I SP 3 sp School of Psychology and Wellbeing, University of Southern Queensland, Springfield, Queensland, Australia i I SP 4 sp Centre for Health Research, University of Southern Queensland, Springfield, Queensland, Australia i I SP 5 sp Melbourne School of Population and Global Health, University of Melbourne, Melbourne, Queensland, Australia i B Aims b : Population-wide cancer screening programs save lives through early cancer detection; however, many people do not participate. Initial treatment was chemotherapy in 27 patients (82%), surgery in two patients (6%) and unknown in four patients (12%). Overall, 23 patients (88.5%) experienced &gt;=1 treatment-emergent adverse event (TEAE), 11 patients (42.3%) experienced Grade &gt;= 3 TEAEs and nine patients (34.6%) experienced serious TEAEs. In the efficacy-evaluable population (Part A, I n i = 50; Part B, I n i = 30), PR was observed in two (4%) patients (unconfirmed) and seven (23%) patients (confirmed), SD in 18 (36%) and 13 (43%) patients (confirmed), and PD in 26 (52%) and 8 (27%) patients, respectively.</t>
  </si>
  <si>
    <t>https://research.ebsco.com/linkprocessor/plink?id=bd4397d3-86d8-3ad5-bfff-da7bfa59d279</t>
  </si>
  <si>
    <t>Skin cancer,Prostate cancer,Granulocyte-colony stimulating factor,Medical personnel,Kegel exercises,Cancer relapse,Mucosa-associated lymphoid tissue lymphoma</t>
  </si>
  <si>
    <t>Poster Listing.</t>
  </si>
  <si>
    <t>Protocol number TOGA 19/003 I abs# 453 i B Elani Bowers b Phase 3 study of pembrolizumab as adjuvant treatment in high-risk locally advanced (LA) cutaneous squamous cell carcinoma (cSCC) I abs# 454 i B Danka Zebic b An international randomized phase 3 trial of accelerated versus standard BEP chemotherapy for male and female adults and children with intermediate and poor-risk metastatic germ cell tumours (GCTs) I abs# 455 i I abs# 429 i B Georgina Lamb b The feasibility of "Beyond Cancer", a multimodal support intervention for transitioning back to "good" work following breast cancer I abs# 430 i B Christopher B. Steer b Geriatric assessment (GA) in the instagram era: adding photographs to electronic GA to enhance supportive care (ESC) of older adults with cancer I abs# 432 i B Kellie Toohey b A systematic review of multi-modal prehabilitation in breast cancer I abs# 433 i B Megumi Uchida b Which is more effective, intravenous haloperidol or chlorpromazine, to improve agitation and communication in agitated terminal delirium? Wednesday 2 November, 3:00 PM-4:00 PM BASIC SCIENCE B Victoria Atkinson b Phase III study of adjuvant encorafenib plus binimetinib versus placebo in fully resected stage IIB/C I BRAF SP V600 sp i mutated melanoma: Columbus-AD study design I abs# 180 i B Reem Alhulais b Colorectal cancer stem cells and hypoxia I abs# 181 i B Laura E. Anderson b Facilitators for participation in mail-out bowel cancer screening programs I abs# 182 i B Dominique Shreeve b Physical, psychological and quality of life outcomes in adults post allogeneic stem cell transplantation: a prospective cohort study.</t>
  </si>
  <si>
    <t>https://research.ebsco.com/linkprocessor/plink?id=276cccf5-f68f-3e09-898c-fa019871d273</t>
  </si>
  <si>
    <t>Hormone receptor positive breast cancer,Head &amp; neck cancer,Medical care,Prognosis,Cancer pain,Cancer patients</t>
  </si>
  <si>
    <t>Poster presentations.</t>
  </si>
  <si>
    <t>https://research.ebsco.com/linkprocessor/plink?id=b0cdadd5-3b69-388f-83dd-972fb10a65d8</t>
  </si>
  <si>
    <t>Journal of Crohn's &amp; Colitis</t>
  </si>
  <si>
    <t>Postmastectomy Radiation Therapy Is Associated With Improved Survival in Node-Positive Male Breast Cancer: A Population Analysis</t>
  </si>
  <si>
    <t>Purpose Because of its rarity, there are no randomized trials investigating postmastectomy radiation therapy (PMRT) in male breast cancer. This study retrospectively examines the impact of PMRT in male breast cancer patients in the National Cancer Institute's Surveillance, Epidemiology, and End Results (SEER) database. Methods and Materials The SEER database 8.3.2 was queried for men ages 20+ with a diagnosis of localized or regional nonmetastatic invasive ductal/lobular carcinoma from 1998 to 2013. Included patients were treated by modified radical mastectomy (MRM), with or without adjuvant external beam radiation. Univariate and multivariate analyses evaluated predictors for PMRT use after MRM. Kaplan-Meier overall survival (OS) curves of the entire cohort and a case-matched cohort were calculated and compared by the log-rank test. Cox regression was used for multivariate survival analyses. Results A total of 1933 patients were included in the unmatched cohort. There was no difference in 5-year OS between those who received PMRT and those who did not (78% vs 77%, respectively, P=.371); however, in the case-matched analysis, PMRT was associated with improved OS at 5 years (83% vs 54%, P&lt;.001). On subset analysis of the unmatched cohort, PMRT was associated with improved OS in men with 1 to 3 positive nodes (5-year OS 79% vs 72% P=.05) and those with 4+ positive nodes (5-year OS 73% vs 53% P&lt;.001). On multivariate analysis of the unmatched cohort, independent predictors for improved OS were use of PMRT: HR=0.551 (0.412-0.737) and estrogen receptor–positive disease: HR=0.577 (0.339-0.983). Predictors for a survival detriment were higher grade 3/4: HR=1.825 (1.105-3.015), larger tumor T2: HR=1.783 (1.357-2.342), T3/T4: HR=2.683 (1.809-3.978), higher N-stage: N1 HR=1.574 (1.184-2.091), N2/N3: HR=2.328 (1.684-3.218), black race: HR=1.689 (1.222-2.336), and older age 81+: HR=4.164 (1.497-11.582). Conclusions There may be a survival benefit with the addition of PMRT for male breast cancer with node-positive disease. © 2017 Elsevier Inc.</t>
  </si>
  <si>
    <t>Abrams,M.J.,Koffer,P.P.,Wazer,D.E.,Hepel,J.T.</t>
  </si>
  <si>
    <t>https://www.scopus.com/inward/record.uri?eid=2-s2.0-85018282171&amp;doi=10.1016%2Fj.ijrobp.2017.02.007&amp;partnerID=40&amp;md5=20e0b503e02f45f63246ae1f8f94072e</t>
  </si>
  <si>
    <t>International Journal of Radiation Oncology Biology Physics</t>
  </si>
  <si>
    <t>Potential application of artificial intelligence in cancer therapy.</t>
  </si>
  <si>
    <t>This review underscores the critical role and challenges associated with the widespread adoption of artificial intelligence in cancer care to enhance disease management, streamline clinical processes, optimize data retrieval of health information, and generate and synthesize evidence.</t>
  </si>
  <si>
    <t>Riaz Irbaz Bin,Khan Muhammad Ali,Haddad Tufia C</t>
  </si>
  <si>
    <t>https://research.ebsco.com/linkprocessor/plink?id=3c4ec0c9-6a0f-38ab-80b8-93e3e22dd248</t>
  </si>
  <si>
    <t>Artificial Intelligence,Neoplasms therapy,Humans</t>
  </si>
  <si>
    <t>Current opinion in oncology</t>
  </si>
  <si>
    <t>Precision prediction of cervical cancer outcomes: A machine learning approach to recurrence and survival analysis.</t>
  </si>
  <si>
    <t>Cervical cancer remains a significant global health challenge, with high rates of recurrence and mortality, particularly in low-resource regions. Effective prediction of recurrence and survival is crucial for optimizing treatment and improving patient outcomes. Recently, artificial intelligence (AI) has emerged as a transformative tool in oncology, providing advanced methodologies for analyzing large-scale medical data and offering predictive insights into patient outcomes. This review comprehensively explores the role of AI in predicting cervical cancer recurrence and survival, focusing on techniques such as machine learning, deep learning, and natural language processing. The integration of AI with medical imaging, genomics, and clinical data is discussed, along with the associated challenges and limitations. Future directions and the potential impact of AI on personalized medicine in cervical cancer care are also examined.</t>
  </si>
  <si>
    <t>Saini Surendra Kumar,Sharma Daya Nand,Chauhan Sapna,Srivastava Shelly,Gopishankar N,Subramani V</t>
  </si>
  <si>
    <t>https://research.ebsco.com/linkprocessor/plink?id=e8581331-4657-3be4-8113-9bce11993453</t>
  </si>
  <si>
    <t>Uterine Cervical Neoplasms mortality,Uterine Cervical Neoplasms therapy,Uterine Cervical Neoplasms diagnosis,Uterine Cervical Neoplasms pathology,Machine Learning,Neoplasm Recurrence, Local diagnosis,Neoplasm Recurrence, Local epidemiology,Precision Medicine methods,Humans,Female,Prognosis,Survival Analysis,Deep Learning</t>
  </si>
  <si>
    <t>Journal of cancer research and therapeutics</t>
  </si>
  <si>
    <t>Predicting Survival in Veterans with Follicular Lymphoma Using Structured Electronic Health Record Information and Machine Learning.</t>
  </si>
  <si>
    <t>The most accurate prognostic approach for follicular lymphoma (FL), progression of disease at 24 months (POD24), requires two years' observation after initiating first-line therapy (L1) to predict outcomes. We applied machine learning to structured electronic health record (EHR) data to predict individual survival at L1 initiation. We grouped 523 observations and 1933 variables from a nationwide cohort of FL patients diagnosed 2006-2014 in the Veterans Health Administration into traditionally used prognostic variables ("curated"), commonly measured labs ("labs"), and International Classification of Diseases diagnostic codes ("ICD") sets. We compared performance of random survival forests (RSF) vs. traditional Cox model using four datasets: curated, curated + labs, curated + ICD, and curated + ICD + labs, also using Cox on curated + POD24. We evaluated variable importance and partial dependence plots with area under the receiver operating characteristic curve (AUC). RSF with curated + labs performed best, with mean AUC 0.73 (95% CI: 0.71-0.75). It approximated, but did not surpass, Cox with POD24 (mean AUC 0.74 [95% CI: 0.71-0.77]). RSF using EHR data achieved better performance than traditional prognostic variables, setting the foundation for the incorporation of our algorithm into the EHR. It also provides for possible future scenarios in which clinicians could be provided an EHR-based tool which approximates the predictive ability of the most accurate known indicator, using information available 24 months earlier.</t>
  </si>
  <si>
    <t>Li Chunyang,Patil Vikas,Rasmussen Kelli M,Yong Christina,Chien Hsu-Chih,Morreall Debbie,Humpherys Jeffrey,Sauer Brian C,Burningham Zachary,Halwani Ahmad S</t>
  </si>
  <si>
    <t>https://research.ebsco.com/linkprocessor/plink?id=27d6ec0d-b57e-3e95-be42-f2e92027d44b</t>
  </si>
  <si>
    <t>Lymphoma, Follicular diagnosis,Veterans,Electronic Health Records,Humans,International Classification of Diseases,Machine Learning</t>
  </si>
  <si>
    <t>International journal of environmental research and public health</t>
  </si>
  <si>
    <t>Predicting the Survival of Patients With Cancer From Their Initial Oncology Consultation Document Using Natural Language Processing</t>
  </si>
  <si>
    <t>IMPORTANCE Predicting short-and long-term survival of patients with cancer may improve their care. Prior predictive models either use data with limited availability or predict the outcome of only 1 type of cancer.OBJECTIVE To investigate whether natural language processing can predict survival of patients with general cancer from a patient's initial oncologist consultation document. DESIGN, SETTING, AND PARTICIPANTS This retrospective prognostic study used data from 47 625 of 59 800 patients who started cancer care at any of the 6 BC Cancer sites located in the province of British Columbia between April 1, 2011, and December 31, 2016. Mortality data were updated until April 6, 2022, and data were analyzed from update until September 30, 2022. All patients with a medical or radiation oncologist consultation document generated within 180 days of diagnosis were included; patients seen for multiple cancers were excluded.EXPOSURES Initial oncologist consultation documents were analyzed using traditional and neural language models.MAIN OUTCOMES AND MEASURES The primary outcome was the performance of the predictive models, including balanced accuracy and receiver operating characteristics area under the curve (AUC). The secondary outcome was investigating what words the models used.RESULTS Of the 47 625 patients in the sample, 25 428 (53.4%) were female and 22197 (46.6%) were male, with a mean (SD) age of 64.9 (13.7) years. A total of 41447 patients (87.0%) survived 6 months, 31143 (65.4%) survived 36 months, and 27 880 (58.5%) survived 60 months, calculated from their initial oncologist consultation. The best models achieved a balanced accuracy of 0.856 (AUC, 0.928) for predicting 6-month survival, 0.842 (AUC, 0.918) for 36-month survival, and 0.837 (AUC, 0.918) for 60-month survival, on a holdout test set. Differences in what words were important for predicting 6-vs 60-month survival were found.CONCLUSIONS AND RELEVANCE These findings suggest that models performed comparably with or better than previous models predicting cancer survival and that they may be able to predict survival using readily available data without focusing on 1 cancer type.</t>
  </si>
  <si>
    <t>Nunez JJ,Leung B,Ho CRY,Bates AT,Ng RT</t>
  </si>
  <si>
    <t>https://www.webofscience.com/wos/woscc/full-record/WOS:001062239200005</t>
  </si>
  <si>
    <t>JAMA NETWORK OPEN</t>
  </si>
  <si>
    <t>Prediction of one-year recurrence among breast cancer patients undergone surgery using artificial intelligence-based algorithms: a retrospective study on prognostic factors.</t>
  </si>
  <si>
    <t>Declarations. Ethics approval and consent to participate: This study was approved by the ethics committee of Tehran University of Medical Sciences (IR.TUMS.SPH.REC.1398.401). The study was performed in compliance with this institutional guideline, ethical guidelines for clinical research of the Iranian government, and the Declaration of Helsinki. The database leveraged was anonymous (did not include names or any identification detail), and confidentiality of information was assured. All methods were performed in accordance with the relevant guidelines and regulations by the Declaration of Helsinki. Informed consent was obtained from all subjects and/or their legal guardian(s). Consent for publication: Not applicable. Competing interests: The author declares no competing interests.</t>
  </si>
  <si>
    <t>Nopour Raoof</t>
  </si>
  <si>
    <t>https://research.ebsco.com/linkprocessor/plink?id=dd214787-e2ff-3013-a338-5e11fd00be1d</t>
  </si>
  <si>
    <t>Breast Neoplasms surgery,Breast Neoplasms pathology,Neoplasm Recurrence, Local epidemiology,Neoplasm Recurrence, Local pathology,Artificial Intelligence,Humans,Female,Retrospective Studies,Prognosis,Middle Aged,Algorithms,Aged,Adult,Mastectomy,Deep Learning,Machine Learning</t>
  </si>
  <si>
    <t>Predictive value of machine learning for breast cancer recurrence: a systematic review and meta-analysis.</t>
  </si>
  <si>
    <t>Recurrence of breast cancer leads to a high lifetime risk and a low 5 year survival rate. Researchers have used machine learning to predict the risk of recurrence in patients with breast cancer, but the predictive performance of machine learning remains controversial. Hence, this study aimed to explore the accuracy of machine learning in predicting breast cancer recurrence risk and aggregate predictive variables to provide guidance for the development of subsequent risk scoring systems.</t>
  </si>
  <si>
    <t>Lu Dongmei,Long Xiaozhou,Fu Wenjie,Liu Bo,Zhou Xing,Sun Shaoqin</t>
  </si>
  <si>
    <t>https://research.ebsco.com/linkprocessor/plink?id=852c1f95-7cc5-3dba-b413-dc02d9750840</t>
  </si>
  <si>
    <t>Breast Neoplasms diagnosis,Breast Neoplasms pathology,Humans,Female,Breast pathology,Prognosis,Sensitivity and Specificity,Machine Learning</t>
  </si>
  <si>
    <t>Journal of cancer research and clinical oncology</t>
  </si>
  <si>
    <t>Predictors of malignancy in incidental adnexal lesions identified on CT in patients with prior non-ovarian cancer.</t>
  </si>
  <si>
    <t>To identify imaging features in incidental adnexal lesions which are associated with malignancy on portal venous phase contrast-enhanced CT in patients with known non-ovarian cancer.</t>
  </si>
  <si>
    <t>Shinagare Atul B,Gujrathi Isha,Cochon Laila,Burk Kristine S,Sadowski Elizabeth,Khorasani Ramin</t>
  </si>
  <si>
    <t>https://research.ebsco.com/linkprocessor/plink?id=22aba453-f1dc-3e12-9310-658dd478d374</t>
  </si>
  <si>
    <t>Adnexal Diseases diagnostic imaging,Krukenberg Tumor,Ovarian Neoplasms diagnostic imaging,Female,Humans,Middle Aged,Retrospective Studies,Tomography, X-Ray Computed methods</t>
  </si>
  <si>
    <t>Abdominal radiology (New York)</t>
  </si>
  <si>
    <t>Prescreening in Oncology Using Data Sciences: The PreScIOUS Study.</t>
  </si>
  <si>
    <t>The development of precision medicine in oncology to define profiles of patients who could benefit from specific and relevant anti-cancer therapies is essential. An increasing number of specific eligibility criteria are necessary to be eligible to targeted therapies. This study aimed to develop an automated algorithm based on natural language processing to detect patients and tumor characteristics to reduce the time-consuming prescreening for trial inclusions. Hence, 640 anonymized multidisciplinary team meeting (MTM) reports concerning lung cancer were extracted from one teaching hospital data warehouse in France and annotated. To automate the extraction of 52 bioclinical information corresponding to 8 major eligibility criteria, regular expressions were implemented and evaluated. The performance parameters were satisfying: macroaverage F1-score 93%; rates reached 98% for precision and 92% for recall. In MTM, fill rates variabilities among patients and tumors information remained important (from 31.4% to 100%). The least reported characteristics and the most difficult to automatically collect were genetic mutations and rearrangement test results.</t>
  </si>
  <si>
    <t>Ansoborlo Marie,Dhalluin Thibault,Gaborit Christophe,Cuggia Marc,Grammatico-Guilllon Leslie</t>
  </si>
  <si>
    <t>https://research.ebsco.com/linkprocessor/plink?id=be55e867-5830-3260-ae82-f4c261258647</t>
  </si>
  <si>
    <t>France,Data Science,Natural Language Processing,Data Warehousing,France,Humans,Medical Oncology</t>
  </si>
  <si>
    <t>Prescription Patterns and Outcomes of Patients With Atrial Fibrillation Treated With Direct Oral Anticoagulants and Warfarin: A Real-World Analysis.</t>
  </si>
  <si>
    <t>Direct oral anticoagulants (DOACs) have been found to be similar or superior to warfarin in reducing ischemic stroke and intracranial hemorrhage (ICH) in patients with atrial fibrillation (AF). We sought to examine the anticoagulation prescription patterns in community since the advent of DOACs and also evaluate the outcomes in terms of gastrointestinal (GI) bleeding, ischemic stroke, and ICH in real-world patients with AF receiving anticoagulation.</t>
  </si>
  <si>
    <t>Kattoor Ajoe John,Pothineni Naga Venkata,Goel Akshay,Syed Mahanazuddin,Syed Shorabuddin,Paydak Hakan,Mehta Jawahar L</t>
  </si>
  <si>
    <t>https://research.ebsco.com/linkprocessor/plink?id=22496be0-93d3-3bc6-b7e6-72c67cc95f98</t>
  </si>
  <si>
    <t>Anticoagulants administration &amp; dosage,Antithrombins administration &amp; dosage,Atrial Fibrillation drug therapy,Brain Ischemia prevention &amp; control,Practice Patterns, Physicians' trends,Stroke prevention &amp; control,Warfarin administration &amp; dosage,Administration, Oral,Aged,Aged, 80 and over,Anticoagulants adverse effects,Antithrombins adverse effects,Atrial Fibrillation diagnosis,Atrial Fibrillation epidemiology,Brain Ischemia diagnosis,Brain Ischemia epidemiology,Drug Utilization trends,Female,Hemorrhage chemically induced,Hemorrhage epidemiology,Humans,Male,Retrospective Studies,Risk Factors,Stroke diagnosis,Stroke epidemiology,Time Factors,Treatment Outcome,Warfarin adverse effects</t>
  </si>
  <si>
    <t>Journal of cardiovascular pharmacology and therapeutics</t>
  </si>
  <si>
    <t>Prevaccination Prevalence of Type-Specific Human Papillomavirus Infection by Grade of Cervical Cytology in Estonia.</t>
  </si>
  <si>
    <t>Large-scale data on type-specific human papillomavirus (HPV) prevalence and disease burden worldwide are needed to guide cervical cancer prevention efforts. Promoting the research and application of health care big data has become a key factor in modern medical research.</t>
  </si>
  <si>
    <t>Uusküla Anneli,Oja Marek,Tamm Sirli,Tisler Anna,Laanpere Made,Padrik Lee,Nygard Mari,Reisberg Sulev,Vilo Jaak,Kolde Raivo</t>
  </si>
  <si>
    <t>https://research.ebsco.com/linkprocessor/plink?id=dc6c8031-06e9-3414-bed4-1b9e1eae4511</t>
  </si>
  <si>
    <t>Estonia,Papillomavirus Infections diagnosis,Papillomavirus Infections epidemiology,Papillomavirus Infections prevention &amp; control,Uterine Cervical Neoplasms diagnosis,Uterine Cervical Neoplasms epidemiology,Uterine Cervical Neoplasms prevention &amp; control,Adult,Female,Humans,Middle Aged,Cross-Sectional Studies,Estonia epidemiology,Human papillomavirus 16,Human Papillomavirus Viruses,Phylogeny,Prevalence</t>
  </si>
  <si>
    <t>JAMA network open</t>
  </si>
  <si>
    <t>Prevalence of mammary Paget's disease in urban China in 2016.</t>
  </si>
  <si>
    <t>No national data have been available on descriptive epidemiology of mammary Paget's disease (MPD) in China. This population-based study aimed to estimate the prevalence of MPD and its pattens by sex, age and area in China. We conducted a population-based study using data in 2016 from China's Urban Employee Basic Medical Insurance and Urban Resident Basic Medical Insurance, covering approximately 0.43 billion residents. MPD cases were identified based on the diagnostic names and codes in claim data. A total of 825 patients of confirmed diagnosis of MPD were found during the study period. The prevalence of MPD in 2016 was 0.42 per 100,000 population (95% CI 0.19 to 0.73), with marked female predominance. The prevalence rates peaked at 40–59 years and ≥ 80 years in females and males, respectively. The prevalence rates varied among different regions, ranging from 0.06 (95% CI 0.00 to 0.23) in Northeast China to 1.21 (95% CI 0.07 to 3.72) in Northwest China. MPD showed marked female predominance in China. Chinese female patients were much younger, with lower prevalence than that in the United States. Obvious sex difference in the age pattern of MPD prevalence was also observed in China.</t>
  </si>
  <si>
    <t>Xu Lu,Yin Shilu,Wang Shengfeng,Feng Jingnan,Liu Lili,Liu Guozhen,Wang Jinxi,Zhan Siyan,Zhao Zhenmin,Gao Pei</t>
  </si>
  <si>
    <t>https://research.ebsco.com/linkprocessor/plink?id=6f4aee72-8ead-3c5f-9c98-7b9a2653753c</t>
  </si>
  <si>
    <t>Osteitis deformans,Disease prevalence,Sex factors in disease,Public health,Epidemiology,China,Health and Welfare Funds</t>
  </si>
  <si>
    <t>Primary Colorectal Lymphoma: Institutional Experience and Review of a National Database</t>
  </si>
  <si>
    <t>BACKGROUND: Primary colorectal lymphoma is rare, representing 0.2% to 0.6% of all colorectal cancers. Because of its low incidence and histologic variety, no treatment guidelines exist. OBJECTIVE: The purpose was to report the experience of primary colorectal lymphoma in an institutional and a national cohort. DESIGN: This was a retrospective cohort study. SETTINGS: The study was conducted with institutional data composed of 3 tertiary referral centers and national data. PATIENTS: Patients with primary colorectal lymphoma were identified within the Mayo Clinic (1990-2016) and the Surveillance, Epidemiology, and End Results database (1990-2014). MAIN OUTCOME MEASURES: Primary outcomes were overall and 5-year survival. RESULTS: For the institutional cohort (N = 82), 5-year survival was 79.9%. Five-year survival was higher for rectal (88.4%) than for colon tumors (77.2%; p = 0.004). On multivariable analysis, age &lt;50 years was associated with higher overall survival (p = 0.04). Left-sided colon masses and aggressive histological subtypes were associated with worse survival (0.04 and 0.03). No effect of treatment modality on survival was noted. For the national cohort (N = 2942), 5-year survival was 58.4%. Five-year survival for rectal tumors was 61.0% and 57.8% for colon tumors. On multivariable analysis, factors associated with improved survival were age &lt;70 y, (p &lt; 0.0001), female sex (p = 0.005), right-sided masses (p = 0.02), and diagnoses after 2000 compared with 1990-1999 (p &lt; 0.0001). Aggressive pathology (p &lt; 0.0001) and stage III or stage IV presentation compared with stage I (p = 0.02 and p &lt; 0.0001) were associated with worse survival. LIMITATIONS: The institutional cohort was limited by sample size to describe treatment effect on survival. A major limitation of the national cohort was the ability to describe treatment modalities other than surgery, including chemotherapy and/or no additional treatment. CONCLUSIONS: Poorer survival was noted in elderly patients and in those with aggressive pathology. An overall survival advantage was seen in women in the national cohort. Currently, optimal strategies should follow a patient-centered multidisciplinary approach. See Video Abstract at http://links.lww.com/DCR/A807. © The ASCRS 2019.</t>
  </si>
  <si>
    <t>Hangge,P.T.,Calderon,E.,Habermann,E.B.,Glasgow,A.E.,Mishra,N.</t>
  </si>
  <si>
    <t>https://www.scopus.com/inward/record.uri?eid=2-s2.0-85071985390&amp;doi=10.1097%2FDCR.0000000000001279&amp;partnerID=40&amp;md5=d8a2e1e230bd0cf9c3046f45e5374bca</t>
  </si>
  <si>
    <t>Colon,End Results,Epidemiology,Lymphoma,Rectal,Surveillance</t>
  </si>
  <si>
    <t>Diseases of the Colon and Rectum</t>
  </si>
  <si>
    <t>Protocol for an observational cohort study integrating real-world data and microsimulation to assess imaging surveillance strategies in stage I-IIIA NSCLC patients in OneFlorida+</t>
  </si>
  <si>
    <t>Introduction Although lung cancer remains the leading cause of cancer deaths in the US, recent advances in early detection and treatment have led to improvements in survival. However, there is a considerable risk of recurrence or second primary lung cancer (SPLC) following curative-intent treatment in patients with early-stage non-small cell lung cancer (NSCLC). Professional societies recommend routine surveillance with CT to optimise the detection of potential recurrence and SPLC at a localised stage. However, no definitive evidence demonstrates the effect of imaging surveillance on survival in patients with NSCLC. To close these research gaps, the Advancing Precision Lung Cancer Surveillance and Outcomes in Diverse Populations (PLuS2) study will leverage real-world electronic health records (EHRs) data to evaluate surveillance outcomes among patients with and without guideline-adherent surveillance. The overarching goal of the PLuS2 study is to assess the long-term effectiveness of surveillance strategies in real-world settings. Methods and analysis PLuS2 is an observational study designed to assemble a cohort of patients with incident pathologically confirmed stage I/II/IIIA NSCLC who have completed curative-intent therapy. Patients undergoing imaging surveillance will be followed from 2012 to 2026 by linking EHRs with tumour registry data in the OneFlorida+ Clinical Research Consortium. Data will be consolidated into a unified repository to achieve three primary aims: (1) Examine the utilisation and determinants of CT imaging surveillance by race/ethnicity and socioeconomic status, (2) Compare clinical endpoints, including recurrence, SPLCs and survival of patients who undergo semiannual versus annual CT imaging and (3) Use the observational data in conjunction with validated microsimulation models to simulate imaging surveillance outcomes within the US population. To our knowledge, this study represents the first attempt to integrate real-world data and microsimulation models to assess the long-term impact and effectiveness of imaging surveillance strategies. Ethics and dissemination This study involves human participants and was approved by the University of Florida Institutional Review Board (IRB), University of Florida IRB 01, under approval number IRB202300782. The results will be disseminated through publications and presentations at national and international conferences. Safety considerations encompass ensuring the confidentiality of patient information. All disseminated data will be de-identified and summarised. © Author(s) (or their employer(s)) 2025. Re-use permitted under CC BY-NC. No commercial re-use. See rights and permissions. Published by BMJ Group.</t>
  </si>
  <si>
    <t>Braithwaite,D.,Karanth,S.D.,Bian,J.,Meza,R.,Jeon,J.,Tammemagi,M.,Wheeler,M.,Cao,P.,Račkauskas,M.,Shrestha,P.,Yoon,H.-S.A.,Borondy-Kitts,A.,Verma,H.,Blair,M.C.,Chen,A.,Das,D.,Lou,X.,Wu,Y.,Han,S.,Hochhegger,B.,Guo,Y.,Gould,M.K.</t>
  </si>
  <si>
    <t>https://www.scopus.com/inward/record.uri?eid=2-s2.0-105017437491&amp;doi=10.1136%2Fbmjopen-2025-101324&amp;partnerID=40&amp;md5=59b590b2748b3322e3401b38bd9b9bda</t>
  </si>
  <si>
    <t>Chest imaging,Computed tomography,Electronic Health Records,Lung Neoplasms,Natural Language Processing</t>
  </si>
  <si>
    <t>Protocol for the Data-Linkage Alcohol Cohort Study (DACS): Investigating mortality, morbidity and offending among people with an alcohol-related problem using linked administrative data</t>
  </si>
  <si>
    <t>Introduction: The aims of this program of research are to use linked health and law enforcement data to describe individuals presenting to emergency and inpatient healthcare services with an acute alcohol harm or problematic alcohol use; measure their health service utilisation and law enforcement engagement; and quantify morbidity, mortality, offending and incarceration. Methods and analysis: We will assemble a retrospective cohort of people presenting to emergency departments and/or admitted to hospitals between 1 January 2005 and 31 December 2014 in New South Wales, Australia with a diagnosis denoting an acute alcohol harm or problematic alcohol use. We will link these data with records from other healthcare services (eg, community-based mental healthcare data, cancer registry), mortality, offending and incarceration data sets. The four overarching areas for analysis comprise: (1) describing the characteristics of the cohort at their first point of contact with emergency and inpatient hospital services in the study period with a diagnosis indicating an acute alcohol harm and/or problematic alcohol use; (2) quantifying health service utilisation and law enforcement engagement; (3) quantifying rates of mortality, morbidity, offending and incarceration; and (4) assessing predictors (eg, age, sex) of mortality, morbidity, offending and incarceration among this cohort. Ethics and dissemination: Ethics approval has been provided by the New South Wales Population and Health Services Research Ethics Committee. We will report our findings in accordance with the REporting of studies Conducted using Observational Routinely collected health Data (RECORD) statement and Guidelines for Accurate and Transparent Health Estimates Reporting (GATHER) where appropriate. We will publish data in tabular, aggregate forms only. We will not disclose individual results. We will disseminate project findings at scientific conferences and in peer-reviewed journals. We will aim to present findings to relevant stakeholders (eg, addiction medicine and emergency medicine specialists, policy makers) to maximise translational impact of research findings. © 2019 Author(s).</t>
  </si>
  <si>
    <t>Peacock,A.,Chiu,V.,Leung,J.,Dobbins,T.,Larney,S.,Gisev,N.,Pearson,S.-A.,Degenhardt,L.</t>
  </si>
  <si>
    <t>https://www.scopus.com/inward/record.uri?eid=2-s2.0-85070400222&amp;doi=10.1136%2Fbmjopen-2019-030605&amp;partnerID=40&amp;md5=f4ee40dd5af9ec96609cf0bb48b8e91e</t>
  </si>
  <si>
    <t>alcohol,data linkage,incarceration,morbidity,mortality,offending</t>
  </si>
  <si>
    <t>pSTAT5 is associated with improved survival in patients with thick or ulcerated primary cutaneous melanoma.</t>
  </si>
  <si>
    <t>Identifying prognostic biomarkers to predict clinical outcomes in stage I and II cutaneous melanomas could guide the clinical application of adjuvant and neoadjuvant therapies. We aimed to investigate the prognostic value of phosphorylated signal transducer and activator of transcription 5 (pSTAT5) as a biomarker in early-stage melanoma. This study evaluated all initially staged Ib and II melanoma patients undergoing sentinel node biopsy at a tertiary centre in Brisbane, Australia between 1994 and 2007, with survival data collected from the Queensland Cancer Registry. Primary melanoma tissue from 189 patients was analysed for pSTAT5 level through immunohistochemistry. Cox regression modelling, with adjustment for sex, age, ulceration, anatomical location, and Breslow depth, was applied to determine the association between pSTAT5 detection and melanoma-specific survival. Median duration of follow-up was 7.4 years. High pSTAT5 detection was associated with ulceration and increased tumour thickness. However, multivariate analysis indicated that high pSTAT5 detection was associated with improved melanoma-specific survival (hazard ratio: 0.15, 95% confidence interval: 0.03-0.67) as compared to low pSTAT5 detection. This association persisted when pSTAT5 detection was limited to immune infiltrate or the vasculature, as well as when sentinel node positivity was accounted for. In this cohort, staining for high-pSTAT5 tumours identified a subset of melanoma patients with increased survival outcomes as compared to low-pSTAT5 tumours, despite the former having higher-risk clinicopathological characteristics at diagnosis. pSTAT5 is likely an indicator of local immune activation, and its detection could represent a useful tool to stratify the risk of melanoma progression.</t>
  </si>
  <si>
    <t>Tan Samuel X,Chong Sharene,Rowe Casey,Claeson Magdalena,Dight James,Zhou Chenhao,Rodero Mathieu P,Malt Maryrose,Smithers B Mark,Green Adele C,Khosrotehrani Kiarash</t>
  </si>
  <si>
    <t>https://research.ebsco.com/linkprocessor/plink?id=570d5628-1762-35be-83cb-1c6b9ba5c5da</t>
  </si>
  <si>
    <t>Melanoma pathology,Skin Neoplasms pathology,Humans,Lymphatic Metastasis,Disease-Free Survival,Sentinel Lymph Node Biopsy,Prognosis,Melanoma, Cutaneous Malignant</t>
  </si>
  <si>
    <t>Melanoma research</t>
  </si>
  <si>
    <t>Psychological distress, optimism and general health in breast cancer survivors: a data linkage study using the Scottish Health Survey</t>
  </si>
  <si>
    <t>Purpose: The aim of this study is to examine the association between optimism and psychological distress in women with breast cancer after taking into account their self-rated general health. Methods: Data were aggregated from the Scottish Health Survey (2008 to 2011) to derive a nationally representative sample of 12,255 women (11,960 cancer-free controls, and 295 breast cancer cases identified from linked cancer registry data). The explanatory variables were optimism and general health, and the outcome variable was symptoms of psychological distress. Logistic regression analyses were conducted, with optimism entered in step 1 and general health entered in step 2. Results: In an unadjusted model, higher levels of optimism were associated with lower odds of psychological distress in both the control group (OR = 0. 57, 95 % CI = 0.51–0.60) and breast cancer group (OR = 0. 64, 95 % CI = 0.47–0.88). However, in a model adjusting for general health, optimism was associated with lower odds of psychological distress only in the control group (OR = 0.50, 95 % CI = 0.44–0.57), but not significantly in the breast cancer group (OR = 1.15, 95 % CI = 0.32–4.11). In the breast cancer group, poor general health was a stronger associate of psychological distress (OR = 4. 98, 95 % CI = 1.32–18.75). Results were consistent after adjusting for age, years since breast cancer diagnosis, survey year, socioeconomic status, education, marital status, body mass index, smoking status, and alcohol consumption. Conclusion: This research confirms the value of multicomponent supportive care interventions for women with breast cancer. Specifically, it suggests that following breast cancer diagnosis, health care professionals need to provide advice and signpost to services that assist women to maintain or improve both their psychological and general health. © 2015, Springer-Verlag Berlin Heidelberg.</t>
  </si>
  <si>
    <t>Leung,J.,Atherton,I.,Kyle,R.G.,Hubbard,G.,McLaughlin,D.</t>
  </si>
  <si>
    <t>https://www.scopus.com/inward/record.uri?eid=2-s2.0-84959116966&amp;doi=10.1007%2Fs00520-015-2968-2&amp;partnerID=40&amp;md5=7835c2b75eee56ff7ae5f00923a5a79a</t>
  </si>
  <si>
    <t>Breast cancer,Mental health,Optimism,Psychological distress,Psychosocial,Self-rated health</t>
  </si>
  <si>
    <t>Supportive Care in Cancer</t>
  </si>
  <si>
    <t>Quality assurance and enrichment of biological and biomedical ontologies and terminologies.</t>
  </si>
  <si>
    <t>Biological and biomedical ontologies and terminologies are used to organize and store various domain-specific knowledge to provide standardization of terminology usage and to improve interoperability. The growing number of such ontologies and terminologies and their increasing adoption in clinical, research and healthcare settings call for effective and efficient quality assurance and semantic enrichment techniques of these ontologies and terminologies. In this editorial, we provide an introductory summary of nine articles included in this supplement issue for quality assurance and enrichment of biological and biomedical ontologies and terminologies. The articles cover a range of standards including SNOMED CT, National Cancer Institute Thesaurus, Unified Medical Language System, North American Association of Central Cancer Registries and OBO Foundry Ontologies.</t>
  </si>
  <si>
    <t>Agrawal Ankur,Cui Licong</t>
  </si>
  <si>
    <t>https://research.ebsco.com/linkprocessor/plink?id=3e2df079-a7ad-3d7e-b794-c0e9e40a8b7c</t>
  </si>
  <si>
    <t>Biological Ontologies,Humans,Semantics,Systematized Nomenclature of Medicine,Unified Medical Language System,Vocabulary, Controlled</t>
  </si>
  <si>
    <t>Quality indicators in colonoscopy: the chasm between ideal and reality.</t>
  </si>
  <si>
    <t>Continuous measurement of quality indicators (QIs) should be a routine part of colonoscopy, as a wide variation still exists in the performance and quality levels of colonoscopy in Korea. Among the many QIs of colonoscopy, the adenoma detection rate, average withdrawal time, bowel preparation adequacy, and cecal intubation rate should be monitored in daily clinical practice to improve the quality of the procedure. The adenoma detection rate is the best indicator of the quality of colonoscopy; however, it has many limitations for universal use in daily practice. With the development of natural language processing, the adenoma detection rate is expected to become more effective and useful. It is important that colonoscopists do not strictly and mechanically maintain an average withdrawal time of 6 minutes but instead perform careful colonoscopy to maximally expose the colonic mucosa with a withdrawal time of at least 6 minutes. To achieve adequate bowel preparation, documentation of bowel preparation with the Boston Bowel Preparation Scale (BBPS) should be a routine part of colonoscopy. When colonoscopists routinely followed the bowel preparation protocols, =85% of outpatient screening colonoscopies had a BBPS score of =6. In addition, the cecal intubation rate should be =95% of all screening colonoscopies. The first step in improving colonoscopy quality in Korea is to apply these key performance measurements in clinical practice.</t>
  </si>
  <si>
    <t>Su Bee Park,Jae Myung Cha</t>
  </si>
  <si>
    <t>https://research.ebsco.com/linkprocessor/plink?id=f19613f3-d4b9-380e-9549-d1ee648a538c</t>
  </si>
  <si>
    <t>Colonoscopy,Adenoma,Natural language processing,South Korea</t>
  </si>
  <si>
    <t>Clinical Endoscopy</t>
  </si>
  <si>
    <t>Quantifying the costs to different funders over five-years for women diagnosed with breast cancer in queensland, australia: A data linkage study</t>
  </si>
  <si>
    <t>Individuals diagnosed with breast cancer have the highest rates of survival among all cancer types. Due to high survival, the costs of breast cancer to different healthcare funders are of interest. This study aimed to describe the cost to public hospital and private health funders and individuals due to hospital and emergency department (ED) admissions, as well Medicare items and pharmaceuticals over five years for Queensland women with breast cancer. We used a linked administrative dataset, CancerCostMod, limited to Queensland female breast cancer diagnoses between July 2011 and June 2013 aged 18 years or over who survived for 5 years (n = 5383). Each record was linked to Queensland Health Admitted Patient Data Collection, Emergency Department Information Systems, Medicare Benefits Schedule, and Pharmaceutical Benefits Scheme records between July 2011 and June 2018. Total costs for different healthcare funders as a result of breast cancer diagnoses were reported, with high costs and service use identified in the first six months following a breast cancer diagnosis. After the first six months post-diagnosis, the financial burdens incurred by different healthcare funders for breast cancer diagnoses in Queensland remain steady over a long period. Recommendations for reducing long term costs are discussed. © 2021 by the authors. Licensee MDPI, Basel, Switzerland.</t>
  </si>
  <si>
    <t>Lindsay,D.,Callander,E.</t>
  </si>
  <si>
    <t>https://www.scopus.com/inward/record.uri?eid=2-s2.0-85120688828&amp;doi=10.3390%2Fijerph182412918&amp;partnerID=40&amp;md5=8cfb41abb2f615a20ccb0cfc0a70ddb5</t>
  </si>
  <si>
    <t>Breast cancer,Cost,Emergency department,Hospital,Long term,Medicare,Out of pocket,Pharmaceutical</t>
  </si>
  <si>
    <t>Quantitative feature extraction of unstructured data from GitLab BioAI pathology reports of cancer using an enhanced RPA NLP method.</t>
  </si>
  <si>
    <t>Unstructured pathology report plays a major role in definitive cancer diagnosis. Accessing or searching unstructured textual information from the clinical pathology reports is one of the major concerns in cancer healthcare sector to provide precise medicine, analysis of cancer outcomes, providing cancer care services, accurate measurement for future prediction, treatment history, and comparative future research work. An efficient methodology has to be introduced for to extract quantitative information from the unstructured cancer data. Integrating computational intelligence in Robotic Process Automation can be done to process this data and automate repetitive activities for evaluating patients clinical pathology report. RPA-based NLP BERT system is designed and evaluated to automatically extract information on these variables for the patients from pathology report. In order to detect tumour and outcomes from documented pathology reports, a supervised machine learning keyword based extraction algorithm was developed in which the pathology data are examined to extract keywords from 2087 reports with 1579 of data reports being processed for the development phase and 508 of data being used for evaluation. The precision recall and accuracy are calculated for organ specimens for cancer test as (0.984, 0.982, 0.9839), test methodology(0.986, 0.981,0.9956) and pathological result(0.986, 0.9938, 0.9795) were achieved. The feasibility of autonomously extracting pre-defined data from clinical narratives for cancer research were established in this work. The outcomes showed that our methodology was suitable for actual use in obtaining essential information from pathology reports.</t>
  </si>
  <si>
    <t>Sreekrishna M.,Prem Jacob T.</t>
  </si>
  <si>
    <t>https://research.ebsco.com/linkprocessor/plink?id=c751fce4-69d9-34ac-9ab7-fe0bf41cf4ac</t>
  </si>
  <si>
    <t>Feature extraction,Robotic process automation,Supervised learning,Natural language processing,Data extraction,Computational intelligence,Pathology</t>
  </si>
  <si>
    <t>Journal of Intelligent &amp; Fuzzy Systems</t>
  </si>
  <si>
    <t>Racial differences in long-term adjuvant endocrine therapy adherence and mortality among Medicaid-insured breast cancer patients in Texas: Findings from TCR-Medicaid linked data</t>
  </si>
  <si>
    <t>Background: There are racial/ethnic disparities in breast cancer mortality may be attributed to differences in receipt of adjuvant cancer treatment. Our purpose was to determine whether the mortality disparities could be explained by racial/ethnic differences in long-term adherence to adjuvant endocrine therapy (AET). Methods: We conducted a retrospective cohort study with the Texas Cancer Registry and Medicaid claims-linked dataset of women (20-64 years) diagnosed with local and regional breast cancer who filled a prescription for AET from 2000-2008. Adherence to AET was measured at three time points (1-, 3-, and 5-year adherence) using a value for the percentage of medication filled for each period divided by the total number of possible prescriptions prescribed (Medication Possession Ratio, MPR). We created a binary variable of adherence (MPR≥80%). We performed multivariable logistic regressions to assess racial differences for the odds of AET adherence and Cox proportional hazard models to determine the risk of mortality adjusting for potential confounding variables of SES, comorbidities, tumor prognostic factors, and other cancer treatment. Results: Of the 1,497 women with breast cancer who initiated AET, 56.9%, 42.3%, and 33.3% were adherent for 1, 3, and 5-years, respectively. Hispanics compared to non-Hispanic whites did differ in the proportion that were adherent to 5-years of AET. In the adjusted analysis for long-term adherence to AET, Hispanics did not have a significantly increased risk of death compared to non-Hispanic white patients (HR: 1.13, 95% CI: 0.58-2.21). However, black compared to non-Hispanic white patients had significantly lower odds of three-year adherence (OR: 0.45, 95% CI: 0.28-0.73). After controlling for 5-year adherence to AET, the risk of death for black compared to non-Hispanic white patients was 12% lower (HR: 1.90; 95% CI: 1.03-3.51) and in the fully adjusted model, the disparity was reduced and no longer significant (OR: 1.86, 95% CI: 0.94-3.66). Conclusions: Long-term adherence in the Medicaid population is suboptimal and racial/ethnic differences in AET adherence may partially explain disparities in mortality. This study underscores the critical need to ensure long-term adherence to AET for all racial/ethnic groups to decrease disparities in mortality. © 2018 The Author(s).</t>
  </si>
  <si>
    <t>Farias,A.J.,Wu,W.-H.,Du,X.L.</t>
  </si>
  <si>
    <t>https://www.scopus.com/inward/record.uri?eid=2-s2.0-85057768195&amp;doi=10.1186%2Fs12885-018-5121-z&amp;partnerID=40&amp;md5=82cdce47d037c2fa70200a2f0c13c1af</t>
  </si>
  <si>
    <t>adherence,AET,cancer registry,Medicaid,mortality,race/ethnicity disparities</t>
  </si>
  <si>
    <t>Racial disparities in stage at bladder cancer diagnosis in the US Veterans Affairs healthcare system.</t>
  </si>
  <si>
    <t>To describe patient characteristics and pathological stage at bladder cancer (BCa) diagnosis in a diverse population within a national, equal-access healthcare system.</t>
  </si>
  <si>
    <t>Bree Kelly K,Janes Jessica L,Hensley Patrick J,Srinivasan Aditya,De Hoedt Amanda M,Das Sanjay,Freedland Stephen J,Williams Stephen B</t>
  </si>
  <si>
    <t>https://research.ebsco.com/linkprocessor/plink?id=61ffbee6-cdfb-3e6f-b72b-c8f650d9566b</t>
  </si>
  <si>
    <t>United States,Neoplasm Staging,Urinary Bladder Neoplasms diagnosis,Urinary Bladder Neoplasms ethnology,Urinary Bladder Neoplasms mortality,Aged,Aged, 80 and over,Humans,Male,Middle Aged,Healthcare Disparities ethnology,Healthcare Disparities statistics &amp; numerical data,Hispanic or Latino,Retrospective Studies,United States epidemiology,United States Department of Veterans Affairs,Black or African American,White</t>
  </si>
  <si>
    <t>Racial disparities in treatment use for multiple myeloma</t>
  </si>
  <si>
    <t>BACKGROUND: Recent treatment advances have greatly improved the prognosis of patients with multiple myeloma. However, some of these newer, more effective treatments are intensive and expensive and their use remains low, particularly among black patients. METHODS: In the current study, the authors reviewed the use patterns of stem cell transplantation and bortezomib using the Surveillance, Epidemiology, and End Results (SEER)-Medicare linked database. RESULTS: After controlling for overall health and potential access barriers, black patients were found to be 37% (P&lt;.0001) less likely to undergo stem cell transplantation, and 21% (P&lt;.0001) less likely to be treated with bortezomib. Moreover, the authors found that the underuse of these treatments was associated with a 12% increase in the hazard ratio for death among black patients (P = 0.0007). CONCLUSIONS: Eliminating health disparities, a current focus of US public policy, is highly complex, as illustrated by the results of the current study. In patients with multiple myeloma, treatment disparities are not completely explained by potential access barriers. Additional factors, such as structural barriers in the health care system and individual decision making among black and white patients, must be explored to fully explain the disparity. Cancer 2017;123:1590–1596. © 2017 American Cancer Society. © 2017 American Cancer Society</t>
  </si>
  <si>
    <t>Fiala,M.A.,Wildes,T.M.</t>
  </si>
  <si>
    <t>https://www.scopus.com/inward/record.uri?eid=2-s2.0-85009726918&amp;doi=10.1002%2Fcncr.30526&amp;partnerID=40&amp;md5=5c8faefc907ed3d8524d86091a6cee30</t>
  </si>
  <si>
    <t>access barriers,and End Results (SEER)-Medicare,cancer disparities,Epidemiology,multiple myeloma,race,stem cell transplantation,Surveillance</t>
  </si>
  <si>
    <t>Radiation Oncology Exhibits.</t>
  </si>
  <si>
    <t>https://research.ebsco.com/linkprocessor/plink?id=5cb20d4f-5f0a-3389-bbae-0c932ebeca27</t>
  </si>
  <si>
    <t>Razy: A String Matching Algorithm for Automatic Analysis of Pathological Reports.</t>
  </si>
  <si>
    <t>Pathology reports are necessary for specialists to make an appropriate diagnosis of diseases in general and blood diseases in particular. Therefore, specialists check blood cells and other blood details. Thus, to diagnose a disease, specialists must analyze the factors of the patient's blood and medical history. Generally, doctors have tended to use intelligent agents to help them with CBC analysis. However, these agents need analytical tools to extract the parameters (CBC parameters) employed in the prediction of the development of life-threatening bacteremia and offer prognostic data. Therefore, this paper proposes an enhancement to the Rabin–Karp algorithm and then mixes it with the fuzzy ratio to make this algorithm suitable for working with CBC test data. The selection of these algorithms was performed after evaluating the utility of various string matching algorithms in order to choose the best ones to establish an accurate text collection tool to be a baseline for building a general report on patient information. The proposed method includes several basic steps: Firstly, the CBC-driven parameters are extracted using an efficient method for retrieving data information from pdf files or images of the CBC tests. This will be performed by implementing 12 traditional string matching algorithms, then finding the most effective ways based on the implementation results, and, subsequently, introducing a hybrid approach to address the shortcomings or issues in those methods to discover a more effective and faster algorithm to perform the analysis of the pathological tests. The proposed algorithm (Razy) was implemented using the Rabin algorithm and the fuzzy ratio method. The results show that the proposed algorithm is fast and efficient, with an average accuracy of 99.94% when retrieving the results. Moreover, we can conclude that the string matching algorithm is a crucial tool in the report analysis process that directly affects the efficiency of the analytical system.</t>
  </si>
  <si>
    <t>Abdul-Jabbar Safa S.,Farhan Alaa K.,Abdelhamid Abdelaziz A.,Ghoneim Mohamed E.</t>
  </si>
  <si>
    <t>https://research.ebsco.com/linkprocessor/plink?id=ac65d392-3986-30ff-b135-a2ebaa565f08</t>
  </si>
  <si>
    <t>Fuzzy algorithms,Algorithms,Blood diseases,Intelligent agents,Blood cells</t>
  </si>
  <si>
    <t>Axioms (2075-1680)</t>
  </si>
  <si>
    <t>Real-World Clinical Outcomes in Biological Subgroups of Breast Cancer in the Hospital District of Southwest Finland.</t>
  </si>
  <si>
    <t>Comparing breast cancer survival trends globally, Finland is among the top three countries in Europe. However, outcome data on breast cancer subgroups in the Finnish population are limited. This retrospective, registry-based study aimed to assess patient characteristics and clinical outcomes of different breast cancer subgroups in early (EBC) and metastatic breast cancer (MBC) in a real-life clinical setting.</t>
  </si>
  <si>
    <t>Teerenhovi Heli,Tuominen Samuli,Nurmi-Rantala Susanna,Hemmilä Päivikki,Ellonen Antti</t>
  </si>
  <si>
    <t>https://research.ebsco.com/linkprocessor/plink?id=aa250a12-de71-3236-960b-f57f3e8dd42d</t>
  </si>
  <si>
    <t>Finland,Breast Neoplasms epidemiology,Adult,Female,Finland epidemiology,Hospitals,Humans,Neoplasm Recurrence, Local,Receptor, ErbB-2 genetics,Retrospective Studies</t>
  </si>
  <si>
    <t>The oncologist</t>
  </si>
  <si>
    <t>Real-world clinical outcomes of patients with BRCA-mutated, human epidermal growth factor receptor 2 (HER2)-negative metastatic breast cancer: a CancerLinQ® study.</t>
  </si>
  <si>
    <t>To investigate real-world clinical outcomes in patients with BRCA-mutated (BRCAm), HER2-negative metastatic breast cancer (mBC) according to BRCA and hormone receptor (HR) status.</t>
  </si>
  <si>
    <t>Miller Robert S,Mokiou Stella,Taylor Aliki,Sun Ping,Baria Katherine</t>
  </si>
  <si>
    <t>https://research.ebsco.com/linkprocessor/plink?id=41641e0b-74ce-3649-8d4c-e6d06c275a11</t>
  </si>
  <si>
    <t>Breast Neoplasms drug therapy,Breast Neoplasms therapy,Triple Negative Breast Neoplasms drug therapy,Triple Negative Breast Neoplasms therapy,Female,Humans,Receptor, ErbB-2 genetics,Receptor, ErbB-2 metabolism,Retrospective Studies</t>
  </si>
  <si>
    <t>Real-world data and the patient perspective: the PROmise of social media?</t>
  </si>
  <si>
    <t>Understanding the patient perspective is fundamental to delivering patient-centred care. In most healthcare systems, however, patient-reported outcomes are not regularly collected or recorded as part of routine clinical care, despite evidence that doing so can have tangible clinical benefit. In the absence of the routine collection of these data, research is beginning to turn to social media as a novel means to capture the patient voice. Publicly available social media data can now be analysed with relative ease, bypassing many logistical hurdles associated with traditional approaches and allowing for accelerated and cost-effective data collection. Existing work has shown these data can offer credible insight into the patient experience, although more work is needed to understand limitations with respect to patient representativeness and nuances of captured experience. Nevertheless, linking social media to electronic medical records offers a significant opportunity for patient views to be systematically collected for health services research and ultimately to improve patient care.</t>
  </si>
  <si>
    <t>McDonald Laura,Malcolm Bill,Ramagopalan Sreeram,Syrad Hayley</t>
  </si>
  <si>
    <t>https://research.ebsco.com/linkprocessor/plink?id=1dbf522a-d57c-36d8-b360-8ad3c3104ab5</t>
  </si>
  <si>
    <t>Data Collection methods,Patient Reported Outcome Measures,Patient-Centered Care methods,Social Media,Health Services Research methods,Humans</t>
  </si>
  <si>
    <t>Real-world Evidence to Estimate Prostate Cancer Costs for First-line Treatment or Active Surveillance</t>
  </si>
  <si>
    <t>Background: Prostate cancer is the most common cancer in men and second leading cause of cancer-related deaths. Changes in screening guidelines, adoption of active surveillance (AS), and implementation of high-cost technologies have changed treatment costs. Traditional cost-effectiveness studies rely on clinical trial protocols unlikely to capture actual practice behavior, and existing studies use data predating new technologies. Real-world evidence reflecting these changes is lacking. Objective: To assess real-world costs of first-line prostate cancer management. Design, setting, and participants: We used clinical electronic health records for 2008–2018 linked with the California Cancer Registry and the Medicare Fee Schedule to assess costs over 24 or 60 mo following diagnosis. We identified surgery or radiation treatments with structured methods, while we used both structured data and natural language processing to identify AS. Outcome measurements and statistical analysis: Our results are risk-stratified calculated cost per day (CCPD) for first-line management, which are independent of treatment duration. We used the Kruskal-Wallis test to compare unadjusted CCPD while analysis of covariance log-linear models adjusted estimates for age and Charlson comorbidity. Results and limitations: In 3433 patients, surgery (54.6%) was more common than radiation (22.3%) or AS (23.0%). Two years following diagnosis, AS ($2.97/d) was cheaper than surgery ($5.67/d) or radiation ($9.34/d) in favorable disease, while surgery ($7.17/d) was cheaper than radiation ($16.34/d) for unfavorable disease. At 5 yr, AS ($2.71/d) remained slightly cheaper than surgery ($2.87/d) and radiation ($4.36/d) in favorable disease, while for unfavorable disease surgery ($4.15/d) remained cheaper than radiation ($10.32/d). Study limitations include information derived from a single healthcare system and costs based on benchmark Medicare estimates rather than actual payment exchanges. Patient summary: Active surveillance was cheaper than surgery (−47.6%) and radiation (−68.2%) at 2 yr for favorable-risk disease, while savings diminished by 5 yr (−5.6% and −37.8%, respectively). Surgery cost less than radiation for unfavorable risk for both intervals (−56.1% and −59.8%, respectively). We found that Active Surveillance costs less than surgery (−47.6%) and radiation (−68.2%) for favorable-risk cancer by 2 yr, although savings decreased by 5 yr (−5.6% and −37.8%, respectively). Surgery was less costly than radiation for unfavorable-risk disease at both 2 yr (−56.1%) and 5 yr (−59.8%). © 2020 The Authors</t>
  </si>
  <si>
    <t>Magnani,C.J.,Bievre,N.,Baker,L.C.,Brooks,J.D.,Blayney,D.W.,Hernandez-Boussard,T.</t>
  </si>
  <si>
    <t>https://www.scopus.com/inward/record.uri?eid=2-s2.0-85097667435&amp;doi=10.1016%2Fj.euros.2020.11.004&amp;partnerID=40&amp;md5=af415210075e57e642c04fb85c099253</t>
  </si>
  <si>
    <t>Active surveillance,Calculated cost per day,Electronic health records,High value care,Medicare Fee Schedule,Prostate cancer treatment cost</t>
  </si>
  <si>
    <t>European Urology Open Science</t>
  </si>
  <si>
    <t>Real-World Evidence: A Primer.</t>
  </si>
  <si>
    <t>Real-world evidence (RWE) is clinical evidence on a medical product's safety and efficacy that is generated using real-world data (RWD) resulting from routine healthcare delivery. There are several sources of RWD, including electronic health records (EHRs), registries, claims/billing data, and patient-generated data, as well as those from mobile health applications and wearable devices. Real-world data from these sources can be collected and analysed through different study designs such as prospective and retrospective cohort studies, case-control studies, and pragmatic clinical trials. Real-world evidence in the form of post-marketing surveillance has been extensively used to generate pharmacovigilance data. Of late, it has been realised that, apart from safety, RWE has additional applications in different stages of the drug approval cycle, and can be used to optimize the design of randomised controlled trials (RCTs). There has been an increasing awareness and acceptance of RWE from different stakeholders, including physicians, pharmaceutical companies, payers, regulators, and patients. Several regulatory authorities have also created frameworks and guidelines for efficient harnessing of RWE while acknowledging several challenges in RWD collection and analysis. The purpose of this review is to offer an outline of the current information on RWE, its advantages and disadvantages, as well as the associated challenges and ways to overcome them, while also throwing some light on the future of RWE.</t>
  </si>
  <si>
    <t>Dang Amit</t>
  </si>
  <si>
    <t>https://research.ebsco.com/linkprocessor/plink?id=d5781320-04c3-3182-9242-6d10dcd67521</t>
  </si>
  <si>
    <t>Research Design,Delivery of Health Care,Humans,Registries,Electronic Health Records</t>
  </si>
  <si>
    <t>Pharmaceutical medicine</t>
  </si>
  <si>
    <t>Recovering records on cancer of the larynx from anonymous health information databases; Recuperação de registros de câncer de laringe de bancos de dados anônimos de saúde</t>
  </si>
  <si>
    <t>Objective: To develop a linkage algorithm to match anonymous death records of cancer of the larynx (ICD-10 C32X), retrieved from the Mortality Information System (SIM) and the Hospital Information System of the Brazilian Unified National Health System (SIH-SUS) in Brazil. Methodology: Death records containing ICD-10 C32X codes were retrieved from SIM and SIH-SUS, limited to individuals aged 30 years and over, between 2002 and 2012, in the state of São Paulo. The databases were linked using a unique key identifier developed with sociodemographic data shared by both systems. Linkage performance was ascertained by applying the same procedure to similar non-anonymous databases. True pairs were those having the same identification variables. Results: A total of 14,311 eligible death records were found. Most records, 10,674 (74.6%), were exclusive to SIM. Only 1,853 (12.9%) deaths were registered in both systems, representing true pairs. A total of 1,784 (12.5%) cases of laryngeal cancer in the SIH-SUS database were tracked in SIM with different causes of death. The linkage failed to match 167 (9.4%) records due to inconsistencies in the key identifier. Conclusion: The authors found that linking anonymous data from mortality and hospital records is a feasible measure to track missing records and may improve cancer statistics. © 2021 Associação Brasileira de Saúde Coletiva.</t>
  </si>
  <si>
    <t>Fernandes,F.T.,Silva,D.R.M.,Campos,F.,Santana,V.S.,Cuani,L.,Curado,M.P.,Salvi,L.,Algranti,E.</t>
  </si>
  <si>
    <t>https://www.scopus.com/inward/record.uri?eid=2-s2.0-85104047916&amp;doi=10.1590%2F1980-549720210011&amp;partnerID=40&amp;md5=d24bb351621be8d9cc2fc04dfdeaa5f1</t>
  </si>
  <si>
    <t>Cancer of the larynx,Health information systems,Linkage,Medical records</t>
  </si>
  <si>
    <t>Relationship of established risk factors with breast cancer subtypes.</t>
  </si>
  <si>
    <t>Background: Breast cancer is a heterogeneous disease, divided into subtypes based on the expression of estrogen receptor (ER), progesterone receptor (PR), and human epidermal growth factor receptor 2 (HER2). Subtypes have different biology and prognosis, with accumulating evidence of different risk factors. The purpose of this study was to compare breast cancer risk factors across tumor subtypes in a large, diverse mammography population. Methods: Women aged 40–84 without a history of breast cancer with a screening mammogram at three United States health systems from 2006 to 2015 were included. Risk factor questionnaires were completed at mammogram visit, supplemented by electronic health records. Invasive tumor subtype was defined by immunohistochemistry as ER/PR+HER2−, ER/PR+HER2+, ER, and PR−HER2+, or triple‐negative breast cancer (TNBC). Cox proportional hazards models were run for each subtype. Associations of race, reproductive history, prior breast problems, family history, breast density, and body mass index (BMI) were assessed. The association of tumor subtypes with screen detection and interval cancer was assessed using logistic regression among invasive cases. Results: The study population included 198,278 women with a median of 6.5 years of follow‐up (IQR 4.2–9.0 years). There were 4002 invasive cancers, including 3077 (77%) ER/PR+HER2−, 300 (8%) TNBC, 342 (9%) ER/PR+HER2+, and 126 (3%) ER/PR−HER2+ subtype. In multivariate models, Black women had 2.7 times higher risk of TNBC than white women (HR = 2.67, 95% CI 1.99–3.58). Breast density was associated with increased risk of all subtypes. BMI was more strongly associated with ER/PR+HER2− and HER2+ subtypes among postmenopausal women than premenopausal women. Breast density was more strongly associated with ER/PR+HER2− and TNBC among premenopausal than postmenopausal women. TNBC was more likely to be interval cancer than other subtypes. Conclusions: These results have implications for risk assessment and understanding of the etiology of breast cancer subtypes. More research is needed to determine what factors explain the higher risk of TNBC for Black women.</t>
  </si>
  <si>
    <t>McCarthy Anne Marie,Friebel‐Klingner Tara,Ehsan Sarah,He Wei,Welch Michaela,Chen Jinbo,Kontos Despina,Domchek Susan M.,Conant Emily F.,Semine Alan,Hughes Kevin,Bardia Aditya,Lehman Constance,Armstrong Katrina</t>
  </si>
  <si>
    <t>https://research.ebsco.com/linkprocessor/plink?id=f9709b5b-0e41-3da3-9e1e-d4fa37317aeb</t>
  </si>
  <si>
    <t>Breast cancer,Epidermal growth factor receptors,Triple-negative breast cancer,Proportional hazards models,Disease risk factors,United States</t>
  </si>
  <si>
    <t>Reliability and Efficiency of the CAPRI-3 Metastatic Prostate Cancer Registry Driven by Artificial Intelligence.</t>
  </si>
  <si>
    <t>Simple Summary: CAPRI-3 is an observational registry on metastatic prostate cancer that uses artificial intelligence (AI) for patient identification and data collection. The aim of this study is to demonstrate the reliability and efficiency of this method. Our deliberate effort to maximize the negative predictive value of our patient-identification algorithm to rule out unsuitable candidates without manual screening was successful and reached 94.8%. Completeness and accuracy of data extraction were 92.3% or higher but were lower (up to 10%) for date fields and inaccessible data (images/pdf). The AI-driven approach, including additional manual quality control, was much faster than full manual data collection (105 vs. 300 min per patient). In conclusion, the AI-driven approach of the CAPRI-3 registry is largely reliable and timesaving but manual quality control is needed for the less reliable and inaccessible data. Background: Manual data collection is still the gold standard for disease-specific patient registries. However, CAPRI-3 uses text mining (an artificial intelligence (AI) technology) for patient identification and data collection. The aim of this study is to demonstrate the reliability and efficiency of this AI-driven approach. Methods: CAPRI-3 is an observational retrospective multicenter cohort registry on metastatic prostate cancer. We tested the patient-identification algorithm and automated data extraction through manual validation of the same patients in two pilots in 2019 and 2022. Results: Pilot one identified 2030 patients and pilot two 9464 patients. The negative predictive value of the algorithm was maximized to prevent false exclusions and reached 94.8%. The completeness and accuracy of the automated data extraction were 92.3% or higher, except for date fields and inaccessible data (images/pdf) (10–88.9%). Additional manual quality control took over 3 h less time per patient than the original fully manual CAPRI registry (105 vs. 300 min). Conclusions: The CAPRI-3 patient-identification algorithm is a sound replacement for excluding ineligible candidates. The AI-driven data extraction is largely accurate and complete, but manual quality control is needed for less reliable and inaccessible data. Overall, the AI-driven approach of the CAPRI-3 registry is reliable and timesaving.</t>
  </si>
  <si>
    <t>Bosch Dianne,Kuppen Malou C. P.,Tascilar Metin,Smilde Tineke J.,Mulders Peter F. A.,Uyl-de Groot Carin A.,van Oort Inge M.</t>
  </si>
  <si>
    <t>https://research.ebsco.com/linkprocessor/plink?id=242ecade-4ce8-30cb-8ebd-8f5d61c2ae0f</t>
  </si>
  <si>
    <t>Reporting of diseases,Research,Scientific observation,Predictive tests,Artificial intelligence,Retrospective studies,Prostate tumors,Longitudinal method,Data mining</t>
  </si>
  <si>
    <t>Replication of Real-World Evidence in Oncology Using Electronic Health Record Data Extracted by Machine Learning.</t>
  </si>
  <si>
    <t>Simple Summary: Obtaining and structuring information about the characteristics, treatments, and outcomes of people living with cancer for research purposes is difficult and resource-intensive. Oftentimes, this information can only be found in electronic health records (EHRs). In response, researchers use natural language processing with machine learning (ML extraction) techniques to extract information at scale. This study evaluated the quality and fitness-for-use of EHR-derived oncology data curated using ML extraction, relative to the standard approach, abstraction by trained experts. Using patients with lung cancer from a real-world database, we performed replication analyses demonstrating common analyses conducted in observational research. Eligible patients were selected into biomarker- and treatment-defined cohorts, first with expert-abstracted then with ML-extracted data. The study's results and conclusions were similar regardless of the data curation method used. These results demonstrate that high-performance ML-extracted variables trained on expert-abstracted data can achieve similar results as when using abstracted data, unlocking the ability to perform oncology research at scale. Meaningful real-world evidence (RWE) generation requires unstructured data found in electronic health records (EHRs) which are often missing from administrative claims; however, obtaining relevant data from unstructured EHR sources is resource-intensive. In response, researchers are using natural language processing (NLP) with machine learning (ML) techniques (i.e., ML extraction) to extract real-world data (RWD) at scale. This study assessed the quality and fitness-for-use of EHR-derived oncology data curated using NLP with ML as compared to the reference standard of expert abstraction. Using a sample of 186,313 patients with lung cancer from a nationwide EHR-derived de-identified database, we performed a series of replication analyses demonstrating some common analyses conducted in retrospective observational research with complex EHR-derived data to generate evidence. Eligible patients were selected into biomarker- and treatment-defined cohorts, first with expert-abstracted then with ML-extracted data. We utilized the biomarker- and treatment-defined cohorts to perform analyses related to biomarker-associated survival and treatment comparative effectiveness, respectively. Across all analyses, the results differed by less than 8% between the data curation methods, and similar conclusions were reached. These results highlight that high-performance ML-extracted variables trained on expert-abstracted data can achieve similar results as when using abstracted data, unlocking the ability to perform oncology research at scale.</t>
  </si>
  <si>
    <t>Benedum Corey M.,Sondhi Arjun,Fidyk Erin,Cohen Aaron B.,Nemeth Sheila,Adamson Blythe,Estévez Melissa,Bozkurt Selen</t>
  </si>
  <si>
    <t>https://research.ebsco.com/linkprocessor/plink?id=40073d61-22e9-390e-86a3-7df0ae99dd12</t>
  </si>
  <si>
    <t>Tumor treatment,Data curation,Natural language processing,Machine learning,Artificial intelligence,Database management,Research funding,Electronic health records,Tumor markers,Oncology,Medical research,Data Processing, Hosting, and Related Services,Research and Development in the Physical, Engineering, and Life Sciences (except Biotechnology)</t>
  </si>
  <si>
    <t>Reporting margin status in synoptic reports</t>
  </si>
  <si>
    <t>Purpose The format of a synoptic report can significantly affect the accuracy, speed, and preference with which a reader can retrieve information. The purpose of this study was to compare different formats for reporting margin status in synoptic reports of colonic carcinoma. Methods The performance of 17 nonpathologists (cancer registrars and medical and nonmedical personnel) at identifying specific information in various formatted synoptic reports was evaluated using four computerized quizzes that measured both accuracy and speed. Results Compared with the standard format ("Involved by invasive carcinoma" and "Uninvolved by invasive carcinoma"), reporting margins as "Free" or "Positive" was significantly faster (17%, P &lt; .001) and significantly more accurate (99% v 98%, P = .001). Significantly more errors for the standard format were found in quiz 4 (eight of 272; 2.9%) than the prior three tests combined (nine of 816; 1.1%; P = .05). Using "Free" or "Positive" with either a list format or including bolding of all positive margins was also faster than the standard format but not any faster than simply changing the wording. All users preferred "Free" and "Positive"; no user preferred "Involved by invasive carcinoma" and "Uninvolved by invasive carcinoma." Conclusion Using "Free" and "Positive" for reporting margin status in synoptic reports is preferred by all users and results in more accurate, faster information retrieval. Errors may be related to fatigue. © 2018 American Society of Clinical Oncology.</t>
  </si>
  <si>
    <t>Renshaw,A.A.,Mena-Allauca,M.,Gould,E.W.</t>
  </si>
  <si>
    <t>https://www.scopus.com/inward/record.uri?eid=2-s2.0-85077484935&amp;doi=10.1200%2FCCI.16.00056&amp;partnerID=40&amp;md5=f4dcfd3c2a79d445c077508a80fc68de</t>
  </si>
  <si>
    <t>Repurposing of Drug Aspirin in Colon Cancer: Therapeutic Approach.</t>
  </si>
  <si>
    <t>Drug repurposing, exploring new uses for existing drugs, offers significant advantages over developing new ones. Repurposed drugs have already undergone safety testing, reducing failure chances. Preexisting data and manufacturing knowledge shorten the process. Development is cheaper, with estimates at $300 million compared to $2-3 billion for new drugs. Repurposed drugs can reach the market in 3-12 years, versus 10-17 years for new drugs. Overall, drug repurposing is a promising approach for faster, cheaper development of new treatments. Colon cancer treatment faces hurdles. Traditional drug development is slow and expensive. This review highlights drug repurposing as a strategic solution. By finding new uses for existing drugs, we can overcome these challenges. This review explores various approaches for colon cancer drug repurposing: Network models: Identifying connections between drugs and diseases. Computer-aided approaches: Utilizing software to predict drug-target interactions. Machine learning algorithms: Analyzing vast datasets to uncover hidden patterns. Molecular docking techniques: Simulating how drugs bind to target molecules. This review highlights aspirin as a promising candidate for colon cancer repurposing. Its potential benefits aspirin may slow down cancer cell division. And also emphasizes the role of artificial intelligence and network modeling in drug repurposing. The drug repurposing presents a promising strategy for overcoming the challenges of colon cancer treatment. By leveraging cutting-edge computational approaches and personalized medicine, we can develop more effective and efficient treatment options for patients.</t>
  </si>
  <si>
    <t>Neve Vrushali,Kamble Abhijeet,Karwa Pawan</t>
  </si>
  <si>
    <t>https://research.ebsco.com/linkprocessor/plink?id=355294bb-dd69-3b60-a0c5-8232562d2aa3</t>
  </si>
  <si>
    <t>Colon cancer,Drug repositioning,Therapeutics,Machine learning,Aspirin,Pharmaceutical and medicine manufacturing,Medicinal and Botanical Manufacturing</t>
  </si>
  <si>
    <t>Clinical Cancer Investigation Journal</t>
  </si>
  <si>
    <t>Retrospective Case‐Cohort Study on Risk Factors for Developing Distant Metastases in Women With Breast Cancer.</t>
  </si>
  <si>
    <t>Objective: This study aimed to identify risk factors associated with the development of metastases in breast cancer patients, to investigate survival rates, and the relationship between local recurrences and distant metastases. Methods: This retrospective case‐cohort study included women with breast cancer who were treated at a certified Breast Unit between 2001 and 2015. Cases who developed distant metastases were compared to controls based on diagnosis year, stage, and age at diagnosis. Comprehensive information on patient characteristics, tumor biology, and treatment options was gathered. Results: The study included 412 patients who developed distant metastases and 433 controls who remained metastasis‐free over a median follow‐up of 150 months (interquartile range 87–202). The 20‐year overall survival was 99.23% for the control group and 23.62% for those with metastasis (p &lt; 0.01). Significant risk factors for metastasis included lobular invasive carcinoma (odds ratio (OR) 2.26, p &lt; 0.001), triple‐negative subtype (OR 4.06, p = 0.002), high tumor grade (OR 2.62, p = 0.004), larger tumor size (OR 1.02, p &lt; 0.001), lymph node involvement (p &lt; 0.001), and loco‐regional recurrence (OR 4.32, p &lt; 0.001). Progesterone receptor (PR) expression was protective (OR 0.52, 95% confidence interval 0.34–0.81, p = 0.003). Machine learning models supported these findings, though their clinical significance was limited. Conclusions: Lobular invasive carcinoma, specific tumor subtypes, high grade, large tumor size, lymph node involvement, and loco‐regional recurrence are all significant risk factors for distant metastasis, whereas PR expression is protective. The potential of machine learning in predicting metastasis was explored, showing promise for future personalized risk assessment.</t>
  </si>
  <si>
    <t>Bertozzi Serena,Londero Ambrogio Pietro,Vendramelli Giovanni,Orsaria Maria,Mariuzzi Laura,Pegolo Enrico,Di Loreto Carla,Cedolini Carla,Della Mea Vincenzo</t>
  </si>
  <si>
    <t>https://research.ebsco.com/linkprocessor/plink?id=836bbbca-333d-33a7-a986-2ccf1c9f46c6</t>
  </si>
  <si>
    <t>Disease risk factors,Metastatic breast cancer,Machine learning,Progesterone receptors,Cancer relapse</t>
  </si>
  <si>
    <t>Revolutionizing Cytology and Cytopathology with Natural Language Processing and Chatbot Technologies: A Narrative Review on Current Trends and Future Directions.</t>
  </si>
  <si>
    <t>The application of chatbots and Natural Language Processing (NLP) in cytology and cytopathology is an emerging field, which is currently characterized by a limited but growing body of research. Here, a narrative review has been proposed utilizing a standardized checklist and quality control procedure for including scientific papers. This narrative review explores the early developments and potential future impact of these technologies in medical diagnostics. The current literature, comprising 11 studies (after excluding comments, letters, and editorials) suggests that chatbots and NLP offer significant opportunities to enhance diagnostic accuracy, streamline clinical workflows, and improve patient engagement. By automating the extraction and classification of medical information, these technologies can reduce human error and increase precision. They also promise to make patient information more accessible and facilitate complex decision-making processes, thereby fostering greater patient involvement in healthcare. Despite these promising prospects, several challenges need to be addressed for the full potential of these technologies to be realized. These include the need for data standardization, mitigation of biases in Artificial Intelligence (AI) systems, and comprehensive clinical validation. Furthermore, ethical, privacy, and legal considerations must be navigated carefully to ensure responsible AI deployment. Compared to the more established fields of histology, histopathology, and especially radiology, the integration of digital tools in cytology and cytopathology is still in its infancy. Building on the advancements in related fields, especially radiology's experience with digital integration, where these technologies already offer promising solutions in mentoring, second opinions, and education, we can leverage this knowledge to further develop chatbots and natural language processing in cytology and cytopathology. Overall, this review underscores the transformative potential of these technologies while outlining the critical areas for future research and development.</t>
  </si>
  <si>
    <t>Lastrucci Andrea,Giarnieri Enrico,Carico Elisabetta,Giansanti Daniele</t>
  </si>
  <si>
    <t>https://research.ebsco.com/linkprocessor/plink?id=2895d060-adaf-3f97-91a7-a5eb13827d77</t>
  </si>
  <si>
    <t>Natural language processing,Artificial intelligence,ChatGPT,Patient participation,Cytology,Chatbots</t>
  </si>
  <si>
    <t>Revolutionizing Oncology Through AI: Addressing Cancer Disparities by Improving Screening, Treatment, and Survival Outcomes via Integration of Social Determinants of Health.</t>
  </si>
  <si>
    <t>Simple Summary: Artificial intelligence (AI) has emerged as a transformative tool in oncology, offering innovative solutions to mitigate cancer disparities by integrating social determinants of health (SDOH) into predictive analytics, screening, treatment optimization, and prognostic modeling. This review explores AI-driven methodologies, including machine learning, deep learning, and natural language processing, to enhance early cancer detection and personalized treatment and improve patient outcomes, particularly in underserved populations. AI-powered medical imaging and histopathological analysis have improved the diagnostic accuracy, while predictive models facilitate precision oncology by tailoring therapies based on genetic, clinical, and socioeconomic factors. AI-driven geospatial analysis and telehealth solutions have also expanded cancer screening accessibility in resource-limited areas. Despite its potential, challenges such as algorithmic bias, the underrepresentation of minority groups in AI training datasets, and ethical concerns regarding data privacy remain. Addressing these barriers through fairness-aware AI models, federated learning, and regulatory oversight is critical in achieving equitable cancer care. Background: Social determinants of health (SDOH) are critical contributors to cancer disparities, influencing prevention, early detection, treatment access, and survival outcomes. Addressing these disparities is essential in achieving equitable oncology care. Artificial intelligence (AI) is revolutionizing oncology by leveraging advanced computational methods to address SDOH-driven disparities through predictive analytics, data integration, and precision medicine. Methods: This review synthesizes findings from systematic reviews and original research on AI applications in cancer-focused SDOH research. Key methodologies include machine learning (ML), natural language processing (NLP), deep learning-based medical imaging, and explainable AI (XAI). Special emphasis is placed on AI's ability to analyze large-scale oncology datasets, including electronic health records (EHRs), geographic information systems (GIS), and real-world clinical trial data, to enhance cancer risk stratification, optimize screening programs, and improve resource allocation. Results: AI has demonstrated significant advancements in cancer diagnostics, treatment planning, and survival prediction by integrating SDOH data. AI-driven radiomics and histopathology have enhanced early detection, particularly in underserved populations. Predictive modeling has improved personalized oncology care, enabling stratification based on socioeconomic and environmental factors. However, challenges remain, including AI bias in screening, trial underrepresentation, and treatment recommendation disparities. Conclusions: AI holds substantial potential to reduce cancer disparities by integrating SDOH into risk prediction, screening, and treatment personalization. Ethical deployment, bias mitigation, and robust regulatory frameworks are essential in ensuring fairness in AI-driven oncology. Integrating AI into precision oncology and public health strategies can bridge cancer care gaps, enhance early detection, and improve treatment outcomes for vulnerable populations.</t>
  </si>
  <si>
    <t>Srivastav Amit Kumar,Singh Aryan,Singh Shailesh,Rivers Brian,Lillard Jr. James W.,Singh Rajesh</t>
  </si>
  <si>
    <t>https://research.ebsco.com/linkprocessor/plink?id=a39824d5-d5a4-3746-b1f6-3530b05052e3</t>
  </si>
  <si>
    <t>Tumor treatment,Tumor diagnosis,Patient compliance,Health services accessibility,Social determinants of health,Prediction models,Artificial intelligence,Early detection of cancer,Cancer patient medical care,Clinical trials,Privacy,Natural language processing,Decision making,Medical research,Deep learning,Health equity,Tumors,Machine learning,Individualized medicine,Drugs,Accuracy,Medicine,Overall survival,Medical ethics,Specialty (except Psychiatric and Substance Abuse) Hospitals,Research and Development in the Physical, Engineering, and Life Sciences (except Biotechnology),Pharmaceutical and medicine manufacturing,Drugs and Druggists' Sundries Merchant Wholesalers,Pharmaceuticals and pharmacy supplies merchant wholesalers</t>
  </si>
  <si>
    <t>Risk factor analysis and nomogram construction for predicting suicidal ideation in patients with cancer.</t>
  </si>
  <si>
    <t>Suicidal ideation in cancer patients is a critical challenge. At present, few studies focus on factors associated with suicidal ideation, and predictive models are still lacking. This study aimed at investigating the risk factors for suicidal ideation among cancer patients, and developed a predictive nomogram to screen high risk cancer patients for early prevention and intervention.</t>
  </si>
  <si>
    <t>Luo Yuanyuan,Lai Qianlin,Huang Hong,Luo Jiahui,Miao Jingxia,Liao Rongrong,Yang Zhihui,Zhang Lili</t>
  </si>
  <si>
    <t>https://research.ebsco.com/linkprocessor/plink?id=02d3de19-9fda-3581-983f-5542ab0c61b5</t>
  </si>
  <si>
    <t>Neoplasms,Suicidal Ideation,Factor Analysis, Statistical,Humans,Nomograms,Risk Factors</t>
  </si>
  <si>
    <t>BMC psychiatry</t>
  </si>
  <si>
    <t>Risk factors for childhood and adult primary brain tumors.</t>
  </si>
  <si>
    <t>Primary brain tumors account for ~1% of new cancer cases and ~2% of cancer deaths in the United States; however, they are the most commonly occurring solid tumors in children. These tumors are very heterogeneous and can be broadly classified into malignant and benign (or non-malignant), and specific histologies vary in frequency by age, sex, and race/ethnicity. Epidemiological studies have explored numerous potential risk factors, and thus far the only validated associations for brain tumors are ionizing radiation (which increases risk in both adults and children) and history of allergies (which decreases risk in adults). Studies of genetic risk factors have identified 32 germline variants associated with increased risk for these tumors in adults (25 in glioma, 2 in meningioma, 3 in pituitary adenoma, and 2 in primary CNS lymphoma), and further studies are currently under way for other histologic subtypes, as well as for various childhood brain tumors. While identifying risk factors for these tumors is difficult due to their rarity, many existing datasets can be leveraged for future discoveries in multi-institutional collaborations. Many institutions are continuing to develop large clinical databases including pre-diagnostic risk factor data, and developments in molecular characterization of tumor subtypes continue to allow for investigation of more refined phenotypes. Key Point 1. Brain tumors are a heterogeneous group of tumors that vary significantly in incidence by age, sex, and race/ethnicity.2. The only well-validated risk factors for brain tumors are ionizing radiation (which increases risk in adults and children) and history of allergies (which decreases risk).3. Genome-wide association studies have identified 32 histology-specific inherited genetic variants associated with increased risk of these tumors.</t>
  </si>
  <si>
    <t>Ostrom Quinn T,Adel Fahmideh Maral,Cote David J,Muskens Ivo S,Schraw Jeremy M,Scheurer Michael E,Bondy Melissa L</t>
  </si>
  <si>
    <t>https://research.ebsco.com/linkprocessor/plink?id=43c514da-d086-3a04-a5a3-b2780ff895e4</t>
  </si>
  <si>
    <t>Brain Neoplasms etiology,Brain Neoplasms pathology,Adult,Child,Humans,Risk Factors</t>
  </si>
  <si>
    <t>Neuro-oncology</t>
  </si>
  <si>
    <t>Risk Factors for Suicide Among Head and Neck Cancer Patients: A Systematic Review and Meta-Analysis</t>
  </si>
  <si>
    <t>Background: Head and neck cancer (HNC) patients have an elevated suicide risk. This study examines suicide risk factors among HNC patients. Methods: Databases were reviewed through June 2024 for articles examining HNC patient suicide. HNC patients, non-HNC cancer patients, and suicide case numbers were stratified by patient variables. Meta-analyses of proportions and relative risk (RR) were performed. Results: Twenty-one studies with 1 610 031 HNC and 16 857 218 non-HNC cancer patients were included. HNC patients had a higher suicide risk than non-HNC cancer (RR 2.369) and general population (RR 26.991) cohorts. Non-Hispanic ethnicity (RR 3.773), male sex (RR 2.721), and oropharyngeal (RR 1.241) or laryngeal (RR 1.182) cancers increased risk. Being Black (RR 0.316), Hispanic (RR 0.265), and female (RR 0.367) decreased risk. Excluding studies only examining laryngeal cancer intensified sex and race effects on suicide risk. Conclusions: HNC patients have a higher suicide risk than other cancer patients. Laryngeal cancer attenuates the effects of other variables. © 2025 Wiley Periodicals LLC.</t>
  </si>
  <si>
    <t>Nassar,S.I.,Durgham,R.A.,Nguyen,S.A.,Newman,J.G.,Kejner,A.E.,Albergotti,W.G.</t>
  </si>
  <si>
    <t>https://www.scopus.com/inward/record.uri?eid=2-s2.0-105001578661&amp;doi=10.1002%2Fhed.28145&amp;partnerID=40&amp;md5=8e5ac2c25bbfcc64832f317eaeeeca2c</t>
  </si>
  <si>
    <t>cancer-related suicide,head and neck cancer,laryngeal cancer,oropharyngeal cancer,suicide risk factors</t>
  </si>
  <si>
    <t>Risk of Adverse Cardiovascular Outcomes in Differentiated Thyroid Cancer Survivors: A Systematic Review and Meta-Analysis</t>
  </si>
  <si>
    <t>Introduction: Long-term cardiovascular (CV) risk is a concern for differentiated thyroid cancer (DTC) survivors. Methods: We performed a systematic review and meta-analysis evaluating the risks of CV mortality and morbidity in DTC survivors compared with the general population. Respective meta-analyses were conducted for data that were adjusted for relevant confounders and crude data. We searched five electronic databases from inception to October 2021, supplemented with a hand search. Two reviewers independently screened citations, reviewed full text articles, extracted data, and critically appraised the studies, with discrepancies resolved by a third reviewer. The primary outcome was CV mortality. Secondary outcomes included atrial fibrillation, ischemic heart disease, stroke, and heart failure. We estimated the relative risk (RR) and confidence intervals [CI] of outcomes using random-effects models (adjusted for age and gender), compared with the general population. Results: We reviewed 3409 unique citations, 65 full text articles, and included 7 studies. CV mortality risk was significantly increased in DTC survivors in one study adjusted for confounders—adjusted RR (aRR) 3.35 ([CI 1.66–6.67]; 524 DTC, 1572 controls). The risk of CV morbidity in DTC survivors, adjusted for risk factors, was estimated as follows: atrial fibrillation—aRR 1.66 [CI 1.22–2.27] (3 studies, 4428 DTC, I2 = 75%), ischemic heart disease—aRR 0.97 [CI 0.84–1.13] (2 studies, 3910 DTC, I2 = 0%), stroke—aRR 1.14 [CI 0.84–1.55] (2 studies, 3910 DTC, I2 = 69%), and heart failure—aRR 0.98 [CI 0.60–1.59] (2 studies, 3910 DTC, I2 = 79%). In meta-analyses of unadjusted data, the risks of CV mortality were not significantly increased but the CV morbidity risks were similar to adjusted data. Conclusions: There is limited evidence suggesting that DTC survivors may be at an increased risk of CV death and atrial fibrillation (after adjustment for confounders). We did not observe a significantly increased risk of ischemic heart disease, stroke, or heart failure. Most analyses were subject to significant heterogeneity and further research, with careful attention to CV risk factors, is needed to clarify CV risk in DTC survivors. ª Mary Ann Liebert, Inc.</t>
  </si>
  <si>
    <t>Qiang,J.K.,Alwithenani,R.,Uleryk,E.,Ezzat,S.,Lipscombe,L.L.,Sawka,A.M.</t>
  </si>
  <si>
    <t>https://www.scopus.com/inward/record.uri?eid=2-s2.0-85148307283&amp;doi=10.1089%2Fthy.2022.0209&amp;partnerID=40&amp;md5=02e6cbf15a23c9a14485c9b4ad66d0fa</t>
  </si>
  <si>
    <t>cardiovascular mortality and morbidity,meta-analysis,systematic review,thyroid cancer</t>
  </si>
  <si>
    <t>Thyroid</t>
  </si>
  <si>
    <t>Risk of colorectal cancer incidence and mortality after polypectomy: a Swedish record-linkage study</t>
  </si>
  <si>
    <t>Background: Long-term colorectal cancer incidence and mortality after colorectal polyp removal remains unclear. We aimed to assess colorectal cancer incidence and mortality in individuals with removal of different histological subtypes of polyps relative to the general population. Methods: We did a matched cohort study through prospective record linkage in Sweden in patients aged at least 18 years with a first diagnosis of colorectal polyps in the nationwide gastrointestinal ESPRESSO histopathology cohort (1993–2016). For each polyp case, we identified up to five matched reference individuals from the Total Population Register on the basis of birth year, age, sex, calendar year of biopsy, and county of residence. We excluded patients and reference individuals with a diagnosis of colorectal cancer either before or within the first 6 months after diagnosis of the index polyp. Polyps were classified by morphology codes into hyperplastic polyps, sessile serrated polyps, tubular adenomas, tubulovillous adenomas, and villous adenomas. Colorectal cancer cases were identified from the Swedish Cancer Registry, and cause-of-death data were retrieved from the Cause of Death Register. We collected information about the use of endoscopic examination before and after the index biopsy from the Swedish National Patient Registry, and counted the number of endoscopies done before and after the index biopsies. We calculated cumulative risk of colorectal cancer incidence and mortality at 3, 5, 10, and 15 years, and computed hazard ratios (HRs) and 95% CIs for colorectal cancer incidence and mortality using a stratified Cox proportional hazards model within each of the matched pairs. Findings: 178 377 patients with colorectal polyps and 864 831 matched reference individuals from the general population were included in our study. The mean age of patients at polyp diagnosis was 58·6 (SD 13·9) years for hyperplastic polyps, 59·7 (14·2) years for sessile serrated polyps, 63·9 (12·9) years for tubular adenomas, 67·1 (12·1) years for tubulovillous adenomas, and 68·9 (11·8) years for villous adenomas. During a median of 6·6 years (IQR 3·0–11·6) of follow-up, we documented 4278 incident colorectal cancers and 1269 colorectal cancer-related deaths in patients with a polyp, and 14 350 incident colorectal cancers and 5242 colorectal cancer deaths in general reference individuals. The 10-year cumulative incidence of colorectal cancer was 1·6% (95% CI 1·5–1·7) for hyperplastic polyps, 2·5% (1·9–3·3) for sessile serrated polyps, 2·7% (2·5–2·9) for tubular adenomas, 5·1% (4·8–5·4) for tubulovillous adenomas, and 8·6% (7·4–10·1) for villous adenomas compared with 2·1% (2·0–2·1) in reference individuals. Compared with reference individuals, patients with any polyps had an increased risk of colorectal cancer, with multivariable HR of 1·11 (95% CI 1·02–1·22) for hyperplastic polyps, 1·77 (1·34–2·34) for sessile serrated polyps, 1·41 (1·30–1·52) for tubular adenomas, 2·56 (2·36–2·78) for tubulovillous adenomas, and 3·82 (3·07–4·76) for villous adenomas (p&lt;0·05 for all polyp subtypes). There was a higher proportion of incident proximal colon cancer in patients with serrated (hyperplastic and sessile) polyps (52–57%) than in those with conventional (tubular, tubulovillous, and villous) adenomas (30–46%). For colorectal cancer mortality, a positive association was found for sessile serrated polyps (HR 1·74, 95% CI 1·08–2·79), tubulovillous adenomas (1·95, 1·69–2·24), and villous adenomas (3·45, 2·40–4·95), but not for hyperplastic polyps (0·90, 0·76–1·06) or tubular adenomas (0·97, 0·84–1·12). Interpretation: In a largely screening-naive population, compared with individuals from the general population, patients with any polyps had a higher colorectal cancer incidence, and those with sessile serrated polyps, tubulovillous adenomas, and villous adenomas had a higher colorectal cancer mortality. Funding: US National Institutes of Health, American Cancer Society, American Gastroenterological Association, Union for International Cancer Control. © 2020 Elsevier Ltd</t>
  </si>
  <si>
    <t>Song,M.,Emilsson,L.,Bozorg,S.R.,Nguyen,L.H.,Joshi,A.D.,Staller,K.,Nayor,J.,Chan,A.T.,Ludvigsson,J.F.</t>
  </si>
  <si>
    <t>https://www.scopus.com/inward/record.uri?eid=2-s2.0-85084456238&amp;doi=10.1016%2FS2468-1253%2820%2930009-1&amp;partnerID=40&amp;md5=f926748a7054b8004f5e4177a6ebe24c</t>
  </si>
  <si>
    <t>The Lancet Gastroenterology and Hepatology</t>
  </si>
  <si>
    <t>Risk of venous thromboembolism in people with lung cancer: A cohort study using linked UK healthcare data</t>
  </si>
  <si>
    <t>Background: Venous thromboembolism (VTE) is a potentially preventable cause of death in people with lung cancer. Identification of those most at risk and high-risk periods may provide the opportunity for better targeted intervention. Methods: We conducted a cohort study using the Clinical Practice Research Datalink linked to Hospital Episode Statistics and Cancer Registry data. Our cohort comprises 10 598 people with lung cancer diagnosed between 1997 and 2006 with follow-up continuing to the end of 2010. Cox regression analysis was performed to determine which demographic, tumour and treatment-related factors (time-varying effects of chemotherapy and surgery) independently affected VTE risk. We also determined the effect of a VTE diagnosis on the survival of people with lung cancer. Results: People with lung cancer had an overall VTE incidence of 39.2 per 1000 person-years (95% confidence interval (CI), 35.4-43.5), though rates varied depending on the patient group and treatment course. Independent factors associated with increased VTE risk were metastatic disease (hazard ratio (HR)=1.9, CI 1.2-3.0 vs local disease); adenocarcinoma subtype (HR=2.0, CI 1.5-2.7, vs squamous cell; chemotherapy administration (HR=2.1, CI 1.4-3.0 vs outside chemotherapy courses); and diagnosis via emergency hospital admission (HR=1.7, CI 1.2-2.3 vs other routes to diagnosis). Patients with VTE had an approximately 50% higher risk of mortality than those without VTE. Conclusions: People with lung cancer have especially high risk of VTE if they have advanced disease, adenocarcinoma or are undergoing chemotherapy. The presence of VTE is an independent risk factor for death. © 2016 Cancer Research UK.</t>
  </si>
  <si>
    <t>Walker,A.J.,Baldwin,D.R.,Card,T.R.,Powell,H.A.,Hubbard,R.B.,Grainge,M.J.</t>
  </si>
  <si>
    <t>https://www.scopus.com/inward/record.uri?eid=2-s2.0-84973109203&amp;doi=10.1038%2Fbjc.2016.143&amp;partnerID=40&amp;md5=df187101134514644395ff0c2d21070d</t>
  </si>
  <si>
    <t>deep vein thrombosis,lung cancer,pulmonary embolism,venous thromboembolism</t>
  </si>
  <si>
    <t>British Journal of Cancer</t>
  </si>
  <si>
    <t>RUBY: Natural Language Processing of French Electronic Medical Records for Breast Cancer Research</t>
  </si>
  <si>
    <t>PURPOSEElectronic medical records are a valuable source of information about patients' clinical status but are often free-text documents that require laborious manual review to be exploited. Techniques from computer science have been investigated, but the literature has marginally focused on non-English language texts. We developed RUBY, a tool designed in collaboration with IBM-France to automatically structure clinical information from French medical records of patients with breast cancer.MATERIALS AND METHODSRUBY, which exploits state-of-the-art Named Entity Recognition models combined with keyword extraction and postprocessing rules, was applied on clinical texts. We investigated the precision of RUBY in extracting the target information.RESULTSRUBY has an average precision of 92.8% for the Surgery report, 92.7% for the Pathology report, 98.1% for the Biopsy report, and 81.8% for the Consultation report.CONCLUSIONThese results show that the automatic approach has the potential to effectively extract clinical knowledge from an extensive set of electronic medical records, reducing the manual effort required and saving a significant amount of time. A deeper semantic analysis and further understanding of the context in the text, as well as training on a larger and more recent set of reports, including those containing highly variable entities and the use of ontologies, could further improve the results.</t>
  </si>
  <si>
    <t>Schiappa R,Contu S,Culie D,Thamphya B,Chateau Y,Gal J,Bailleux C,Haudebourg J,Ferrero JM,Barranger E,Chamorey E</t>
  </si>
  <si>
    <t>https://www.webofscience.com/wos/woscc/full-record/WOS:000975356800012</t>
  </si>
  <si>
    <t>Rule-Based Information Extraction from Free-Text Pathology Reports Reveals Trends in South African Female Breast Cancer Molecular Subtypes and Ki67 Expression.</t>
  </si>
  <si>
    <t>1,12,13,4,1</t>
  </si>
  <si>
    <t>https://research.ebsco.com/linkprocessor/plink?id=dcc85f7f-3490-3d29-8704-33a9ee64be9a</t>
  </si>
  <si>
    <t>Scalable deep text comprehension for Cancer surveillance on high-performance computing.</t>
  </si>
  <si>
    <t>Deep Learning (DL) has advanced the state-of-the-art capabilities in bioinformatics applications which has resulted in trends of increasingly sophisticated and computationally demanding models trained by larger and larger data sets. This vastly increased computational demand challenges the feasibility of conducting cutting-edge research. One solution is to distribute the vast computational workload across multiple computing cluster nodes with data parallelism algorithms. In this study, we used a High-Performance Computing environment and implemented the Downpour Stochastic Gradient Descent algorithm for data parallelism to train a Convolutional Neural Network (CNN) for the natural language processing task of information extraction from a massive dataset of cancer pathology reports. We evaluated the scalability improvements using data parallelism training and the Titan supercomputer at Oak Ridge Leadership Computing Facility. To evaluate scalability, we used different numbers of worker nodes and performed a set of experiments comparing the effects of different training batch sizes and optimizer functions.</t>
  </si>
  <si>
    <t>Qiu John X,Yoon Hong-Jun,Srivastava Kshitij,Watson Thomas P,Blair Christian J,Ramanathan Arvind,Wu Xiao C,Fearn Paul A,Tourassi Georgia D</t>
  </si>
  <si>
    <t>https://research.ebsco.com/linkprocessor/plink?id=f688138d-9f3d-3068-a9f5-b0b1f4c13e42</t>
  </si>
  <si>
    <t>Computing Methodologies,Deep Learning trends,Neoplasms diagnosis,Comprehension,Humans,Neoplasms pathology,Neural Networks, Computer</t>
  </si>
  <si>
    <t>No</t>
  </si>
  <si>
    <t>Scientific Abstracts and Sessions.</t>
  </si>
  <si>
    <t>https://research.ebsco.com/linkprocessor/plink?id=1e9e2d46-f58d-3b75-919c-40c08f3aed68</t>
  </si>
  <si>
    <t>Medical Physics</t>
  </si>
  <si>
    <t>Secular trends in the survival of patients with laryngeal carcinoma, 1995–2007</t>
  </si>
  <si>
    <t>Background Recent reports suggest a decline over time in the survival of patients newly diagnosed with laryngeal cancer in spite of developments in treatment practices. Our study set out to determine whether the survival of patients with laryngeal cancer in Ontario has changed over time. Methods This population-based cohort study of patients diagnosed with laryngeal cancer in the province of Ontario between 1995 and 2007 used data extracted from linked provincial administrative and registry databases. Its main outcomes were overall survival, laryngectomy-free survival, and survival ratio relative to an age- and sex-matched general population. Results The 4298 patients newly diagnosed with laryngeal cancer during the period of interest were predominantly men (n = 3615, 84.1%) with glottic cancer (n = 2787, 64.8%); mean age in the group was 66 years (interquartile range: 59–74 years). Patient demographics did not significantly change over time. Overall, 5-year survival was 57.4%; laryngectomy-free survival was 45.4%. Comparing patients from three eras (1995–1998, 1999–2003, 2004–2007) and adjusting for age, sex, and comorbidity status, we observed no differences in overall survival or laryngectomy-free survival over time. The 5-year relative survival ratio for patients with laryngeal cancer compared with an age- and sex-matched group from the general population was 81.1% for glottic cancer and 44.5% for supraglottic cancer. Conclusions In patients with a new diagnosis of laryngeal cancer, overall and laryngectomy-free survival have remained unchanged since the mid-1990s. New methods to improve survival and the rate of laryngeal preservation in this patient population are needed. © 2015 Multimed Inc.</t>
  </si>
  <si>
    <t>MacNeil,S.D.,Liu,K.,Shariff,S.Z.,Thind,A.,Winquist,E.,Yoo,J.,Nichols,A.,Fung,K.,Hall,S.,Garg,A.X.</t>
  </si>
  <si>
    <t>https://www.scopus.com/inward/record.uri?eid=2-s2.0-84928254100&amp;doi=10.3747%2Fco.22.2361&amp;partnerID=40&amp;md5=fe819c0044197c100b891b7ca4fad152</t>
  </si>
  <si>
    <t>Laryngeal cancer,Laryngectomy-free survival,Overall survival,Population-based</t>
  </si>
  <si>
    <t>Self-selection in a population-based cohort study: Impact on health service use and survival for bowel and lung cancer assessed using data linkage</t>
  </si>
  <si>
    <t>Background: In contrast to aetiological associations, there is little empirical evidence for generalising health service use associations from cohort studies. We compared the health service use of cohort study participants diagnosed with bowel or lung cancer to the source population of people diagnosed with these cancers in New South Wales (NSW), Australia to assess the representativeness of health service use of the cohort study participants. Methods: Population-based cancer registry data for NSW residents aged ≥45 years at diagnosis of bowel or lung cancer were linked to the 45 and Up Study, a NSW population-based cohort study (N~ 267,000). We measured hospitalisation, emergency department (ED) attendance and all-cause survival, and risk factor associations with these outcomes using administrative data for cohort study participants and the source population. We assessed bias in prevalence and risk factor associations using ratios of relative frequency (RRF) and relative odds ratios (ROR), respectively. Results: People from major cities, non-English speaking countries and with comorbidites were under-represented among cohort study participants diagnosed with bowel (n = 1837) or lung (n = 969) cancer by 20-50%. Cohort study participants had similar hospitalisation and ED attendance compared with the source population. One-year survival after major surgical resection was similar, but cohort study participants had up to 25% higher post-diagnosis survival (lung cancer 3-year survival: RRF = 1.24, 95% confidence interval 1.12,1.37). Except for area-based socioeconomic position, risk factors associations with health service use measures and survival appeared relatively unbiased. Conclusions: Absolute measures of health service use and risk factor associations in a non-representative sample showed little evidence of bias. Non-comparability of risk factor measures of cohort study participants and non-participants, such as area-based socioeconomic position, may bias estimates of risk factor associations. Primary and outpatient care outcomes may be more vulnerable to bias. © 2018 The Author(s).</t>
  </si>
  <si>
    <t>Creighton,N.,Purdie,S.,Soeberg,M.,Walton,R.,Baker,D.,Young,J.</t>
  </si>
  <si>
    <t>https://www.scopus.com/inward/record.uri?eid=2-s2.0-85051180741&amp;doi=10.1186%2Fs12874-018-0537-3&amp;partnerID=40&amp;md5=2e60c220e478ea559b698604ed427e0a</t>
  </si>
  <si>
    <t>Cancer,Cohort studies,Health care utilisation,Selection bias,Sociodemographic factors</t>
  </si>
  <si>
    <t>Semiautomatic mapping of a national drug terminology to standardised OMOP drug concepts using publicly available supplementary information.</t>
  </si>
  <si>
    <t>Katsch Florian,Mészáros Ágota,Héja Tibor,Hussein Rada,Duftschmid Georg</t>
  </si>
  <si>
    <t>https://research.ebsco.com/linkprocessor/plink?id=4d7cd307-5b20-3fd4-b24c-c533430b9151</t>
  </si>
  <si>
    <t>Austria,Terminology as Topic,RxNorm,Outcome Assessment, Health Care standards,Humans,Austria</t>
  </si>
  <si>
    <t>Sensibilidade e especificidade dos registros de câncer nas notificações do mesotelioma maligno/ Sensibilidad y especificidad de los registros de cáncer en las notificaciones del mesotelioma maligno/ Sensitivity and specificity of the reporting of malignant mesothelioma</t>
  </si>
  <si>
    <t>RESUMO  Objetivo: Mensurar a sensibilidade e especificidade das notificações de mesotelioma maligno do Registro de Câncer Base Populacional de Curitiba/Paraná.  Método: Estudo retrospectivo, transversal, realizado no registro de câncer de base populacional de Curitiba e em 11 fontes notificadoras, de janeiro a dezembro de 2017. A amostra final foi composta por 92 prontuários de pacientes adultos, com diagnóstico e notificação de registrados com câncer de topografia C38 (pleura, coração e mediastino) e C48 (peritônio e retroperitônio). Para análise da sensibilidade e especificidade utilizou-se o software Stata 14, com análise da consistência interna; para cada caso notificado pelo registro foi examinado o prontuário da fonte notificadora correspondente, considerando-o como padrão ouro.  Resultados: A sensibilidade do registro em notificar mesotelioma (CID-10: C45) e câncer de pleura (CID-10: C38.4) foi de 100% (8/8) e 50% (1/2), respectivamente. A especificidade foi 90,2% (74/82), tendo oito casos de outros cânceres classificados como câncer de pleura.  Conclusões: O registro apresentou alta sensibilidade para notificar mesotelioma maligno, não havendo subnotificação para esses casos, e uma sobre-estimativa para as notificações de câncer de pleura (nove ao invés de um) devido à notificação errônea e equívoca.</t>
  </si>
  <si>
    <t>Marcondes Larissa,Halfeld Tatiana Lage Ferreira,Consonni Dario,Mensi Carolina,Sarquis Leila Maria Mansano,Kalinke Luciana Puchalski</t>
  </si>
  <si>
    <t>http://www.revenf.bvs.br/scielo.php?script=sci_arttext&amp;pid=S1677-38612021000102019</t>
  </si>
  <si>
    <t>Asbestos,Asbestos,Asbestos,Epidemiologia,Epidemiology,Epidemiología,Information Systems,Mesotelioma,Mesotelioma,Mesothelioma,Public health,Salud pública,Saúde pública,Sistemas de información,Sistemas de informação</t>
  </si>
  <si>
    <t>Ciênc. cuid. saúde</t>
  </si>
  <si>
    <t>Sentiment analysis of medical record notes for lung cancer patients at the Department of Veterans Affairs.</t>
  </si>
  <si>
    <t>Natural language processing of medical records offers tremendous potential to improve the patient experience. Sentiment analysis of clinical notes has been performed with mixed results, often highlighting the issue that dictionary ratings are not domain specific. Here, for the first time, we re-calibrate the labMT sentiment dictionary on 3.5M clinical notes describing 10,000 patients diagnosed with lung cancer at the Department of Veterans Affairs. The sentiment score of notes was calculated for two years after date of diagnosis and evaluated against a lab test (platelet count) and a combination of data points (treatments). We found that the oncology specific labMT dictionary, after re-calibration for the clinical oncology domain, produces a promising signal in notes that can be detected based on a comparative analysis to the aforementioned parameters.</t>
  </si>
  <si>
    <t>Elbers Danne C.,La Jennifer,Minot Joshua R.,Gramling Robert,Brophy Mary T.,Do Nhan V.,Fillmore Nathanael R.,Dodds Peter S.,Danforth Christopher M.</t>
  </si>
  <si>
    <t>https://research.ebsco.com/linkprocessor/plink?id=0b6faa32-2ee4-3269-9aaa-a778d28c6ffa</t>
  </si>
  <si>
    <t>Sentiment analysis,Lung cancer,Medical records,Cancer patients,Natural language processing,United States. Dept. of Veterans Affairs,Administration of Veterans' Affairs</t>
  </si>
  <si>
    <t>Serial endometrial thickness and risk of non-endometrial hormone-dependent cancers in postmenopausal women in UK Collaborative Trial of Ovarian Cancer Screening</t>
  </si>
  <si>
    <t>Objective: Estrogen is a well-established risk factor for various cancers. It causes endometrial proliferation, which is assessed routinely as endometrial thickness (ET) using transvaginal ultrasound (TVS). Only one previous study, restricted to endometrial and breast cancer, has considered ET and the risk of non-endometrial cancer. The aim of this study was to explore the association between baseline and serial ET measurements and nine non-endometrial hormone-sensitive cancers, in postmenopausal women, using contemporary statistical methodology that attempts to minimize the biases typical of endogenous serial data. Methods: This was a cohort study nested within the UK Collaborative Trial of Ovarian Cancer Screening (UKCTOCS). In the ultrasound arm of UKCTOCS, 50639 postmenopausal women, aged 50–74, underwent annual TVS examination, of whom 38 105 had a valid ET measurement, no prior hysterectomy and complete covariate data, and were included in this study. All women were followed up through linkage to national cancer registries. The effect of ET on the risk of six estrogen-dependent cancers (breast, ovarian, colorectal, bladder, lung and pancreatic) was assessed using joint models for longitudinal biomarker and time-to-event data, and Cox models were used to assess the association between baseline ET measurement and these six cancers in addition to liver cancer, gastric cancer and non-Hodgkin's lymphoma (NHL). All models were adjusted for current hormone-replacement therapy (HRT) use, body mass index, age at last menstrual period, parity and oral contraceptive pill use. Results: The 38 105 included women had a combined total of 267 567 (median, 8; interquartile range, 5–9) valid ET measurements. During a combined total of 407 838 (median, 10.9) years of follow-up, 1398 breast, 351 endometrial, 381 lung, 495 colorectal, 222 ovarian, 94 pancreatic, 79 bladder, 62 gastric, 38 liver cancers and 52 NHLs were registered. Using joint models, a doubling of ET increased significantly the risk of breast (hazard ratio (HR), 1.21; 95% CI, 1.09–1.36; P = 0.001), ovarian (HR, 1.39; 95% CI, 1.06–1.82; P = 0.018) and lung (HR, 1.25; 95% CI, 1.02–1.54; P = 0.036) cancers. There were no statistically significant associations between ET and the remaining six cancers. Conclusion: Postmenopausal women with high/increasing ET on TVS are at increased risk of breast, ovarian and lung cancer. It is important that clinicians are aware of these risks, as TVS is a common investigation. © 2019 The Authors. Ultrasound in Obstetrics &amp; Gynecology published by John Wiley &amp; Sons Ltd on behalf of the International Society of Ultrasound in Obstetrics and Gynecology. © 2019 The Authors. Ultrasound in Obstetrics &amp; Gynecology published by John Wiley &amp; Sons Ltd on behalf of the International Society of Ultrasound in Obstetrics and Gynecology.</t>
  </si>
  <si>
    <t>Burnell,M.,Gentry-Maharaj,A.,Glazer,C.,Karpinskyj,C.,Ryan,A.,Apostolidou,S.,Kalsi,J.K.,Parmar,M.,Campbell,S.,Jacobs,I.,Menon,U.</t>
  </si>
  <si>
    <t>https://www.scopus.com/inward/record.uri?eid=2-s2.0-85084092314&amp;doi=10.1002%2Fuog.21894&amp;partnerID=40&amp;md5=7718700c400c72da49c99e3c3738ba3c</t>
  </si>
  <si>
    <t>breast cancer,cancer biomarker,cumulative estrogen,endometrial thickness,joint models,lung cancer,ovarian cancer,transvaginal ultrasound</t>
  </si>
  <si>
    <t>Ultrasound in Obstetrics and Gynecology</t>
  </si>
  <si>
    <t>Should body mass index replace age to drive the decision for endometrial sampling in premenopausal women with abnormal uterine bleeding?</t>
  </si>
  <si>
    <t>This study aimed to evaluate risk factors for endometrial intraepithelial neoplasia/malignancy in premenopausal women with abnormal uterine bleeding or oligomenorrhea. Specifically, we aimed to elucidate whether body mass index (BMI) or age confers a higher risk.</t>
  </si>
  <si>
    <t>Helou Christine M,Zhao Zhiguo,Ding Tan,Anderson Ted L,Harvey Lara F B</t>
  </si>
  <si>
    <t>https://research.ebsco.com/linkprocessor/plink?id=2e8ccda6-f4cf-35dd-ab35-7c321407ee1c</t>
  </si>
  <si>
    <t>Colonic Neoplasms complications,Colonic Neoplasms pathology,Endometrial Hyperplasia complications,Endometrial Hyperplasia diagnosis,Endometrial Neoplasms complications,Endometrial Neoplasms diagnosis,Endometrial Neoplasms epidemiology,Uterine Diseases pathology,Uterine Neoplasms pathology,Adolescent,Adult,Body Mass Index,Endometrium pathology,Female,Humans,Middle Aged,Retrospective Studies,Uterine Hemorrhage epidemiology,Young Adult</t>
  </si>
  <si>
    <t>Gynecological endocrinology : the official journal of the International Society of Gynecological Endocrinology</t>
  </si>
  <si>
    <t>Similarity measurement on digital mammogram classification.</t>
  </si>
  <si>
    <t>Breast cancer is one of the dominant causes of death in the world. Mammography is the standard for early detection of breast cancer. In examining mammograms, the overall parenchyma pattern of the left and right breast was placed side by side for symmetry assessed of left and right breast tissue by radiologist. Thus, in building computer-aided diagnosis (CAD) system for screening mammography, it is necessary to adapt the working procedure of the radiologist. In this study, 30 training images and 30 testing images from Kotabaru Oncology Clinic in Yogyakarta were used. The first step was to enhance the image quality with median filter and contrast limited adaptive histogram equalization (CLAHE). Then, feature extraction was processed by histogram-based and by gray level co-occurrence matrix (GLCM) based. Furthermore, the similarity measurement process was used to measure the difference value between selected features, i.e. angular second moment (ASM), inverse difference moment (IDM), contrast, entropy based GLCM, and energy, on the left and right mammograms. This process was intended to assess the symmetry of left and right mammograms as radiologists do in mammography screening. The obtained results of the classification between normal and abnormal images with backpropagation algorithm were accuracy of 0.933, sensitivity of 0.833, and specificity of 1.000.</t>
  </si>
  <si>
    <t>Alimudin Erna,Nugroho Hanung Adi,Adji Teguh Bharata</t>
  </si>
  <si>
    <t>https://research.ebsco.com/linkprocessor/plink?id=990bfaa0-724a-3c5c-aae5-349fcdeeb92d</t>
  </si>
  <si>
    <t>Mammograms,Computer-aided diagnosis,Early detection of cancer,Feature extraction,Breast,Causes of death,Yogyakarta (Indonesia),Diagnostic Imaging Centers</t>
  </si>
  <si>
    <t>Telkomnika</t>
  </si>
  <si>
    <t xml:space="preserve">sin </t>
  </si>
  <si>
    <t>Identification of medical conditions using claims data is generally conducted with algorithms based on subject-matter knowledge. However, these claims-based algorithms (CBAs) are highly dependent on the knowledge level and not necessarily optimized for target conditions. We investigated whether machine learning methods can supplement researchers' knowledge of target conditions in building CBAs. Retrospective cohort study using a claims database combined with annual health check-up results of employees' health insurance programs for fiscal year 2016–17 in Japan (study population for hypertension, N = 631,289; diabetes, N = 152,368; dyslipidemia, N = 614,434). We constructed CBAs with logistic regression, k-nearest neighbor, support vector machine, penalized logistic regression, tree-based model, and neural network for identifying patients with three common chronic conditions: hypertension, diabetes, and dyslipidemia. We then compared their association measures using a completely hold-out test set (25% of the study population). Among the test cohorts of 157,822, 38,092, and 153,608 enrollees for hypertension, diabetes, and dyslipidemia, 25.4%, 8.4%, and 38.7% of them had a diagnosis of the corresponding condition. The areas under the receiver operating characteristic curve (AUCs) of the logistic regression with/without subject-matter knowledge about the target condition were.923/.921 for hypertension,.957/.938 for diabetes, and.739/.747 for dyslipidemia. The logistic lasso, logistic elastic-net, and tree-based methods yielded AUCs comparable to those of the logistic regression with subject-matter knowledge:.923-.931 for hypertension;.958-.966 for diabetes;.747-.773 for dyslipidemia. We found that machine learning methods can attain AUCs comparable to the conventional knowledge-based method in building CBAs.</t>
  </si>
  <si>
    <t>Hara Konan,Kobayashi Yasuki,Tomio Jun,Ito Yuki,Svensson Thomas,Ikesu Ryo,Chung Ung-il,Svensson Akiko Kishi</t>
  </si>
  <si>
    <t>https://research.ebsco.com/linkprocessor/plink?id=550dd360-7325-384c-91e2-90ab65966423</t>
  </si>
  <si>
    <t>Machine learning,Chronic diseases,Receiver operating characteristic curves,Naive Bayes classification,Support vector machines,Diagnosis</t>
  </si>
  <si>
    <t>site-specific cancer incidence by race and immigration status in Canada 2006-2015: a population-based data linkage study</t>
  </si>
  <si>
    <t>Background: Head and Neck Cancer (HNC) has a high incidence and prevalence in the worldwide population. The broad terminology associated with these diseases and their multimodality treatments generates large amounts of heterogeneous clinical data, which motivates the construction of a high-quality harmonization model to standardize this multi-source clinical data in terms of format and semantics. The use of ontologies and semantic techniques is a well-known approach to face this challenge. Objective: This work aims to provide a clinically reliable data model for HNC processes during all phases of the disease: prognosis, treatment, and follow-up. Therefore, we built the first ontology specifically focused on the HNC domain, named HeNeCOn (Head and Neck Cancer Ontology). Methods: First, an annotated dataset was established to provide a formal reference description of HNC. Then, 170 clinical variables were organized into a taxonomy, and later expanded and mapped to formalize and integrate multiple databases into the HeNeCOn ontology. The outcomes of this iterative process were reviewed and validated by clinicians and statisticians. Results: HeNeCOn is an ontology consisting of 502 classes, a taxonomy with a hierarchical structure, semantic definitions of 283 medical terms and detailed relations between them, which can be used as a tool for information extraction and knowledge management. Conclusion: HeNeCOn is a reusable, extendible and standardized ontology which establishes a reference data model for terminology structure and standard definitions in the Head and Neck Cancer domain. This ontology allows handling both current and newly generated knowledge in Head and Neck cancer research, by means of data linking and mapping with other public ontologies. © 2023 The Author(s)</t>
  </si>
  <si>
    <t>Hernandez,L.,Estevez-Priego,E.,Lopez-Perez,L.,Fernanda Cabrera-Umpiérrez,M.,Arredondo,M.T.,Fico,G.,Poli,T.,Rossi,S.,Martinelli,E.,Licitra,L.,Cavalieri,S.,De Cecco,L.,Canevari,S.,Scheckenbach,K.,Brakenhoff,R.H.,Nauta,I.,Hoebers,F.J.P.,Wesseling,F.W.R.,Trama,A.,Gatta,G.</t>
  </si>
  <si>
    <t>https://www.scopus.com/inward/record.uri?eid=2-s2.0-85177995568&amp;doi=10.1016%2Fj.ijmedinf.2023.105284&amp;partnerID=40&amp;md5=ab5dcba02fe5c0e05c446bb1a2138642</t>
  </si>
  <si>
    <t>Clinical information system,Data modeling,Data standardization,Head and neck cancer,Ontology,Ontology-based knowledge,Protégé</t>
  </si>
  <si>
    <t>SkinNet-14: a deep learning framework for accurate skin cancer classification using low-resolution dermoscopy images with optimized training time.</t>
  </si>
  <si>
    <t>The increasing incidence of skin cancer necessitates advancements in early detection methods, where deep learning can be beneficial. This study introduces SkinNet-14, a novel deep learning model designed to classify skin cancer types using low-resolution dermoscopy images. Unlike existing models that require high-resolution images and extensive training times, SkinNet-14 leverages a modified compact convolutional transformer (CCT) architecture to effectively process 32 × 32 pixel images, significantly reducing the computational load and training duration. The framework employs several image preprocessing and augmentation strategies to enhance input image quality and balance the dataset to address class imbalances in medical datasets. The model was tested on three distinct datasets—HAM10000, ISIC and PAD—demonstrating high performance with accuracies of 97.85%, 96.00% and 98.14%, respectively, while significantly reducing the training time to 2–8 s per epoch. Compared to traditional transfer learning models, SkinNet-14 not only improves accuracy but also ensures stability even with smaller training sets. This research addresses a critical gap in automated skin cancer detection, specifically in contexts with limited resources, and highlights the capabilities of transformer-based models that are efficient in medical image analysis.</t>
  </si>
  <si>
    <t>Al Mahmud Abdullah,Azam Sami,Khan Inam Ullah,Montaha Sidratul,Karim Asif,Haque Aminul,Zahid Hasan Md.,Brady Mark,Biswas Ritu,Jonkman Mirjam</t>
  </si>
  <si>
    <t>https://research.ebsco.com/linkprocessor/plink?id=a4407983-26b5-3df2-b343-a6348a5877cf</t>
  </si>
  <si>
    <t>Skin cancer,Tumor classification,Transformer models,Image analysis,Early detection of cancer,Deep learning</t>
  </si>
  <si>
    <t>Social Support and Treatment Delays in Breast Cancer Patients Within an Integrated Health Care System.</t>
  </si>
  <si>
    <t>We evaluated associations between social support and delays to surgery and adjuvant chemotherapy in a cohort of women with breast cancer (BC) from a large integrated healthcare system in Northern California.</t>
  </si>
  <si>
    <t>Kroenke Candyce H,Kwan Marilyn L,Gomez Scarlett L,Shim Veronica,Ergas Isaac J,Roh Janise,Kushi Lawrence H</t>
  </si>
  <si>
    <t>https://research.ebsco.com/linkprocessor/plink?id=b14833bc-8e98-3e04-a84a-83613b2e9245</t>
  </si>
  <si>
    <t>California,Breast Neoplasms psychology,Breast Neoplasms therapy,Social Support,Delivery of Health Care, Integrated,Time-to-Treatment statistics &amp; numerical data,Humans,Female,Middle Aged,Aged,California epidemiology,Adult,Chemotherapy, Adjuvant statistics &amp; numerical data,Mastectomy psychology,Mastectomy statistics &amp; numerical data,Neoplasm Staging,Treatment Delay</t>
  </si>
  <si>
    <t>Psycho-oncology</t>
  </si>
  <si>
    <t>Spatial epidemiology of cancer: A review of data sources, methods and risk factors</t>
  </si>
  <si>
    <t>Cancer is a major concern among chronic diseases today. Spatial epidemiology plays a relevant role in this matter and we present here a review of this subject, including a discussion of the literature in terms of the level of geographic data aggregation, risk factors and methods used to analyse the spatial distribution of patterns and spatial clusters. For this purpose, we performed a websearch in the Pubmed and Web of Science databases including studies published between 1979 and 2015. We found 180 papers from 63 journals and noted that spatial epidemiology of cancer has been addressed with more emphasis during the last decade with research based on data mostly extracted from cancer registries and official mortality statistics. In general, the research questions present in the reviewed papers can be classified into three different sets: i) analysis of spatial distribution of cancer and/or its temporal evolution; ii) risk factors; iii) development of data analysis methods and/or evaluation of results obtained from application of existing methods. This review is expected to help promote research in this area through the identification of relevant knowledge gaps. Cancer’s spatial epidemiology represents an important concern, mainly for public health policies design aimed to minimise the impact of chronic disease in specific populations. © R. Roquette et al., 2017 Licensee PAGEPress, Italy.</t>
  </si>
  <si>
    <t>Roquette,R.,Painho,M.,Nunes,B.</t>
  </si>
  <si>
    <t>https://www.scopus.com/inward/record.uri?eid=2-s2.0-85019209602&amp;doi=10.4081%2Fgh.2017.504&amp;partnerID=40&amp;md5=fb170e4b6d33de142a056a07adec192e</t>
  </si>
  <si>
    <t>Cancer,Geographic information systems,Review,Spatial epidemiology</t>
  </si>
  <si>
    <t>Geospatial Health</t>
  </si>
  <si>
    <t>Statin treatment is associated with survival in a nationally representative population of elderly women with epithelial ovarian cancer</t>
  </si>
  <si>
    <t>Objective Observational studies suggest that statin therapy for cardio-protection is associated with improved survival in cancer patients. We sought to evaluate the impact of statin treatment on ovarian cancer survival in a nationally representative elderly population. Methods The linked Surveillance, Epidemiology, and End Results (SEER) registries and Medicare claims data on patients diagnosed with epithelial ovarian cancer in 2007–2009 were used to extract data on statin prescription fills, population characteristics, primary treatment, comorbidity and survival. Cox regression models were used to examine the association between statin treatment and overall survival. Results Among the 1431 ovarian cancer patients who underwent surgical resection, 609 (42.6%) filled prescriptions for statin. The majority of statin-users (89%) were prescribed a lipophilic formulation. Mean overall survival among statin-users was 32.3 months compared to 28.8 months for non-users (p &lt; 0.0001). A 34% reduction in death was associated with statin therapy, independent of age, race, neighborhood median household income, stage, platinum therapy and comorbid conditions (HR = 0.66, 95% CI 0.55–0.81). Improved overall survival with statin use was observed for both serous (HR = 0.69, 95% CI 0.54–0.87) and non-serous (HR = 0.63, 95% CI 0.44–0.90) histologies. When statin treatment was categorized by lipophilicity and intensity, a significant survival benefit was limited to lipophilic statin users and those who took statins of moderate intensity. Conclusions This SEER-Medicare analysis demonstrates improvement in overall survival with lipophilic statin use after surgery in elderly patients with epithelial ovarian cancer. A clinical trial to evaluate the impact of statin treatment in ovarian cancer survival is warranted. © 2017 Elsevier Inc.</t>
  </si>
  <si>
    <t>Vogel,T.J.,Goodman,M.T.,Li,A.J.,Jeon,C.Y.</t>
  </si>
  <si>
    <t>https://www.scopus.com/inward/record.uri?eid=2-s2.0-85020228011&amp;doi=10.1016%2Fj.ygyno.2017.05.009&amp;partnerID=40&amp;md5=459d5a525d3fbd26dc5e4e076b26cd2d</t>
  </si>
  <si>
    <t>Ovarian cancer,Statin therapy</t>
  </si>
  <si>
    <t>Status and Recommendations of Technological and Data-Driven Innovations in Cancer Care: Focus Group Study.</t>
  </si>
  <si>
    <t>The status of the data-driven management of cancer care as well as the challenges, opportunities, and recommendations aimed at accelerating the rate of progress in this field are topics of great interest. Two international workshops, one conducted in June 2019 in Cordoba, Spain, and one in October 2019 in Athens, Greece, were organized by four Horizon 2020 (H2020) European Union (EU)-funded projects: BOUNCE, CATCH ITN, DESIREE, and MyPal. The issues covered included patient engagement, knowledge and data-driven decision support systems, patient journey, rehabilitation, personalized diagnosis, trust, assessment of guidelines, and interoperability of information and communication technology (ICT) platforms. A series of recommendations was provided as the complex landscape of data-driven technical innovation in cancer care was portrayed.</t>
  </si>
  <si>
    <t>Kondylakis Haridimos,Axenie Cristian,Kiran Bastola Dhundy,Katehakis Dimitrios G,Kouroubali Angelina,Kurz Daria,Larburu Nekane,Macía Iván,Maguire Roma,Maramis Christos,Marias Kostas,Morrow Philip,Muro Naiara,Núñez-Benjumea Francisco José,Rampun Andrik,Rivera-Romero Octavio,Scotney Bryan,Signorelli Gabriel,Wang Hui,Tsiknakis Manolis,Zwiggelaar Reyer</t>
  </si>
  <si>
    <t>https://research.ebsco.com/linkprocessor/plink?id=7e150e35-90bb-33b7-9d89-71b948f169ea</t>
  </si>
  <si>
    <t>Focus Groups methods,Neoplasms therapy,Data Analysis,Humans</t>
  </si>
  <si>
    <t>Strategies and techniques for quality control and semantic enrichment with multimodal data: a case study in colorectal cancer with eHDPrep.</t>
  </si>
  <si>
    <t>Background Integration of data from multiple domains can greatly enhance the quality and applicability of knowledge generated in analysis workflows. However, working with health data is challenging, requiring careful preparation in order to support meaningful interpretation and robust results. Ontologies encapsulate relationships between variables that can enrich the semantic content of health datasets to enhance interpretability and inform downstream analyses. Findings We developed an R package for electronic health data preparation, "eHDPrep," demonstrated upon a multimodal colorectal cancer dataset (661 patients, 155 variables; Colo-661); a further demonstrator is taken from The Cancer Genome Atlas (459 patients, 94 variables; TCGA-COAD). eHDPrep offers user-friendly methods for quality control, including internal consistency checking and redundancy removal with information-theoretic variable merging. Semantic enrichment functionality is provided, enabling generation of new informative "meta-variables" according to ontological common ancestry between variables, demonstrated with SNOMED CT and the Gene Ontology in the current study. eHDPrep also facilitates numerical encoding, variable extraction from free text, completeness analysis, and user review of modifications to the dataset. Conclusions eHDPrep provides effective tools to assess and enhance data quality, laying the foundation for robust performance and interpretability in downstream analyses. Application to multimodal colorectal cancer datasets resulted in improved data quality, structuring, and robust encoding, as well as enhanced semantic information. We make eHDPrep available as an R package from CRAN (https://cran.r-project.org/package=eHDPrep) and GitHub (https://github.com/overton-group/eHDPrep).</t>
  </si>
  <si>
    <t>Toner Tom M,Pancholi Rashi,Miller Paul,Forster Thorsten,Coleman Helen G,Overton Ian M</t>
  </si>
  <si>
    <t>https://research.ebsco.com/linkprocessor/plink?id=8af4eec4-cc23-367e-a195-4e991794553b</t>
  </si>
  <si>
    <t>Quality control,Electronic packaging,Colorectal cancer,Data integration,Medical informatics,Cancer case studies</t>
  </si>
  <si>
    <t>Strategies for Building Delivery Science in an Integrated Health Care System.</t>
  </si>
  <si>
    <t>Health systems today have increasing opportunities and imperatives to conduct delivery science, which is applied research that evaluates clinical or organizational practices that systems can implement or encourage. Examples include research on eliminating racial/ethnic disparities in hypertension management and on identifying the types of patients who can successfully use video visits. Clinical leaders and researchers often face barriers to delivery science, including limited funding, insufficient leadership support, lack of engagement between operational and research leaders, limited pools of research expertise, and lack of pathways to identify and develop ideas. We describe five key strategies we employed to address these barriers and develop a portfolio of delivery science programs in Kaiser Permanente Northern California. This portfolio now includes small and medium-sized grant programs, training programs for postdoctoral research fellows and experienced physician researchers, and a dedicated team that partners with clinicians to develop high-priority ideas and conduct small projects. Most of our approaches are consistent with frameworks used to develop delivery science by other health systems; some are innovative. Most of these strategies are adaptable by other health systems prepared to make long-range organizational commitments to mechanisms that foster partnerships between clinical leaders and researchers.</t>
  </si>
  <si>
    <t>Lieu Tracy A,Madvig Philip R</t>
  </si>
  <si>
    <t>https://research.ebsco.com/linkprocessor/plink?id=c2287611-8762-3153-aaca-e47607e1b9f7</t>
  </si>
  <si>
    <t>Delivery of Health Care, Integrated methods,Delivery of Health Care, Integrated trends,Health Personnel trends,Leadership,Humans</t>
  </si>
  <si>
    <t>Surveillance Colonoscopy in Older Stage i Colon Cancer Patients and the Association with Colon Cancer-Specific Mortality</t>
  </si>
  <si>
    <t>OBJECTIVES:Guideline-issuing groups differ regarding the recommendation that patients with stage I colon cancer receive surveillance colonoscopy after cancer-directed surgery. This observational comparative effectiveness study was conducted to evaluate the association between surveillance colonoscopy and colon cancer-specific mortality in early stage patients.METHODS:This was a retrospective cohort study of the Surveillance, Epidemiology, and End Results database combined with Medicare claims. Surveillance colonoscopy was assessed as a time-varying exposure up to 5 years after cancer-directed surgery with the following groups: no colonoscopy, one colonoscopy, and ≥ 2 colonoscopies. Inverse probability of treatment weighting was used to balance covariates. The time-dependent Cox regression model was used to obtain inverse probability of treatment weighting-adjusted hazard ratios (HRs), with 95% confidence intervals (CIs) for 5- and 10-year colon cancer, other cancer, and noncancer causes of death.RESULTS:There were 8,783 colon cancer cases available for analysis. Overall, compared with patients who received one colonoscopy, the no colonoscopy group experienced an increased rate of 10-year colon cancer-specific mortality (HR = 1.63; 95% CI 1.31-2.04) and noncancer death (HR = 1.36; 95% CI 1.25-1.49). Receipt of ≥ 2 colonoscopies was associated with a decreased rate of 10-year colon cancer-specific death (HR = 0.60; 95% CI 0.45-0.79), other cancer death (HR = 0.68; 95% CI 0.53-0.88), and noncancer death (HR = 0.69; 95% CI 0.62-0.76). Five-year cause-specific HRs were similar to 10-year estimates.DISCUSSION:These results support efforts to ensure that stage I patients undergo surveillance colonoscopy after cancer-directed surgery to facilitate early detection of new and recurrent neoplastic lesions. © 2020 Wolters Kluwer Health. All rights reserved.</t>
  </si>
  <si>
    <t>Hines,R.B.,Jiban,M.D.J.H.,Specogna,A.V.,Vishnubhotla,P.,Lee,E.,Troy,S.P.,Zhang,S.</t>
  </si>
  <si>
    <t>https://www.scopus.com/inward/record.uri?eid=2-s2.0-85086481928&amp;doi=10.14309%2Fajg.0000000000000537&amp;partnerID=40&amp;md5=0e618be983ba906663e620a8112c3af0</t>
  </si>
  <si>
    <t>Survival in stomach cancer: analysis of a national cancer information system and a population-based cancer registry in Colombia.</t>
  </si>
  <si>
    <t>Background: Stomach cancer is among the most frequent, is a leading cause of mortality in low- and middle-income countries. Assessing its survival is important to guide evidence-based health policies. Aims: To estimate stomach cancer survival in Colombia (2014-2019) with data from the National Cancer Information System (NCIS) and in Cali with data from the Cali Population Cancer Registry (RPCC) (1998-2017). Methods: NCIS estimated the overall 3-year net survival for 8,549 people, while RPCC estimated 5-year net survival for 6,776 people. Results: The 3-year net survival was 36.8% (95% CI: 35.5-38.1). Net survival was higher in people with special insurance (61.7%; 95% CI: 44.8-74.8) or third payer (40.5%; 95% CI: 38.7-42.3) than state insurance (30.7%; 95% CI: 28.7-32.8). It was also higher in women and people diagnosed at early stages. Multivariable analysis showed consistency with survival estimations with a higher risk of death in men, people with state insurance, and diagnosed at advanced stages. In Cali, the 5-year net survival remained stable in men during the last 20 years. In women the 5-year net survival in women increased 8.60 percentage points, equivalent to a 50% increase compared to the 1998-2002 period. For 2013-17, it was 19.1% (95%CI: 16.2-22.2) in men, and 24.8% (95% CI: 20.4-29.3) in women. Conclusions: Population survival estimates from the RPCC were lower than those observed in the NCIS. The differences in their methods and scope can explain variability. Nevertheless, our findings could be complementary to improve cancer control planning in the country.</t>
  </si>
  <si>
    <t>Bravo Luis Eduardo,Hernández Vargas Juliana Alexandra,Collazos Paola,García Luz Stella,Valbuena Ana María,Acuña Lizbeth</t>
  </si>
  <si>
    <t>https://www.ncbi.nlm.nih.gov/pmc/articles/PMC10226449</t>
  </si>
  <si>
    <t>Cancer Registries,Early Detection of Cancer,Epidemiology,Helicobacter pylori,Incidence,Prognosis,Stomach Cancer,Stomach Neoplasms,Survival Analysis</t>
  </si>
  <si>
    <t>Colomb Med (Cali)</t>
  </si>
  <si>
    <t>Symptom Clusters in Patients With Colorectal Cancer and Diabetes Over Time.</t>
  </si>
  <si>
    <t>OBJECTIVES: To examine symptoms and symptom clusters in patients with colorectal cancer (CRC) with or without diabetes at three key periods (0-6 months, 12-18 months, and 24-30 months) post-initial chemotherapy. SAMPLE &amp; SETTING: Patients with CRC from a cancer center in the midwestern United States between January 2007 and December 2017. METHODS &amp; VARIABLES: Eight of the most common symptoms (fatigue, gastrointestinal issues, depression, anxiety, peripheral neuropathy, physical function, cognition, and sleep disturbance) reported by patients with CRC and patients with diabetes were extracted from electronic health records. Exploratory factor analysis was used to identify symptom clusters, which were assessed for patterns and clinical relevance. RESULTS: Gastrointestinal issues and fatigue were the most prevalent symptoms in patients with CRC at each period. Across the three periods, patients with CRC and diabetes had more symptom clusters (n = 7) compared to patients with CRC without diabetes (n = 4). No stable symptom clusters were identified for either group. IMPLICATIONS FOR NURSING: Oncology clinicians must recognize that patients with CRC and diabetes may present with exacerbated symptoms or symptom clusters. Ongoing assessment and monitoring of patients with CRC and diabetes for symptoms and symptom clusters is important because they may be at an increased risk for higher symptom burden.</t>
  </si>
  <si>
    <t>Storey Susan,Xiao Luo,Jie Ren,Kun Huang,Von Ah Diane</t>
  </si>
  <si>
    <t>https://research.ebsco.com/linkprocessor/plink?id=e631aae5-6eda-3574-a4f4-c4e58eb3b8c9</t>
  </si>
  <si>
    <t>Research,Diabetes,Gastrointestinal diseases,Colorectal cancer,Treatment effectiveness,Patients' attitudes,Cronbach's alpha,Factor analysis,Descriptive statistics,Research funding,Electronic health records,Fatigue (Physiology),Data analysis software,Cluster analysis (Statistics),Symptoms,Midwest (U.S.)</t>
  </si>
  <si>
    <t>Oncology Nursing Forum</t>
  </si>
  <si>
    <t>Symptoms and signs of lung cancer prior to diagnosis: Case-control study using electronic health records from ambulatory care within a large US-based tertiary care centre</t>
  </si>
  <si>
    <t>Objective Lung cancer is the most common cause of cancer-related death in the USA. While most patients are diagnosed following symptomatic presentation, no studies have compared symptoms and physical examination signs at or prior to diagnosis from electronic health records (EHRs) in the USA. We aimed to identify symptoms and signs in patients prior to diagnosis in EHR data. Design Case-control study. Setting Ambulatory care clinics at a large tertiary care academic health centre in the USA. Participants, outcomes We studied 698 primary lung cancer cases in adults diagnosed between 1 January 2012 and 31 December 2019, and 6841 controls matched by age, sex, smoking status and type of clinic. Coded and free-text data from the EHR were extracted from 2 years prior to diagnosis date for cases and index date for controls. Univariate and multivariable conditional logistic regression were used to identify symptoms and signs associated with lung cancer at time of diagnosis, and 1, 3, 6 and 12 months before the diagnosis/index dates. Results Eleven symptoms and signs recorded during the study period were associated with a significantly higher chance of being a lung cancer case in multivariable analyses. Of these, seven were significantly associated with lung cancer 6 months prior to diagnosis: haemoptysis (OR 3.2, 95% CI 1.9 to 5.3), cough (OR 3.1, 95% CI 2.4 to 4.0), chest crackles or wheeze (OR 3.1, 95% CI 2.3 to 4.1), bone pain (OR 2.7, 95% CI 2.1 to 3.6), back pain (OR 2.5, 95% CI 1.9 to 3.2), weight loss (OR 2.1, 95% CI 1.5 to 2.8) and fatigue (OR 1.6, 95% CI 1.3 to 2.1). Conclusions Patients diagnosed with lung cancer appear to have symptoms and signs recorded in the EHR that distinguish them from similar matched patients in ambulatory care, often 6 months or more before diagnosis. These findings suggest opportunities to improve the diagnostic process for lung cancer. © Author(s) (or their employer(s)) 2023</t>
  </si>
  <si>
    <t>Prado,M.G.,Kessler,L.G.,Au,M.A.,Burkhardt,H.A.,Zigman Suchsland,M.,Kowalski,L.,Stephens,K.A.,Yetişgen,M.,Walter,F.M.,Neal,R.D.,Lybarger,K.,Thompson,C.A.,Al Achkar,M.,Sarma,E.A.,Turner,G.,Farjah,F.,Thompson,M.J.</t>
  </si>
  <si>
    <t>https://www.scopus.com/inward/record.uri?eid=2-s2.0-85153424212&amp;doi=10.1136%2Fbmjopen-2022-068832&amp;partnerID=40&amp;md5=5cec3305bcc66d5f6f37f8186905ff02</t>
  </si>
  <si>
    <t>Health informatics,PRIMARY CARE,Respiratory tract tumours,Thoracic medicine</t>
  </si>
  <si>
    <t>Synchronous/metachronous endometrial and colorectal malignancies in Taiwanese women: a population-based nationwide study</t>
  </si>
  <si>
    <t>Introduction: Endometrial cancer (EC) and colorectal cancer (CRC) may share a common genetic background. In a subset of patients, the two malignancies can coexist either at the time of diagnosis (synchronous) or develop consequently (metachronous). The purpose of this nationwide, population-based study was to investigate the occurrence and clinical outcomes of synchronous/metachronous EC/CRC in Taiwanese women. Materials and methods: Data for women diagnosed with EC and/or CRC between 2007 and 2015 were retrospectively retrieved from the nationwide Taiwan Cancer Registry. Mortality data were obtained from the National Death Registry. Women with synchronous/metachronous EC/CRC versus EC or CRC were compared in terms of clinical characteristics and outcomes. Results: Of the 62,764 Taiwanese women diagnosed with EC and/or CRC during the study period, 167 (0.3%) had synchronous/metachronous EC/CRC. Among them, 72 cases (43.1%) presented with EC followed by CRC, 66 (39.5%) with CRC followed by EC, and 29 (17.4%) with synchronous EC/CRC. Kaplan–Meier estimates for time-to-event data revealed that the 2-year risk rates of developing a metachronous tumor of interest (CRC or EC) in women diagnosed with an initial EC and CRC were 39.6% and 42.1%, respectively. The 5-year overall survival rates of women with metachronous EC/CRC who had an initial diagnosis of EC, CRC, and synchronous EC/CRC were 73.9%, 70.9%, and 37.0%, respectively. Conclusions: Endometrial cancer is the most common first tumor in Taiwanese women with metachronous EC/CRC. The 2-year risk rates of developing a metachronous tumor of interest (CRC or EC) in women diagnosed with an initial EC and CRC are not negligible. Surveillance for CRC is recommended for all women diagnosed with EC. The clinical outcomes of synchronous EC/CRC are markedly less favorable. © 2021, The Author(s), under exclusive licence to Springer-Verlag GmbH Germany, part of Springer Nature.</t>
  </si>
  <si>
    <t>Chao,A.,Wu,R.-C.,Chao,A.-S.,Chang,W.-Y.,Wu,C.-H.,Lai,C.-H.,Yang,L.-Y.</t>
  </si>
  <si>
    <t>https://www.scopus.com/inward/record.uri?eid=2-s2.0-85122699728&amp;doi=10.1007%2Fs00404-021-06296-0&amp;partnerID=40&amp;md5=9d96b5b7d0b93bb8d6b8a241d821ef5a</t>
  </si>
  <si>
    <t>Colorectal cancer,Endometrial cancer,Metachronous tumors,Synchronous tumors,Taiwan</t>
  </si>
  <si>
    <t>Archives of Gynecology and Obstetrics</t>
  </si>
  <si>
    <t>Technical note: A knowledge graph approach to registering tumour specific data of patient-candidates for proton therapy in the Netherlands.</t>
  </si>
  <si>
    <t xml:space="preserve">The registration of multi-source radiation oncology data is a time-consuming and labour-intensive procedure. The standardisation of data collection offers the possibility for the acquisition of quality data for research and clinical purposes. With this study, we present an overview of the different tumour group data lists in the Dutch national proton therapy registry. Furthermore, as a representative example of the workings of these different tumour-specific knowledge graphs, we present the FAIR (Findable, Accessible, Interoperable, Reusable) data principles-compliant knowledge graph approach describing the head and neck tumour variables using radiotherapy domain ontologies and semantic web technologies. Our goal is to provide the radiotherapy community with a flexible and interoperable data model for data exchange between centres. We highlight data variables that are needed for models used in the model-based approach (MBA), which ensures a fair selection of patients that will benefit most from proton therapy. [ABSTRACT FROM AUTHOR] </t>
  </si>
  <si>
    <t>1,1,1,1,1,1,1,2,2,13,13,1</t>
  </si>
  <si>
    <t>https://research.ebsco.com/linkprocessor/plink?id=c339d57e-1a3b-3161-b4dd-d672fa926239</t>
  </si>
  <si>
    <t>Ten Topics to Get Started in Medical Informatics Research.</t>
  </si>
  <si>
    <t>The vast and heterogeneous data being constantly generated in clinics can provide great wealth for patients and research alike. The quickly evolving field of medical informatics research has contributed numerous concepts, algorithms, and standards to facilitate this development. However, these difficult relationships, complex terminologies, and multiple implementations can present obstacles for people who want to get active in the field. With a particular focus on medical informatics research conducted in Germany, we present in our Viewpoint a set of 10 important topics to improve the overall interdisciplinary communication between different stakeholders (eg, physicians, computational experts, experimentalists, students, patient representatives). This may lower the barriers to entry and offer a starting point for collaborations at different levels. The suggested topics are briefly introduced, then general best practice guidance is given, and further resources for in-depth reading or hands-on tutorials are recommended. In addition, the topics are set to cover current aspects and open research gaps of the medical informatics domain, including data regulations and concepts; data harmonization and processing; and data evaluation, visualization, and dissemination. In addition, we give an example on how these topics can be integrated in a medical informatics curriculum for higher education. By recognizing these topics, readers will be able to (1) set clinical and research data into the context of medical informatics, understanding what is possible to achieve with data or how data should be handled in terms of data privacy and storage; (2) distinguish current interoperability standards and obtain first insights into the processes leading to effective data transfer and analysis; and (3) value the use of newly developed technical approaches to utilize the full potential of clinical data.</t>
  </si>
  <si>
    <t>Wolfien Markus,Ahmadi Najia,Fitzer Kai,Grummt Sophia,Heine Kilian-Ludwig,Jung Ian-C,Krefting Dagmar,Kühn Andreas,Peng Yuan,Reinecke Ines,Scheel Julia,Schmidt Tobias,Schmücker Paul,Schüttler Christina,Waltemath Dagmar,Zoch Michele,Sedlmayr Martin</t>
  </si>
  <si>
    <t>https://research.ebsco.com/linkprocessor/plink?id=5c5ddbab-3dfc-3de4-aefe-bf83dcd3b502</t>
  </si>
  <si>
    <t>Germany,Medical Informatics,Humans,Curriculum,Algorithms,Germany</t>
  </si>
  <si>
    <t>Ten-year survival rates for women of Grand Bahama Island, the Bahamas, diagnosed with breast cancer in 1988–2002</t>
  </si>
  <si>
    <t>A total of 150 women from Grand Bahama Island, The Bahamas, with cancer of the breast were followed up for 10 years post-diagnosis to assess survival rates, not only generally, but also by age and stage of disease at diagnosis, the presence or absence of axillary lymph node metastases, the treatment modalities received, and the diagnostic periods. The patients’ medical records and the death registers of the Medical Records Department of Rand Memorial Hospital (RMH), Grand Bahama Island, supplemented with data from the ledgers of the Pathology Department of RMH and from The Bahamas’ national death register, were utilized. By Pearson Chi-square and Kaplan-Meier survival analysis, females who were 40 years old or younger lived significantly longer (71.2% of whom for at least 10 years; mean: 213.8 months) than those who were older than 40 years (42.9% of whom for at least 10 years; mean: 167.9 months). The absence or presence of axillary lymph node metastases also had a bearing on survival, with 71.9% surviving at least 10 years (mean: 243.9 months) versus 32.7% (mean: 108.1 months) respectively. Despite the accepted importance of the diagnostic stage of disease, the small sample size obtained allowed only a limited assessment of the influence of staging on the survival rates. Neither the treatment received nor the diagnostic periods had any significant influence on the survival rates. The establishment of a national cancer registry in The Bahamas would alleviate the problems due to retrieval of information and aid in the better management and follow-up of cancer. Because of a relatively young age at diagnosis, consideration must also be given to beginning mammography screening of Bahamian women at an age below 40 years. © University of the West Indies. All rights reserved.</t>
  </si>
  <si>
    <t>Brathwaite,A.F.,Brathwaite,N.V.</t>
  </si>
  <si>
    <t>https://www.scopus.com/inward/record.uri?eid=2-s2.0-85056124300&amp;doi=10.7727%2Fwimj.2016.419&amp;partnerID=40&amp;md5=5993ddbcefe631851121394047e2d8ad</t>
  </si>
  <si>
    <t>Age,Breast cancer,Cancer survival rates,Grand Bahama Island</t>
  </si>
  <si>
    <t>West Indian Medical Journal</t>
  </si>
  <si>
    <t>Text analysis framework for identifying mutations among non-small cell lung cancer patients from laboratory data</t>
  </si>
  <si>
    <t>Background: Laboratory data can provide great value to support research aimed at reducing the incidence, prolonging survival and enhancing outcomes of cancer. Data is characterized by the information it carries and the format it holds. Data captured in Alberta’s biomarker laboratory repository is free text, cluttered and rouge. Such data format limits its utility and prohibits broader adoption and research development. Text analysis for information extraction of unstructured data can change this and lead to more complete analyses. Previous work on extracting relevant information from free text, unstructured data employed Natural Language Processing (NLP), Machine Learning (ML), rule-based Information Extraction (IE) methods, or a hybrid combination between them. Methods: In our study, text analysis was performed on Alberta Precision Laboratories data which consisted of 95,854 entries from the Southern Alberta Dataset (SAD) and 6944 entries from the Northern Alberta Dataset (NAD). The data covers all of Alberta and is completely population-based. Our proposed framework is built around rule-based IE methods. It incorporates topics such as Syntax and Lexical analyses to achieve deterministic extraction of data from biomarker laboratory data (i.e., Epidermal Growth Factor Receptor (EGFR) test results). Lexical analysis compromises of data cleaning and pre-processing, Rich Text Format text conversion into readable plain text format, and normalization and tokenization of text. The framework then passes the text into the Syntax analysis stage which includes the rule-based method of extracting relevant data. Rule-based patterns of the test result are identified, and a Context Free Grammar then generates the rules of information extraction. Finally, the results are linked with the Alberta Cancer Registry to support real-world cancer research studies. Results: Of the original 5512 entries in the SAD dataset and 5017 entries in the NAD dataset which were filtered for EGFR, the framework yielded 5129 and 3388 extracted EGFR test results from the SAD and NAD datasets, respectively. An accuracy of 97.5% was achieved on a random sample of 362 tests. Conclusions: We presented a text analysis framework to extract specific information from unstructured clinical data. Our proposed framework has shown that it can successfully extract relevant information from EGFR test results. © The Author(s) 2024.</t>
  </si>
  <si>
    <t>Yusuf,A.,Boyne,D.J.,O'Sullivan,D.E.,Brenner,D.R.,Cheung,W.Y.,Mirza,I.,Jarada,T.N.</t>
  </si>
  <si>
    <t>https://www.scopus.com/inward/record.uri?eid=2-s2.0-85187471130&amp;doi=10.1186%2Fs12874-024-02192-8&amp;partnerID=40&amp;md5=53c553f3ea559bd35b552f06e08cae38</t>
  </si>
  <si>
    <t>Context free grammar,EGFR,Information extraction,Laboratory data,Lexical analysis,NSCLC,Syntax analysis,Text analysis</t>
  </si>
  <si>
    <t>Text Mining for Building Biomedical Networks Using Cancer as a Case Study.</t>
  </si>
  <si>
    <t>In the assembly of biological networks it is important to provide reliable interactions in an effort to have the most possible accurate representation of real-life systems. Commonly, the data used to build a network comes from diverse high-throughput essays, however most of the interaction data is available through scientific literature. This has become a challenge with the notable increase in scientific literature being published, as it is hard for human curators to track all recent discoveries without using efficient tools to help them identify these interactions in an automatic way. This can be surpassed by using text mining approaches which are capable of extracting knowledge from scientific documents. One of the most important tasks in text mining for biological network building is relation extraction, which identifies relations between the entities of interest. Many interaction databases already use text mining systems, and the development of these tools will lead to more reliable networks, as well as the possibility to personalize the networks by selecting the desired relations. This review will focus on different approaches of automatic information extraction from biomedical text that can be used to enhance existing networks or create new ones, such as deep learning state-of-the-art approaches, focusing on cancer disease as a case-study.</t>
  </si>
  <si>
    <t>Conceição Sofia I. R.,Couto Francisco M.</t>
  </si>
  <si>
    <t>https://research.ebsco.com/linkprocessor/plink?id=b385af5a-db7e-3c39-8fe5-fedd4f39de8e</t>
  </si>
  <si>
    <t>Deep learning,Scientific literature,Science publishing,Biological networks,Scientific knowledge,Book Publishers,Cancer case studies</t>
  </si>
  <si>
    <t>Biomolecules (2218-273X)</t>
  </si>
  <si>
    <t>Text mining of verbal autopsy narratives to extract mortality causes and most prevalent diseases using natural language processing.</t>
  </si>
  <si>
    <t>Mapundu Michael Tonderai,Kabudula Chodziwadziwa Whiteson,Musenge Eustasius,Olago Victor,Celik Turgay</t>
  </si>
  <si>
    <t>https://research.ebsco.com/linkprocessor/plink?id=a9ce32b6-354d-3644-8fb5-4add629428ee</t>
  </si>
  <si>
    <t>Data Mining methods,Natural Language Processing,Cause of Death,Autopsy methods,Humans,Retrospective Studies,Narration,Prevalence</t>
  </si>
  <si>
    <t>THE 2020 AAPM ANNUAL MEETING PROGRAM.</t>
  </si>
  <si>
    <t>https://research.ebsco.com/linkprocessor/plink?id=135d0175-71f5-3879-8d9a-3382a4ab6a96</t>
  </si>
  <si>
    <t>The Association of Black Cardiologists (ABC) Cardiovascular Implementation Study (CVIS): A Research Registry Integrating Social Determinants to Support Care for Underserved Patients.</t>
  </si>
  <si>
    <t>African Americans, other minorities and underserved populations are consistently under- represented in clinical trials. Such underrepresentation results in a gap in the evidence base, and health disparities. The ABC Cardiovascular Implementation Study (CVIS) is a comprehensive prospective cohort registry that integrates social determinants of health. ABC CVIS uses real world clinical practice data to address critical gaps in care by facilitating robust participation of African Americans and other minorities in clinical trials. ABC CVIS will include diverse patients from collaborating ABC member private practices, as well as patients from academic health centers and Federally Qualified Health Centers (FQHCs). This paper describes the rationale and design of the ABC CVIS Registry. The registry will: (1) prospectively collect socio-demographic, clinical and biospecimen data from enrolled adults, adolescents and children with prioritized cardiovascular diseases; (2) Evaluate the safety and clinical outcomes of new therapeutic agents, including post marketing surveillance and pharmacovigilance; (3) Support National Institutes of Health (NIH) and industry sponsored research; (4) Support Quality Measures standards from the Center for Medicare and Medicaid Services (CMS) and Commercial Health Plans. The registry will utilize novel data and technology tools to facilitate mobile health technology application programming interface (API) to health system or practice electronic health records (EHR). Long term, CVIS will become the most comprehensive patient registry for underserved diverse patients with cardiovascular disease (CVD) and co morbid conditions, providing real world data to address health disparities. At least 10,000 patients will be enrolled from 50 sites across the United States.</t>
  </si>
  <si>
    <t>Ofili Elizabeth O,Schanberg Laura E,Hutchinson Barbara,Sogade Felix,Fergus Icilma,Duncan Phillip,Hargrove Joe,Artis Andre,Onyekwere Osita,Batchelor Wayne,Williams Marcus,Oduwole Adefisayo,Onwuanyi Anekwe,Ojutalayo Folake,Cross Jo Ann,Seto Todd B,Okafor Henry,Pemu Priscilla,Immergluck Lilly,Foreman Marilyn,Mensah Ernest Alema,Quarshie Alexander,Mubasher Mohamed,Baker Almelida,Ngare Alnida,Dent Andrew,Malouhi Mohamad,Tchounwou Paul,Lee Jae,Hayes Traci,Abdelrahim Muna,Sarpong Daniel,Fernandez-Repollet Emma,Sodeke Stephen O,Hernandez Adrian,Thomas Kevin,Dennos Anne,Smith David,Gbadebo David,Ajuluchikwu Janet,Kong B Waine,McCollough Cassandra,Weiler Sarah R,Natter Marc D,Mandl Kenneth D,Murphy Shawn</t>
  </si>
  <si>
    <t>https://research.ebsco.com/linkprocessor/plink?id=7f10cdf1-7d08-35ee-89b2-f291f4410d31</t>
  </si>
  <si>
    <t>Georgia,Black or African American statistics &amp; numerical data,Social Determinants of Health statistics &amp; numerical data,Vulnerable Populations statistics &amp; numerical data,Georgia,Humans,Prospective Studies,Registries</t>
  </si>
  <si>
    <t>The BC Generations Project as a Tumor Tissue Resource for Cancer Research</t>
  </si>
  <si>
    <t>Population-based cohort studies can be a resource for tumor specimens, annotated with demographic, lifestyle, and health history data, that support innovative studies of cancer. Our aim was to establish and test a process for accessing tumor samples, held at pathology laboratories around British Columbia (BC), for participants of the BC Generations Project (BCGP). Through the BC Cancer Registry, we identified pathology reports for 1100 (93%) of the 1180 incident solid cancer cases diagnosed in BCGP as of 2019. Using manually abstracted data from the reports, we successfully retrieved 183 (92%) of the 200 formalin-fixed, paraffin-embedded (FFPE) blocks (breast, lung, bladder, and pancreas cancer cases) that we requested from pathology laboratories. No important differences in retrieval rates by cancer site, sample location (Greater Vancouver vs. Outside Greater Vancouver), sample type (biopsy vs. excision) or year of diagnosis were identified. A text mining solution recently implemented by the Registry will allow us to automate the process for data abstraction and should capture pathology reports for 100% of all newly diagnosed BCGP cancer cases moving forward. This will further enhance the utility of BCGP as a high-quality tumor tissue research resource. © 2022 by the authors. Licensee MDPI, Basel, Switzerland.</t>
  </si>
  <si>
    <t>Zanif,U.,Chu,J.,Simkin,J.,Dummer,T.,Woods,R.,Bélanger,E.,Bhatti,P.</t>
  </si>
  <si>
    <t>https://www.scopus.com/inward/record.uri?eid=2-s2.0-85125218494&amp;doi=10.3390%2Fcurroncol29020107&amp;partnerID=40&amp;md5=2e51a9e79557067ca3e273885da880b2</t>
  </si>
  <si>
    <t>Cohort study,Tumor repository,Tumor tissue</t>
  </si>
  <si>
    <t>The challenge of sustainability in healthcare systems: Frequency and cost of inappropriate patterns of breast cancer care (the E.Pic.A study)</t>
  </si>
  <si>
    <t>Objectives In a context of decreasing economic health resources and a rise in health needs, it is urgent to face this sustainability crisis through the analysis of healthcare expenditures. Wastages, deriving from inappropriate interventions, erode resources which could be reallocated to high-value activities. To identify these areas of wastages, we developed a method for combining and analyzing data from multiple sources. Here we report the preliminary results of a retrospective cohort study evaluating the performance of breast cancer (BC) care at IRST, an Italian cancer institute. Materials and methods Four data sources gathered in a real-world setting (a clinical database, two administrative databases and a cancer registry) were linked. Essential Key Performance Indexes (KPIs) in the pattern of BC diagnosis (KPI 1 and 2) and treatment (KPI 3 and 4) based on current guidelines were developed by a board of professionals. The costs of inappropriate examinations were associated with the diagnostic KPIs. Results We found that 2798 patients treated at IRST from January 2010 to June 2016 received a total of 2516 inappropriate examinations accounting for € 573,510.80. Linkage from multiple routine healthcare data sources is feasible: it allows the measurement of important KPIs specifically designed for BC care, and the identification of areas of low-value use of the resources. Conclusion If systematically applied, this method could help provide a complete picture of inappropriateness and waste, redirect these resources to higher-value interventions for patients, and fill the gap between proper use of the resources and the best clinical results. © 2017 The Authors</t>
  </si>
  <si>
    <t>Massa,I.,Balzi,W.,Burattini,C.,Gentili,N.,Bucchi,L.,Nanni,O.,Gallegati,D.,Pierini,A.,Amadori,D.,Falcini,F.,Altini,M.</t>
  </si>
  <si>
    <t>https://www.scopus.com/inward/record.uri?eid=2-s2.0-85019832100&amp;doi=10.1016%2Fj.breast.2017.05.007&amp;partnerID=40&amp;md5=b3add22dfc4317871ede1b51d5c9247e</t>
  </si>
  <si>
    <t>Appropriateness,Breast cancer,Healthcare systems,Real-world evidence,Sustainability</t>
  </si>
  <si>
    <t>Breast</t>
  </si>
  <si>
    <t>The concomitant use of tyrosine kinase inhibitors and proton pump inhibitors: Prevalence, predictors, and impact on survival and discontinuation of therapy in older adults with cancer</t>
  </si>
  <si>
    <t>Background: The concomitant use of tyrosine kinase inhibitors (TKIs) and proton pump inhibitors (PPIs) is a significant concern because of potential drug-drug interaction that reduces TKI absorption, thus potentially reducing the effectiveness of TKIs. The objective of this study was to evaluate the prevalence and predictors of concomitant TKI-PPI receipt and its impact on survival and therapy discontinuation in older adults with cancer. Methods: This retrospective study used linked Surveillance, Epidemiology, and End Results-Medicare data for the years 2007 through 2012. In total, 12,538 patients with lung cancer, renal cell cancer, chronic myelogenous leukemia, liver cancer, or pancreatic cancer were included. The primary exposure variable was concomitant receipt of TKI-PPI, defined as at least 30 days of PPI use in the first 90 days from the start of the TKI (exposure period). The outcomes measured were overall survival and discontinuation of therapy in 90 days and 1 year after the end of the exposure period. Cox proportional-hazards regression with inverse probability of treatment weighting was used to evaluate the association between exposure and outcome. Results: The overall prevalence of TKI-PPI receipt was 22.7%. Predictors that were associated with increased use included polypharmacy and prior PPI receipt. TKI-PPI use decreased survival in 90 days (hazard ratio, 1.16; 95% confidence interval, 1.05-1.28) and in 1 year (hazard ratio, 1.10; 95% confidence interval, 1.04-1.18) but was not associated with discontinuation. Conclusions: Nearly 1 in 4 older adults with cancer who receive TKIs also receive PPIs concomitantly, and concomitant use is associated with an increased risk of death. Concerted efforts to manage medications are needed to identify and reduce the receipt of PPIs when TKIs are initiated. © 2019 American Cancer Society</t>
  </si>
  <si>
    <t>Sharma,M.,Holmes,H.M.,Mehta,H.B.,Chen,H.,Aparasu,R.R.,Shih,Y.-C.T.,Giordano,S.H.,Johnson,M.L.</t>
  </si>
  <si>
    <t>https://www.scopus.com/inward/record.uri?eid=2-s2.0-85059526195&amp;doi=10.1002%2Fcncr.31917&amp;partnerID=40&amp;md5=154f6aa40d7581e9a959c05b2e04258b</t>
  </si>
  <si>
    <t>and End Results (SEER)-Medicare,drug-drug interaction,elderly,Epidemiology,Medicare Part D,polypharmacy,predictors,prevalence,proton pump inhibitors,Surveillance,survival,tyrosine kinase inhibitors</t>
  </si>
  <si>
    <t>The effect of postoperative infection on survival in patients with glioblastoma</t>
  </si>
  <si>
    <t>OBJECTIVE Glioblastoma is a primary glial neoplasm with a median survival of approximately 1 year. There are anecdotal reports that postoperative infection may confer a survival advantage in patients with glioblastoma. However, only a few case reports in the literature, along with 2 retrospective cohort studies, show some potential link between infection and prolonged survival in patients with glioblastoma. The objective of this study was to evaluate the effect of postoperative infection in patients with glioblastoma using a large national database. METHODS The linked Surveillance, Epidemiology, and End Results (SEER)-Medicare database was searched to identify patients 66 years of age and older with glioblastoma, with and without infection, from 1997 to 2010. The primary outcome was survival after diagnosis. The statistical analysis was performed with a graphical representation using Kaplan- Meier curves, univariate analysis with the log-rank test, and multivariate analysis with proportional hazards modeling. RESULTS A total of 3784 patients with glioblastoma were identified from the database, and from these, 369 (9.8%) had postoperative infection within 1 month of surgery. In patients with glioblastoma who had an infection within 1 month of surgery, there was no significant difference in survival (median 5 months) compared with patients with no infection (median 6 months; p = 0.17). The study also showed that older age, increased Gagne comorbidity score, and having diabetes may be negatively associated with survival. CONCLUSIONS Infection after craniotomy within 1 month was not associated with a survival benefit in patients with glioblastoma.</t>
  </si>
  <si>
    <t>Chen,Y.-R.,Ugiliweneza,B.,Burton,E.,Woo,S.Y.,Boakye,M.,Skirboll,S.</t>
  </si>
  <si>
    <t>https://www.scopus.com/inward/record.uri?eid=2-s2.0-85030528195&amp;doi=10.3171%2F2016.8.JNS16836&amp;partnerID=40&amp;md5=f24246e6b90cc3182e23007ac2ac9369</t>
  </si>
  <si>
    <t>Glioblastoma,Oncology,Outcome,Postoperative infection,SEER Medicare database</t>
  </si>
  <si>
    <t>Journal of Neurosurgery</t>
  </si>
  <si>
    <t>The FAIR AOP roadmap for 2025: Advancing findability, accessibility, interoperability, and re-usability of adverse outcome pathways.</t>
  </si>
  <si>
    <t>Adverse Outcome Pathways (AOPs) describe the mechanistic interactions of biological entities with a stressor (chemical, nanomaterial, radiation, virus, etc.) that produce an adverse response. How these interactions and associations are catalogued contributes to our ability to understand mechanistic effects and apply this knowledge to New Approach Methods (NAMs) that have the potential to reduce animal testing in chemical, biological, and material safety assessments. Making AOP data align with FAIR (Findable, Accessible, Interoperable, and Reusable) metadata standards relies on technical tools that implement and process AOP data and related metadata, and the establishment of coordinated and consensus computational bioinformatic methods. Herein current efforts in addressing the FAIRification of AOP mechanistic data and metadata, as well as the international, collaborative efforts to document, and improve the (re)-use and reliability of AOP information will be described. These coordinated efforts contribute to the establishment of a directive for the processing and storing of standardized AOP mechanistic data in the AOP-Wiki repository, and application of these data to next generation risk assessment.</t>
  </si>
  <si>
    <t>Mortensen Holly M,Gromelski Maciej,Hench Ginnie,Martens Marvin,Wittwehr Clemens,Kumar Saurav,Kumar Vikas,Audouze Karine,Virvilis Vassilis,Nymark Penny,Angrish Michelle,Lynch Iseult,Edwards Stephen,Magagna Barbara,Wojewodzic Marcin W,FAIR AOP Cluster Working Group</t>
  </si>
  <si>
    <t>https://research.ebsco.com/linkprocessor/plink?id=f2b52fd9-9865-3d5a-8606-a1263db98fd0</t>
  </si>
  <si>
    <t>Computational toxicology (Amsterdam, Netherlands)</t>
  </si>
  <si>
    <t>The importance of health-related quality of life (HRQoL) assessment in oncology care for adolescents and young adults (AYA).</t>
  </si>
  <si>
    <t>Introduction. Patient-Reported Outcome Measures (PROM) are questionnaires completed by patients to assess their perceptions of health status and health-related quality of life (HRQoL). Health-related quality of life encompasses various domains of functioning (for example physical, emotional, social) and significant symptoms (for example pain, fatigue, gastrointestinal disturbances). Material and methods. The scientific literature was systematically reviewed to investigate the role and international experiences in assessing health-related quality of life (HRQoL) in oncology care for adolescents and young adults (AYA). Results. Ensuring high-quality care and improved health outcomes is essential within all healthcare systems. Monitoring outcomes such as survival, HRQoL, school or work participation, and social engagement is vital in oncology. Health-related quality of life assessment can enhance cancer care by identifying physical or psychological issues that might go undetected and can be used to tailor treatment approaches. Conclusions. Healthcare systems should focus on an integrated approach to HRQoL assessment that encompasses both physical and psychosocial aspects to effectively support adolescents and young adults in their coping with cancer disease.</t>
  </si>
  <si>
    <t>Borowska Mariola W.,Sikora-Koperska Anna</t>
  </si>
  <si>
    <t>https://research.ebsco.com/linkprocessor/plink?id=1e00cb1f-4e6b-303e-9290-6cfe704e13a9</t>
  </si>
  <si>
    <t>Quality of life,Young adults,Scientific literature,Cancer treatment,Patients' attitudes,Psycho-oncology</t>
  </si>
  <si>
    <t>Nowotwory</t>
  </si>
  <si>
    <t>The Kaiser Permanente Research Bank Cancer Cohort: a collaborative resource to improve cancer care and survivorship.</t>
  </si>
  <si>
    <t>The Kaiser Permanente Research Bank (KPRB) is collecting biospecimens and surveys linked to electronic health records (EHR) from approximately 400,000 adult KP members. Within the KPRB, we developed a Cancer Cohort to address issues related to cancer survival, and to understand how genetic, lifestyle and environmental factors impact cancer treatment, treatment sequelae, and prognosis. We describe the Cancer Cohort design and implementation, describe cohort characteristics after 5 years of enrollment, and discuss future directions.</t>
  </si>
  <si>
    <t>Feigelson Heather Spencer,Clarke Christina L,Van Den Eeden Stephen K,Weinmann Sheila,Burnett-Hartman Andrea N,Rowell Sarah,Scott Shauna Goldberg,White Larissa L,Ter-Minassian Monica,Honda Stacey A A,Young Deborah R,Kamineni Aruna,Chinn Terrence,Lituev Alexander,Bauck Alan,McGlynn Elizabeth A</t>
  </si>
  <si>
    <t>https://research.ebsco.com/linkprocessor/plink?id=a94736f4-e2e2-3c99-a7a4-164d8098d0a8</t>
  </si>
  <si>
    <t>United States,Biological Specimen Banks,Cancer Survivors statistics &amp; numerical data,Neoplasms,Quality Improvement,Adolescent,Adult,Aged,Cohort Studies,Electronic Health Records,Female,Humans,Insurance, Health,Male,Middle Aged,Registries,United States,Young Adult</t>
  </si>
  <si>
    <t>The Prediagnostic General Practitioners' Pathway of Gastrointestinal Stromal Tumor Patients: A Real-World Data Study.</t>
  </si>
  <si>
    <t>Simple Summary: Gastrointestinal stromal tumors (GISTs) are rare digestive tract cancers that are often challenging to diagnose early due to nonspecific symptoms. General practitioners (GPs) are typically the first to evaluate these symptoms, making them crucial for early detection. However, limited research has examined how GIST patients seek medical care before diagnosis. This study investigates GP visits, reported diagnoses, and prescribed medications in the year preceding a GIST diagnosis. Our findings indicate that GIST patients attend more frequent GP visits, with a significant increase in the months leading up to diagnosis, often due to digestive issues and anemia. Future research should analyze GP records in greater detail to refine strategies for earlier recognition and intervention, eventually leading to faster diagnosis and better patient outcomes. Background/Objectives: Gastrointestinal stromal tumors (GISTs) are rare mesenchymal tumors of the gastrointestinal (GI) tract, predominantly driven by KIT or PDGFRα oncogene mutations. Nonspecific symptoms contribute to diagnostic delays, with general practitioners (GPs) playing a pivotal role in early detection. However, studies on GIST-specific primary care pathways are limited. This study examines GP contacts, diagnoses, and prescribed drugs in primary care during the 12 months preceding GIST diagnosis. Methods: This case-control study utilized data from the Netherlands Cancer Registry and Nivel Primary Care Database. It included 294 GIST patients diagnosed between 2010 and 2020 and 576 matched cancer-free controls. GP contacts, diagnoses, and newly prescribed drugs were analyzed across two time intervals: 0–4 and 5–12 months prediagnosis. Statistical comparisons were conducted using the Wilcoxon rank-sum test and descriptive analyses. Results: GIST cases had a median of six GP contacts (IQR 4–11) in the 12 months prediagnosis versus three (IQR 2–6) for controls (p &lt; 0.05). Contacts increased 4 months before diagnosis, peaking 1 month prior. Common diagnoses in the 4-month interval included malignant neoplasms of the stomach (27.9%) and other digestive sites (27.6% and 11.2%), abdominal pain (9.5%), and iron deficiency anemia (9.5%). Newly prescribed drugs included proton pump inhibitors (13.9%) and osmotically acting laxatives (15.0%). Conclusions: This study highlights increased GP visits and specific reasons for these visits before GIST diagnosis. Future research should further examine GP records, not only through coded data but also unstructured data, and incorporate patient and GP perspectives to explore potential improvements in the diagnostic process.</t>
  </si>
  <si>
    <t>Holthuis Emily I.,Slijkhuis Verena,van der Graaf Winette T. A.,Drabbe Cas,van Houdt Winan J.,Schrage Yvonne M.,Olde Hartman Tim C.,Uijen Annemarie,Steeghs Neeltje,Bos Isabelle,Heins Marianne,Husson Olga</t>
  </si>
  <si>
    <t>https://research.ebsco.com/linkprocessor/plink?id=bdd75f59-5ff4-3070-83cf-f3c28a856a02</t>
  </si>
  <si>
    <t>Gastrointestinal tumors,Iron deficiency anemia,Medical prescriptions,Stomach tumors,Primary health care,Abdominal pain,Laxatives,Reporting of diseases,Descriptive statistics,Mann Whitney U Test,Metastasis,Case-control method,Proton pump inhibitors,Netherlands,Pharmaceutical and medicine manufacturing,Pharmaceuticals and pharmacy supplies merchant wholesalers</t>
  </si>
  <si>
    <t>The Role of Artificial Intelligence in Early Cancer Diagnosis.</t>
  </si>
  <si>
    <t>Simple Summary: Diagnosing cancer at an early stage increases the chance of performing effective treatment in many tumour groups. Key approaches include screening patients who are at risk but have no symptoms, and rapidly and appropriately investigating those who do. Machine learning, whereby computers learn complex data patterns to make predictions, has the potential to revolutionise early cancer diagnosis. Here, we provide an overview of how such algorithms can assist doctors through analyses of routine health records, medical images, biopsy samples and blood tests to improve risk stratification and early diagnosis. Such tools will be increasingly utilised in the coming years. Improving the proportion of patients diagnosed with early-stage cancer is a key priority of the World Health Organisation. In many tumour groups, screening programmes have led to improvements in survival, but patient selection and risk stratification are key challenges. In addition, there are concerns about limited diagnostic workforces, particularly in light of the COVID-19 pandemic, placing a strain on pathology and radiology services. In this review, we discuss how artificial intelligence algorithms could assist clinicians in (1) screening asymptomatic patients at risk of cancer, (2) investigating and triaging symptomatic patients, and (3) more effectively diagnosing cancer recurrence. We provide an overview of the main artificial intelligence approaches, including historical models such as logistic regression, as well as deep learning and neural networks, and highlight their early diagnosis applications. Many data types are suitable for computational analysis, including electronic healthcare records, diagnostic images, pathology slides and peripheral blood, and we provide examples of how these data can be utilised to diagnose cancer. We also discuss the potential clinical implications for artificial intelligence algorithms, including an overview of models currently used in clinical practice. Finally, we discuss the potential limitations and pitfalls, including ethical concerns, resource demands, data security and reporting standards.</t>
  </si>
  <si>
    <t>Hunter Benjamin,Hindocha Sumeet,Lee Richard W.</t>
  </si>
  <si>
    <t>https://research.ebsco.com/linkprocessor/plink?id=e6418aee-17c1-331c-9d5b-a2ea9214ddd4</t>
  </si>
  <si>
    <t>Tumor risk factors,Deep learning,Medical triage,Patient selection,Early detection of cancer,Artificial intelligence,Disease relapse,Risk assessment,Labor supply,Data security,Logistic regression analysis,Artificial neural networks,Medical practice,Algorithms,World Health Organization,Temporary Help Services,Computer systems design and related services (except video game design and development),Other Computer Related Services</t>
  </si>
  <si>
    <t>The Role of the Pathologist in Population Health.</t>
  </si>
  <si>
    <t>As part of its value-based care initiative, the College of American Pathologists has pursued research to better understand the role pathologists can have in population health.</t>
  </si>
  <si>
    <t>Gross David J,Kennedy Mary,Kothari Tarush,Scamurra David O,Wilkerson Myra L,Crawford James M,Cohen Michael B</t>
  </si>
  <si>
    <t>https://research.ebsco.com/linkprocessor/plink?id=1d68f89b-ef0d-344f-89f0-b81a31041fbe</t>
  </si>
  <si>
    <t>Pathologists,Pathology, Clinical methods,Population Health,Humans</t>
  </si>
  <si>
    <t>The Use of Clinical Registries in the United States: A Landscape Survey.</t>
  </si>
  <si>
    <t>Introduction: The use of information from clinical registries for improvement and value-based payment is increasing, yet information about registry use is not widely available. We conducted a landscape survey to understand registry uses, focus areas and challenges. The survey addressed the structure and organization of registry programs, as well as their purpose and scope. Setting: The survey was conducted by the National Quality Registry Network (NQRN), a community of organizations interested in registries. NQRN is a program of the PCPI, a national convener of medical specialty and professional societies and associations, which constitute a majority of registry stewards in the United States. Methods: We surveyed 152 societies and associations, asking about registry programs, governance, number of registries, purpose and data uses, data collection, expenses, funding and interoperability. Results: The response rate was 52 percent. Many registries were self-funded, with 39 percent spending less than $1 million per year, and 32 percent spending $1-9.9 million. The typical registry had three full-time equivalent staff. Registries were frequently used for quality improvement, benchmarking and clinical decision support. 85 percent captured outpatient data. Most registries collected demographics, treatments, practitioner information and comorbidities; 53 percent captured patient-reported outcomes. 88 percent used manual data entry and 18 percent linked to external secondary data sources. Cost, interoperability and vendor management were barriers to continued registry development. Conclusions: Registries captured data across a broad scope, audited data quality using multiple techniques, and used a mix of automated and manual data capture methods. Registry interoperability was still a challenge, even among registries using nationally accepted data standards.</t>
  </si>
  <si>
    <t>Blumenthal Seth</t>
  </si>
  <si>
    <t>https://research.ebsco.com/linkprocessor/plink?id=b6679d46-737f-3c05-81c1-e21f9745974c</t>
  </si>
  <si>
    <t>Clinical decision support systems,Community organization,Medical specialties &amp; specialists,Data quality,Secondary analysis,Data entry,United States,Other Individual and Family Services,Data Processing, Hosting, and Related Services</t>
  </si>
  <si>
    <t>The use of electronic health records to inform cancer surveillance efforts: a scoping review and test of indicators for public health surveillance of cancer prevention and control.</t>
  </si>
  <si>
    <t>State cancer prevention and control programs rely on public health surveillance data to set objectives to improve cancer prevention and control, plan interventions, and evaluate state-level progress towards achieving those objectives. The goal of this project was to evaluate the validity of using electronic health records (EHRs) based on common data model variables to generate indicators for surveillance of cancer prevention and control for these public health programs.</t>
  </si>
  <si>
    <t>Conderino Sarah,Bendik Stefanie,Richards Thomas B,Pulgarin Claudia,Chan Pui Ying,Townsend Julie,Lim Sungwoo,Roberts Timothy R,Thorpe Lorna E</t>
  </si>
  <si>
    <t>https://research.ebsco.com/linkprocessor/plink?id=aeab547a-2d60-3189-888c-cdeb1b82dc51</t>
  </si>
  <si>
    <t>Electronic Health Records,Neoplasms diagnosis,Neoplasms epidemiology,Neoplasms prevention &amp; control,Humans,Prevalence,Public Health Surveillance,Risk Factors</t>
  </si>
  <si>
    <t>The Use of Natural Language Processing for Computer-Aided Diagnostics and Monitoring of Body Image Perception in Patients with Cancers.</t>
  </si>
  <si>
    <t>Head and neck cancers (H&amp;NCs) constitute a significant part of all cancer cases. H&amp;NC patients experience unintentional weight loss, poor nutritional status, or speech disorders. Medical interventions affect appearance and interfere with patients' self-perception of their bodies. Psychological consultations are not affordable due to limited time.</t>
  </si>
  <si>
    <t>Gliwska Elwira,Barańska Klaudia,Maćkowska Stella,Różańska Agnieszka,Sobol Adrianna,Spinczyk Dominik</t>
  </si>
  <si>
    <t>https://research.ebsco.com/linkprocessor/plink?id=18651541-cffd-3e5c-8a2a-cbcc504ca8da</t>
  </si>
  <si>
    <t>The Utility of Oncology Information Systems for Prognostic Modelling in Head and Neck Cancer.</t>
  </si>
  <si>
    <t>Cancer centres rely on electronic information in oncology information systems (OIS) to guide patient care. We investigated the completeness and accuracy of routinely collected head and neck cancer (HNC) data sourced from an OIS for suitability in prognostic modelling and other research. Three hundred and fifty-three adults diagnosed from 2000 to 2017 with head and neck squamous cell carcinoma, treated with radiotherapy, were eligible. Thirteen clinically relevant variables in HNC prognosis were extracted from a single-centre OIS and compared to that compiled separately in a research dataset. These two datasets were compared for agreement using Cohen's kappa coefficient for categorical variables, and intraclass correlation coefficients for continuous variables. Research data was 96% complete compared to 84% for OIS data. Agreement was perfect for gender (κ = 1.000), high for age (κ = 0.993), site (κ = 0.992), T (κ = 0.851) and N (κ = 0.812) stage, radiotherapy dose (κ = 0.889), fractions (κ = 0.856), and duration (κ = 0.818), and chemotherapy treatment (κ = 0.871), substantial for overall stage (κ = 0.791) and vital status (κ = 0.689), moderate for grade (κ = 0.547), and poor for performance status (κ = 0.110). Thirty-one other variables were poorly captured and could not be statistically compared. Documentation of clinical information within the OIS for HNC patients is routine practice; however, OIS data was less correct and complete than data collected for research purposes. Substandard collection of routine data may hinder advancements in patient care. Improved data entry, integration with clinical activities and workflows, system usability, data dictionaries, and training are necessary for OIS data to generate robust research. Data mining from clinical documents may supplement structured data collection.</t>
  </si>
  <si>
    <t>Kotevski Damian P,Smee Robert I,Field Matthew,Broadley Kathryn,Vajdic Claire M</t>
  </si>
  <si>
    <t>https://research.ebsco.com/linkprocessor/plink?id=33888774-daba-3d26-8aac-8d4fb56fb3cd</t>
  </si>
  <si>
    <t>Head and Neck Neoplasms therapy,Radiation Oncology,Squamous Cell Carcinoma of Head and Neck therapy,Adult,Humans,Information Systems,Prognosis,Electronic Health Records,Data Accuracy</t>
  </si>
  <si>
    <t>The Water Surrounding the Iceberg: Cultural Racism and Health Inequities.</t>
  </si>
  <si>
    <t>Policy Points Cultural racism-or the widespread values that privilege and protect Whiteness and White social and economic power-permeates all levels of society, uplifts other dimensions of racism, and contributes to health inequities. Overt forms of racism, such as racial hate crimes, represent only the "tip of the iceberg," whereas structural and institutional racism represent its base. This paper advances cultural racism as the "water surrounding the iceberg," allowing it to float while obscuring its base. Considering the fundamental role of cultural racism is needed to advance health equity.</t>
  </si>
  <si>
    <t>Michaels Eli K,Lam-Hine Tracy,Nguyen Thu T,Gee Gilbert C,Allen Amani M</t>
  </si>
  <si>
    <t>https://research.ebsco.com/linkprocessor/plink?id=b124aa78-cece-35b2-baa9-97b0f64242d3</t>
  </si>
  <si>
    <t>Racism,Humans,Health Promotion,Water,Racial Groups,Health Inequities</t>
  </si>
  <si>
    <t>The Milbank quarterly</t>
  </si>
  <si>
    <t>Time difference in retrieving clinical information in Patient-overview Prostate Cancer compared to electronic health records</t>
  </si>
  <si>
    <t>Background: Patients with advanced prostate cancer (PCa) typically undergo numerous lines of treatment leading to large amounts of information in Electronic Health Records (EHRs). The Patient-overview Prostate Cancer (PPC) presents clinical information in a graphical overview. The aim of this study was to measure time spent on retrieving clinical information in PPC compared to EHRs, to assess if retrieved data was correct and to explore usability of PPC. Material and methods: Oncologists, urologists and nurses in three hospitals in Sweden were timed when filling out questionnaires about patients using PPC and two different EHRs; Melior and COSMIC. Time and number of errors were analysed using linear mixed models (LMMs). Usability of PPC was measured with the System Usability Scale. Results: The LMM showed a significantly shorter time to retrieve information in PPC compared to EHRs. The estimated time to complete one questionnaire was 8 minutes (95% CI = 6–10, p &lt; 0.001) in PPC compared to 25 minutes in Melior and 21 minutes in COSMIC. Compared to PPC, the estimated time difference was 17 minutes longer in Melior (95% CI = 14–20, p &lt; 0.001) and 13 minutes longer in COSMIC (95% CI = 10–17, p &lt; 0.001). The LMM showed significantly fewer errors in PPC compared to Melior. No significant difference in the number of errors was found between PPC and COSMIC. The usability of PPC was rated as excellent by oncologists, urologists and nurses. Conclusion: A graphical overview of a patient’s medical history, as in PPC, gives health staff rapid access to relevant information with a high degree of usability. © 2022 The Author(s). Published by Informa UK Limited, trading as Taylor &amp; Francis Group.</t>
  </si>
  <si>
    <t>Alverbratt,C.,Vikman,H.,Hjälm-Eriksson,M.,Stattin,P.,Franck-Lissbrant,I.</t>
  </si>
  <si>
    <t>https://www.scopus.com/inward/record.uri?eid=2-s2.0-85124276232&amp;doi=10.1080%2F21681805.2021.2014561&amp;partnerID=40&amp;md5=8b6a108b5b5162fa6f1f81d80697aae9</t>
  </si>
  <si>
    <t>castration resistant,decision support,EHR,electronic health record,graphic visualization,metastatic,Patient overview,prostate cancer,usability</t>
  </si>
  <si>
    <t>Scandinavian Journal of Urology</t>
  </si>
  <si>
    <t>To treat or not to treat: PD-L1 inhibitor-induced keratoacanthoma and squamous cell carcinoma</t>
  </si>
  <si>
    <t>Keratoacanthoma (KA) and squamous cell carcinoma (SCC) are rare side effects of programmed cell death ligand-1 (PD-L1) inhibitors that can disrupt therapy. There is no consensus on optimal treatment. We investigated the management strategy and factors influencing pathophysiology. An institutional cancer registry and literature search were used for this retrospective study. Only PD-L1-induced KA and SCC cases were included. Pathology specimens were stained with immune markers and management strategies were analyzed. Four cases were identified at our institution. Immunohistochemistry of atypical keratinocytes revealed PD-1/PD-L1 positivity, high p53, and low bcl-2 for all cases with differential expression of CD44 and beta-catenin for KA versus SCC. Nivolumab was continued or temporarily held with complete resolution. In addition, a literature search identified 30 additional cases of KA/SCC after PDL-1 inhibitor use. The most common treatment was excision/destruction followed by topical and/or intralesional corticosteroids. Therapy was definitely withheld in 22% of KA patients and in 9% of SCC cases. The expression of PD-L1 by atypical keratinocytes helps to explain the effects of nivolumab on the development of cutaneous neoplasms. The expression of immune markers provides mechanistic insights into pathophysiology. Management may be achieved with conservative therapy and without treatment interruption. © 2022, The Author(s), under exclusive licence to Springer-Verlag GmbH Germany, part of Springer Nature.</t>
  </si>
  <si>
    <t>Poole,M.,Schwartz,R.A.,Lambert,W.C.,Alhatem,A.</t>
  </si>
  <si>
    <t>https://www.scopus.com/inward/record.uri?eid=2-s2.0-85142143717&amp;doi=10.1007%2Fs00403-022-02468-3&amp;partnerID=40&amp;md5=4872bcf1bd379f6a435012b5c181fe69</t>
  </si>
  <si>
    <t>Keratoacanthoma,Nivolumab,Programmed death-1 inhibitors,Squamous cell carcinoma</t>
  </si>
  <si>
    <t>Archives of Dermatological Research</t>
  </si>
  <si>
    <t>Toward real-time reporting of cancer incidence: methodology, pilot study, and SEER Program implementation</t>
  </si>
  <si>
    <t>Background: A lag time between cancer case diagnosis and incidence reporting impedes the ability to monitor the impact of recent events on cancer incidence. Currently, the data submission standard is 22 months after a diagnosis year ends, and the reporting standard is 27.5 months after a diagnosis year ends. This paper presents the National Cancer Institute (NCI) Surveillance, Epidemiology, and End Results (SEER) Program's efforts to minimize the lag and achieve "real-time"reporting, operationalized as submission within 2 months from the end of a diagnosis year. Methods: Technology for rapidly creating a consolidated tumor case (CTC) from electronic pathology (e-path) reports is described. Statistical methods are extended to adjust for biases in incidence rates due to reporting delays for the most recent diagnosis years. Results: A registry pilot study demonstrated that real-time submissions can approximate rates obtained from 22-month submissions after adjusting for reporting delays. A plan to be implemented across the SEER Program rapidly ascertains unstructured e-path reports and uses machine learning algorithms to translate the reports into the core data items that comprise a CTC for incidence reporting. Across the program, cases were submitted 2 months after the end of the calendar year. Registries with the most promising baseline values and a willingness to modify registry operations have joined a program to become certified as real-time reporting. Conclusion: Advances in electronic reporting, natural language processing, registry operations, and statistical methodology, energized by the SEER Program's mobilization and coordination of these efforts, will make real-time reporting an achievable goal. © 2024 Published by Oxford University Press.</t>
  </si>
  <si>
    <t>Chen,H.-S.,Negoita,S.,Schwartz,S.,Hsu,E.,Hafterson,J.,Coyle,L.,Stevens,J.,Fernandez,A.,Potts,M.,Feuer,E.J.</t>
  </si>
  <si>
    <t>https://www.scopus.com/inward/record.uri?eid=2-s2.0-85200710200&amp;doi=10.1093%2Fjncimonographs%2Flgae024&amp;partnerID=40&amp;md5=939e4ae974772b1b51ac25dbcb761e71</t>
  </si>
  <si>
    <t>Journal of the National Cancer Institute - Monographs</t>
  </si>
  <si>
    <t>Towards a national cancer information platform</t>
  </si>
  <si>
    <t>Luis Eduardo Bravo, Mónica Lorena Quijano-Liévano</t>
  </si>
  <si>
    <t>https://www.revistacancercol.org/index.php/cancer/article/view/1170/1141</t>
  </si>
  <si>
    <t>Revista Colombiana de Cancerologia</t>
  </si>
  <si>
    <t>Transformation of Pathology Reports Into the Common Data Model With Oncology Module: Use Case for Colon Cancer.</t>
  </si>
  <si>
    <t>Common data models (CDMs) help standardize electronic health record data and facilitate outcome analysis for observational and longitudinal research. An analysis of pathology reports is required to establish fundamental information infrastructure for data-driven colon cancer research. The Observational Medical Outcomes Partnership (OMOP) CDM is used in distributed research networks for clinical data; however, it requires conversion of free text-based pathology reports into the CDM's format. There are few use cases of representing cancer data in CDM.</t>
  </si>
  <si>
    <t>Ryu Borim,Yoon Eunsil,Kim Seok,Lee Sejoon,Baek Hyunyoung,Yi Soyoung,Na Hee Young,Kim Ji-Won,Baek Rong-Min,Hwang Hee,Yoo Sooyoung</t>
  </si>
  <si>
    <t>https://research.ebsco.com/linkprocessor/plink?id=261e20ee-5b1b-3cf0-a29c-7d588a24614b</t>
  </si>
  <si>
    <t>Colonic Neoplasms pathology,Electronic Health Records standards,Medical Informatics methods,Medical Oncology methods,Databases, Factual,Humans</t>
  </si>
  <si>
    <t>Transformative Approaches in Breast Cancer Detection: Integrating Transformers into Computer-Aided Diagnosis for Histopathological Classification.</t>
  </si>
  <si>
    <t>Breast cancer (BC) remains a leading cause of cancer-related mortality among women worldwide, necessitating advancements in diagnostic methodologies to improve early detection and treatment outcomes. This study proposes a novel twin-stream approach for histopathological image classification, utilizing both histopathologically inherited and vision-based features to enhance diagnostic precision. The first stream utilizes Virchow2, a deep learning model designed to extract high-level histopathological features, while the second stream employs Nomic, a vision-based transformer model, to capture spatial and contextual information. The fusion of these streams ensures a comprehensive feature representation, enabling the model to achieve state-of-the-art performance on the BACH dataset. Experimental results demonstrate the superiority of the twin-stream approach, with a mean accuracy of 98.60% and specificity of 99.07%, significantly outperforming single-stream methods and related studies. Statistical analyses, including paired t-tests, ANOVA, and correlation studies, confirm the robustness and reliability of the model. The proposed approach not only improves diagnostic accuracy but also offers a scalable and efficient solution for clinical applications, addressing the challenges of resource constraints and increasing diagnostic demands.</t>
  </si>
  <si>
    <t>Alwateer Majed,Bamaqa Amna,Farsi Mohamed,Aljohani Mansourah,Shehata Mohamed,Elhosseini Mostafa A.</t>
  </si>
  <si>
    <t>https://research.ebsco.com/linkprocessor/plink?id=8b571158-7646-3d98-8684-03dbf465fa82</t>
  </si>
  <si>
    <t>Transformer models,Image recognition (Computer vision),Breast cancer,Cancer-related mortality,Early detection of cancer</t>
  </si>
  <si>
    <t>Transformers for extracting breast cancer information from Spanish clinical narratives</t>
  </si>
  <si>
    <t>The wide adoption of electronic health records (EHRs) offers immense potential as a source of support for clinical research. However, previous studies focused on extracting only a limited set of medical concepts to support information extraction in the cancer domain for the Spanish language. Building on the success of deep learning for processing natural language texts, this paper proposes a transformer-based approach to extract named entities from breast cancer clinical notes written in Spanish and compares several language models. To facilitate this approach, a schema for annotating clinical notes with breast cancer concepts is presented, and a corpus for breast cancer is developed. Results indicate that both BERT-based and RoBERTabased language models demonstrate competitive performance in clinical Named Entity Recognition (NER). Specifically, BETO and multilingual BERT achieve F-scores of 93.71% and 94.63%, respectively. Additionally, RoBERTa Biomedical attains an F-score of 95.01%, while RoBERTa BNE achieves an F-score of 94.54%. The findings suggest that transformers can feasibly extract information in the clinical domain in the Spanish language, with the use of models trained on biomedical texts contributing to enhanced results. The proposed approach takes advantage of transfer learning techniques by fine-tuning language models to automatically represent text features and avoiding the time-consuming feature engineering process.</t>
  </si>
  <si>
    <t>Solarte-Pabón O,Montenegro O,García-Barragán A,Torrente M,Provencio M,Menasalvas E,Robles V</t>
  </si>
  <si>
    <t>https://www.webofscience.com/wos/woscc/full-record/WOS:001046750500001</t>
  </si>
  <si>
    <t>Natural Language Processing (NLP); Named Entity Recognition (NER); Deep learning; Breast cancer; Clinical narratives</t>
  </si>
  <si>
    <t>ARTIFICIAL INTELLIGENCE IN MEDICINE</t>
  </si>
  <si>
    <t>Treatment Approaches and Outcome of Patients with Neuroendocrine Neoplasia Grade 3 in German Real-World Clinical Practice</t>
  </si>
  <si>
    <t>Background: Neuroendocrine neoplasia grade 3 (NEN G3) represents a rare and heterogeneous cancer type with a poor prognosis. The aim of our study was to analyze real-world data from the German NET Registry with a focus on therapeutic and prognostic aspects. Methods: NEN G3 patients were identified within the German NET Registry. Demographic data and data on treatments and outcomes were retrieved. Univariate analyses were performed using the Kaplan–Meier-method. Multivariate analysis was performed using a Cox proportional hazard model. Results: Of 445 in-cluded patients, 318 (71.5%) were diagnosed at stage IV. Well-differentiated morphology (NET G3) was described in 31.7%, 60% of cases were classified as neuroendocrine carcinoma (NEC), and the median Ki67 value was 50%. First-line treatment comprised chemotherapy in 43.8%, with differences in the choice of regimen with regard to NET or NEC, and surgery in 41.6% of patients. Median overall survival for the entire cohort was 31 months. Stage, performance status and Ki67 were significant prognostic factors in multivariate analysis. Conclusions: The survival data of our national registry compare favorably to population-based data, probably mainly because of a relatively low median Ki67 of 50%. Nevertheless, the best first-and second-line approaches for specific subgroups remain unclear, and an international effort to fill these gaps is needed. © 2022 by the authors. Licensee MDPI, Basel, Switzerland.</t>
  </si>
  <si>
    <t>Luecke,S.,Fottner,C.,Lahner,H.,Jann,H.,Zolnowski,D.,Quietzsch,D.,Grabowski,P.,Cremer,B.,Maasberg,S.,Pape,U.-F.,Müller,H.-H.,Gress,T.M.,Rinke,A.</t>
  </si>
  <si>
    <t>https://www.scopus.com/inward/record.uri?eid=2-s2.0-85132077813&amp;doi=10.3390%2Fcancers14112718&amp;partnerID=40&amp;md5=a435251c51313021dc7ceda22a532de4</t>
  </si>
  <si>
    <t>chemotherapy,Ki67,neuroendocrine carcinoma,neuroendocrine neoplasia,neuroendocrine tumor G3,prognosis</t>
  </si>
  <si>
    <t>Trends and updates on the epidemiology of cancer-associated thrombosis: a systematic review.</t>
  </si>
  <si>
    <t>For cancer patients, cancer-associated thrombosis (CAT) is a serious complication. An updated epidemiology of CAT over the last ten years is summarized in this review. A comprehensive analysis of pertinent population cohort research released between 2011 and 2024 was carried out. In patients with unselected cancers, the 12-month incidence of CAT is roughly 3-5% (9-fold increase vs to the matched non-cancer population); however, in patients with advanced cancers requiring systemic therapy, the risk rises to 6-8% (20-fold increase vs. to the matched non-cancer population). Anticoagulation use and adherence have improved, but the risk of recurrence is still high, at 5-8% at 6 months and 7-15% at 12 months. The type, stage, and treatment of cancer, a history of venous thromboembolism (VTE), prolonged hospitalization or immobilization, and obesity are significant clinical predictors of the development of CAT. The modified Vienna-CATS and EHR-CAT have the best performance (area under the curve 0.68-0.71) among the clinical risk prediction scores for CAT using the original Khorana score backbone that has been externally validated. However, additional research is required to guarantee appropriate implementation and utilization of these models. Even with contemporary antineoplastic treatments, CAT is still a major complication for cancer patients. We encourage interdisciplinary partnerships among hematologists, data scientists, epidemiologists, and oncologists to guarantee the integration of customized VTE risk evaluation into standard oncologic treatment.</t>
  </si>
  <si>
    <t>Ang Li,Zhou Emily</t>
  </si>
  <si>
    <t>https://research.ebsco.com/linkprocessor/plink?id=2bc178c4-e263-32f7-89bb-7aa89de766df</t>
  </si>
  <si>
    <t>Disease risk factors,Thromboembolism,Cancer patients,Cancer treatment,Cancer complications</t>
  </si>
  <si>
    <t>Bleeding, Thrombosis &amp; Vascular Biology</t>
  </si>
  <si>
    <t>Trends in the incidence of pulmonary nodules in chest computed tomography: 10-year results from two Dutch hospitals.</t>
  </si>
  <si>
    <t>To study trends in the incidence of reported pulmonary nodules and stage I lung cancer in chest CT.</t>
  </si>
  <si>
    <t>Hendrix Ward,Rutten Matthieu,Hendrix Nils,van Ginneken Bram,Schaefer-Prokop Cornelia,Scholten Ernst T,Prokop Mathias,Jacobs Colin</t>
  </si>
  <si>
    <t>https://research.ebsco.com/linkprocessor/plink?id=99ace1ff-49d5-398f-9fd1-332f4da9751e</t>
  </si>
  <si>
    <t>Solitary Pulmonary Nodule diagnostic imaging,Solitary Pulmonary Nodule epidemiology,Multiple Pulmonary Nodules diagnostic imaging,Multiple Pulmonary Nodules epidemiology,Lung Neoplasms diagnostic imaging,Lung Neoplasms epidemiology,Humans,Incidence,Tomography, X-Ray Computed methods</t>
  </si>
  <si>
    <t>European radiology</t>
  </si>
  <si>
    <t>Trends in tobacco use and tobacco cessation counselling codes among Medicare beneficiaries, 2001-2014.</t>
  </si>
  <si>
    <t>Analysis of Medicare data is often used to determine epidemiology, healthcare utilization and effectiveness of disease treatments. We were interested in whether Medicare data could be used to estimate prevalence of tobacco use. Currently, data regarding tobacco use is derived from Behavioral Risk Factor Surveillance System (BRFSS) survey data. We compare administrative claims data for tobacco diagnosis among Medicare beneficiaries to survey (BRFSS) estimates of tobacco use from 2001 to 2014.</t>
  </si>
  <si>
    <t>Nishi Shawn P E,Zhou Jie,Kuo Young-Fang,Sharma Gulshan,Goodwin James</t>
  </si>
  <si>
    <t>https://research.ebsco.com/linkprocessor/plink?id=275d2061-a08e-32c8-b666-d6d3f5035479</t>
  </si>
  <si>
    <t>United States,Counseling trends,Tobacco Use Cessation statistics &amp; numerical data,Aged,Aged, 80 and over,Comorbidity,Cross-Sectional Studies,Female,Humans,Male,Medicare statistics &amp; numerical data,Middle Aged,Prevalence,Retrospective Studies,Tobacco Use prevention &amp; control,United States epidemiology</t>
  </si>
  <si>
    <t>Triple negative breast cancer in Bulgaria: epidemiological data and treatment patterns based on real world evidence and patient registries.</t>
  </si>
  <si>
    <t>Breast cancer is the most common oncologic disease among women worldwide. Survival rates vary significantly and depend on early diagnosis practice and access to treatment. Triple negative breast cancer (TNBC) accounts for 12–15% of all breast cancers. We performed a one-year real-life retrospective study on the patho-histological status and treatment of a representative cohort of patients with TNBC in Bulgaria. We collected anonymised data for TNBC patients from the electronic artificial intelligence platform Sqilline - Danny Platform. Demographic characteristics, data on biomarkers, TNM (Tumor, Nodule, Metastasis) stage, therapeutic regime, line and changes in treatment were chronologically analysed for all patients. The results were processed through descriptive statistics. For the observed period, Jan 2019–Dec 2019, 6880 breast cancer patients from eight major oncology hospitals were included in the database. The average age of the women was 60 y; 234 (3.4%) of them were diagnosed with TNBC; 10% had unknown TNM stage. The majority of the patients were assigned to chemotherapy (84%) of which 35% were on adjuvant. Most changes in the therapy were observed in the neo-adjuvant group).The results from this study provide evidence that the treatment patterns of TNBC, and changes in therapy are in compliance with international guidelines. We identified less patients with TNBC than the frequencies reported in international epidemiological studies. This might be attributed to lack of funding of necessary tests or insufficient data in patients record. The study confirms that dynamic patient registers are important for performing a real-world studies of treatment patterns.</t>
  </si>
  <si>
    <t>Dimitrova Maria,Milushewa Petya,Petrova Elina,Mihaylova Desislava,Tzvetanova Nezabravka,Petrova Guenka</t>
  </si>
  <si>
    <t>https://research.ebsco.com/linkprocessor/plink?id=4a467081-1528-3faa-8a33-7feff03c68e9</t>
  </si>
  <si>
    <t>Triple-negative breast cancer,Medical registries,Electronic intelligence,Breast cancer,Cancer patients,Bulgaria</t>
  </si>
  <si>
    <t>Underutilization of pretreatment fertility preservation counseling in reproductive-age women with gastrointestinal cancer.</t>
  </si>
  <si>
    <t>Declaration of competing interest The authors have no relevant financial disclosures and declare no conflicts of interest.</t>
  </si>
  <si>
    <t>Gudmundsdottir Hallbera,Glasgow Amy E,Bews Katherine A,Ruddy Kathryn J,Thiels Cornelius A,Shenoy Chandra C</t>
  </si>
  <si>
    <t>https://research.ebsco.com/linkprocessor/plink?id=733fd769-009a-3ac2-a620-694002fa1c4b</t>
  </si>
  <si>
    <t>Fertility Preservation methods,Fertility Preservation psychology,Gastrointestinal Neoplasms,Neoplasms,Young Adult,Humans,Female,Counseling methods,Fertility</t>
  </si>
  <si>
    <t>European journal of surgical oncology : the journal of the European Society of Surgical Oncology and the British Association of Surgical Oncology</t>
  </si>
  <si>
    <t>Unlocking the potential of population-based cancer registries.</t>
  </si>
  <si>
    <t>Population-based cancer registries have improved dramatically over the last 2 decades. These central cancer registries provide a critical framework that can elevate the science of cancer research. There have also been important technical and scientific advances that help to unlock the potential of population-based cancer registries. These advances include improvements in probabilistic record linkage, refinements in natural language processing, the ability to perform genomic sequencing on formalin-fixed, paraffin-embedded (FFPE) tissue, and improvements in the ability to identify activity levels of many different signaling molecules in FFPE tissue. This article describes how central cancer registries can provide a population-based sample frame that will lead to studies with strong external validity, how central cancer registries can link with public and private health insurance claims to obtain complete treatment information, how central cancer registries can use informatics techniques to provide population-based rapid case ascertainment, how central cancer registries can serve as a population-based virtual tissue repository, and how population-based cancer registries are essential for guiding the implementation of evidence-based interventions and measuring changes in the cancer burden after the implementation of these interventions.</t>
  </si>
  <si>
    <t>Tucker Thomas C,Durbin Eric B,McDowell Jaclyn K,Huang Bin</t>
  </si>
  <si>
    <t>https://research.ebsco.com/linkprocessor/plink?id=09fc5c7f-8dfa-33be-9a8a-49abab3aaa67</t>
  </si>
  <si>
    <t>Neoplasms diagnosis,Neoplasms therapy,Population Surveillance methods,Registries statistics &amp; numerical data,Biomedical Research methods,Biomedical Research statistics &amp; numerical data,Fixatives chemistry,Formaldehyde chemistry,High-Throughput Nucleotide Sequencing methods,Humans,Paraffin Embedding methods,Tissue Fixation methods</t>
  </si>
  <si>
    <t>Use of classifiers to optimise the identification and characterisation of metastatic breast cancer in a nationwide administrative registry.</t>
  </si>
  <si>
    <t>The prognosis for patients with metastatic breast cancer (MBC) is substantially worse when compared with patients with earlier stage disease. Therefore, understanding the differences in epidemiology between these two patient groups is important. Studies using population-based cancer registries to identify MBC are hampered by the quality of reporting. Patients are registered once (at time of initial diagnosis); hence only data for patients with &lt;i&gt;de novo&lt;/i&gt; MBC are identifiable, whereas data for patients with recurrent MBC are not. This makes accurate estimation of the epidemiology and healthcare utilisation of MBC challenging. This study aimed to investigate whether machine-learning could improve identification of MBC in national health registries.</t>
  </si>
  <si>
    <t>Valachis Antonis,Carlqvist Peter,Szilcz Máté,Freilich Jonatan,Vertuani Simona,Holm Barbro,Lindman Henrik</t>
  </si>
  <si>
    <t>https://research.ebsco.com/linkprocessor/plink?id=3b1b05de-ae8a-3ff2-b827-e101800add4f</t>
  </si>
  <si>
    <t>Breast Neoplasms epidemiology,Breast,Female,Humans,Neoplasm Recurrence, Local,Prognosis,Registries</t>
  </si>
  <si>
    <t>Use of Epic Electronic Health Record System for Health Care Research: Scoping Review.</t>
  </si>
  <si>
    <t>Electronic health records (EHRs) enable health data exchange across interconnected systems from varied settings. Epic is among the 5 leading EHR providers and is the most adopted EHR system across the globe. Despite its global reach, there is a gap in the literature detailing how EHR systems such as Epic have been used for health care research.</t>
  </si>
  <si>
    <t>Chishtie Jawad,Sapiro Natalie,Wiebe Natalie,Rabatach Leora,Lorenzetti Diane,Leung Alexander A,Rabi Doreen,Quan Hude,Eastwood Cathy A</t>
  </si>
  <si>
    <t>https://research.ebsco.com/linkprocessor/plink?id=8b7e53e8-dbb2-364d-adf6-f9a5261e2620</t>
  </si>
  <si>
    <t>Electronic Health Records,Software,Adult,Humans,Databases, Factual,Electronics,Health Services Research</t>
  </si>
  <si>
    <t>Use of the Systematized Nomenclature of Medicine Clinical Terms (SNOMED CT) for Processing Free Text in Health Care: Systematic Scoping Review.</t>
  </si>
  <si>
    <t>Interoperability and secondary use of data is a challenge in health care. Specifically, the reuse of clinical free text remains an unresolved problem. The Systematized Nomenclature of Medicine Clinical Terms (SNOMED CT) has become the universal language of health care and presents characteristics of a natural language. Its use to represent clinical free text could constitute a solution to improve interoperability.</t>
  </si>
  <si>
    <t>Gaudet-Blavignac Christophe,Foufi Vasiliki,Bjelogrlic Mina,Lovis Christian</t>
  </si>
  <si>
    <t>https://research.ebsco.com/linkprocessor/plink?id=04c1f197-4e46-3ab6-976a-c73e0ed03907</t>
  </si>
  <si>
    <t>Natural Language Processing,Systematized Nomenclature of Medicine,Humans</t>
  </si>
  <si>
    <t>Uses of cancer registries for public health and clinical research in Europe: Results of the European Network of Cancer Registries survey among 161 population-based cancer registries during 2010-2012</t>
  </si>
  <si>
    <t>Abstract Aim To provide insight into cancer registration coverage, data access and use in Europe. This contributes to data and infrastructure harmonisation and will foster a more prominent role of cancer registries (CRs) within public health, clinical policy and cancer research, whether within or outside the European Research Area. Methods During 2010-12 an extensive survey of cancer registration practices and data use was conducted among 161 population-based CRs across Europe. Responding registries (66%) operated in 33 countries, including 23 with national coverage. Results Population-based oncological surveillance started during the 1940-50s in the northwest of Europe and from the 1970s to 1990s in other regions. The European Union (EU) protection regulations affected data access, especially in Germany and France, but less in the Netherlands or Belgium. Regular reports were produced by CRs on incidence rates (95%), survival (60%) and stage for selected tumours (80%). Evaluation of cancer control and quality of care remained modest except in a few dedicated CRs. Variables evaluated were support of clinical audits, monitoring adherence to clinical guidelines, improvement of cancer care and evaluation of mass cancer screening. Evaluation of diagnostic imaging tools was only occasional. Conclusion Most population-based CRs are well equipped for strengthening cancer surveillance across Europe. Data quality and intensity of use depend on the role the cancer registry plays in the politico, oncomedical and public health setting within the country. Standard registration methodology could therefore not be translated to equivalent advances in cancer prevention and mass screening, quality of care, translational research of prognosis and survivorship across Europe. Further European collaboration remains essential to ensure access to data and comparability of the results. © 2014 Elsevier Ltd.</t>
  </si>
  <si>
    <t>Siesling,S.,Louwman,W.J.,Kwast,A.,van den Hurk,C.,O'Callaghan,M.,Rosso,S.,Zanetti,R.,Storm,H.,Comber,H.,Steliarova-Foucher,E.,Coebergh,J.W.</t>
  </si>
  <si>
    <t>https://www.scopus.com/inward/record.uri?eid=2-s2.0-84929842865&amp;doi=10.1016%2Fj.ejca.2014.07.016&amp;partnerID=40&amp;md5=20f9ba9585e1753cf9af6da6958179a5</t>
  </si>
  <si>
    <t>Cancer registry,Clinical research,Outcomes research,Public health research,Survey</t>
  </si>
  <si>
    <t>Using case-level context to classify cancer pathology reports.</t>
  </si>
  <si>
    <t>Author LC is employed by the commercial company Information Management Services Inc (IMS). This does not alter our adherence to PLOS ONE policies on sharing data and materials.</t>
  </si>
  <si>
    <t>Gao Shang,Alawad Mohammed,Schaefferkoetter Noah,Penberthy Lynne,Wu Xiao-Cheng,Durbin Eric B,Coyle Linda,Ramanathan Arvind,Tourassi Georgia</t>
  </si>
  <si>
    <t>https://research.ebsco.com/linkprocessor/plink?id=0d2b0815-80ef-3d72-bf81-ce8f6ccea53c</t>
  </si>
  <si>
    <t>Electronic Health Records classification,Neoplasms pathology,Histological Techniques,Humans,Natural Language Processing,SEER Program</t>
  </si>
  <si>
    <t>Using data linkage to enhance the reporting of cancer outcomes of Aboriginal and Torres Strait Islander people in NSW, Australia</t>
  </si>
  <si>
    <t>Background: Aboriginal people are known to be under-recorded in routinely collected datasets in Australia. This study examined methods for enhancing the reporting of cancer incidence among Aboriginal people using linked data methodologies. Methods: Invasive cancers diagnosed in New South Wales (NSW), Australia, in 2010-2014 were identified from the NSW Cancer Registry (NSWCR). The NSWCR data were linked to the NSW Admitted Patient Data Collection, the NSW Emergency Department Data Collection and the Australian Coordinating Register Cause of Death Unit Record File. The following methods for enhancing the identification of Aboriginal people were used: 'ever-reported', 'reported on most recent record', 'weight of evidence' and 'multi-stage median'. The impact of these methods on the number of cancer cases and age-standardised cancer incidence rates (ASR) among Aboriginal people was explored. Results: Of the 204,948 cases of invasive cancer, 2703 (1.3%) were recorded as Aboriginal on the NSWCR. This increased with enhancement methods to 4184 (2.0%, 'ever'), 3257 (1.6%, 'most recent'), 3580 (1.7%, 'weight of evidence') and 3583 (1.7%, 'multi-stage median'). Enhancement was generally greater in relative terms for males, people aged 25-34 years, people with cancers of localised or unknown degree of spread, people living in urban areas and areas with less socio-economic disadvantage. All enhancement methods increased ASRs for Aboriginal people. The weight of evidence method increased the overall ASR by 42% for males (894.1 per 100,000, 95% CI 844.5-945.4) and 27% for females (642.7 per 100,000, 95% CI 607.9-678.7). Greatest relative increases were observed for melanoma and prostate cancer incidence (126 and 63%, respectively). ASRs for prostate and breast cancer increased from below to above the ASRs of non-Aboriginal people with enhancement of Aboriginal status. Conclusions: All data linkage methods increased the number of cancer cases and ASRs for Aboriginal people. Enhancement varied by demographic and cancer characteristics. We considered the weight of evidence method to be most suitable for population-level reporting of cancer incidence among Aboriginal people. The impact of enhancement on disparities in cancer outcomes between Aboriginal and non-Aboriginal people should be further examined. © 2019 The Author(s).</t>
  </si>
  <si>
    <t>Tervonen,H.E.,Purdie,S.,Creighton,N.</t>
  </si>
  <si>
    <t>https://www.scopus.com/inward/record.uri?eid=2-s2.0-85077322797&amp;doi=10.1186%2Fs12874-019-0884-8&amp;partnerID=40&amp;md5=41e2ad44a2031c701666af65046cddf6</t>
  </si>
  <si>
    <t>Australia,Data linkage,Indigenous,Neoplasms</t>
  </si>
  <si>
    <t>Using data linkage to report surgical treatment of breast cancer in Canada</t>
  </si>
  <si>
    <t>Background: National population information about the surgical treatment rate for primary cancers, including breast cancer, has remained a significant data gap in Canada. This gap has implications for cancer care planning and evaluating health system performance. New linkages between the Canadian Cancer Registry and hospital discharge records were conducted by Statistics Canada in 2016. Using already existing, routinely collected health administrative data, these linkages allow viable reporting of surgical cancer treatment for the first time for all provinces and territories (except Quebec). Data and methods: Hospital record information about type and date of surgical treatment of tumours was provided by information from linked data. These linked data reported 50,740 incident primary malignant breast tumours diagnosed between January 1, 2010, and December 31, 2012, among females aged 19 years or older. The unadjusted treatment rate for primary surgical intervention within one year was calculated as the proportion of total tumours that were linkable to hospital records. Results: For three combined years (2010, 2011 and 2012), 88.3% (N=44,780) of patients overall received at least one surgical treatment. Variations to the surgical rate occurred across jurisdictions, with the highest rate at 91-92% for Prince Edward Island, Newfoundland and Labrador, British Columbia and New Brunswick. Generally, there was an inverse gradient between surgical treatment rate and tumour stage. Interpretation: The surgical treatment rate of new primary breast cancers varied across provinces and territories from 2010 to 2012. New linked data could be used to further identify geographic and demographic inequities in terms of receiving surgical cancer treatment and contribute to the evaluation of cancer system performance and outcomes. © Her Majesty the Queen in Right of Canada as represented by the Minister of Industry, 2018.</t>
  </si>
  <si>
    <t>Carrière,G.,Sanmartin,C.,Murison,P.</t>
  </si>
  <si>
    <t>https://www.scopus.com/inward/record.uri?eid=2-s2.0-85054079025&amp;partnerID=40&amp;md5=88a355300f18b32c50c59a4fb72c051c</t>
  </si>
  <si>
    <t>Administrative data,Breast cancer,Disease stage,Record linkage,Surgical treatment</t>
  </si>
  <si>
    <t>Health Reports</t>
  </si>
  <si>
    <t>Using Electronic Health Records to Classify Cancer Site and Metastasis</t>
  </si>
  <si>
    <t>Background The Enhanced EHR-facilitated Cancer Symptom Control (E2C2) Trial is a pragmatic trial testing a collaborative care approach for managing common cancer symptoms. There were challenges in identifying cancer site and metastatic status. Objectives This study compares three different approaches to determine cancer site and six strategies for identifying the presence of metastasis using EHR and cancer registry data. Methods The E2C2 cohort included 50,559 patients seen in the medical oncology clinics of a large health system. SPPADE symptoms were assessed with 0 to 10 numeric rating scales (NRS). A multistep process was used to develop three approaches for representing cancer site: the single most prevalent International Statistical Classification of Diseases and Related Health Problems, 10th Revision (ICD-10) code, the two most prevalent codes, and any diagnostic code. Six approaches for identifying metastatic disease were compared: ICD-10 codes, natural language processing (NLP), cancer registry, medications typically prescribed for incurable disease, treatment plan, and evaluation for phase 1 trials. Results The approach counting the two most prevalent ICD-10 cancer site diagnoses per patient detected a median of 92% of the cases identified by counting all cancer site diagnoses, whereas the approach counting only the single most prevalent cancer site diagnosis identified a median of 65%. However, agreement among the three approaches was very good (kappa &gt; 0.80) for most cancer sites. ICD and NLP methods could be applied to the entire cohort and had the highest agreement (kappa = 0.53) for identifying metastasis. Cancer registry data was available for less than half of the patients. Conclusion Identification of cancer site and metastatic disease using EHR data was feasible in this large and diverse cohort of patients with common cancer symptoms. The methods were pragmatic and may be acceptable for covariates, but likely require refinement for key dependent and independent variables. © 2025. The Author(s).</t>
  </si>
  <si>
    <t>Kroenke,K.,Ruddy,K.J.,Pachman,D.R.,Grzegorczyk,V.,Herrin,J.,Rahman,P.A.,Tobin,K.A.,Griffin,J.M.,Chlan,L.L.,Austin,J.D.,Ridgeway,J.L.,Mitchell,S.A.,Marsolo,K.A.,Cheville,A.L.</t>
  </si>
  <si>
    <t>https://www.scopus.com/inward/record.uri?eid=2-s2.0-105009316971&amp;doi=10.1055%2Fa-2544-3117&amp;partnerID=40&amp;md5=9a61d7841b89b3347b432904ba5111d8</t>
  </si>
  <si>
    <t>cancer registry,cancer site,electronic health records,metastasis,natural language processing,neoplasms,pragmatic clinical trial</t>
  </si>
  <si>
    <t>Applied Clinical Informatics</t>
  </si>
  <si>
    <t>Using Explainable Machine Learning to Explore the Impact of Synoptic Reporting on Prostate Cancer.</t>
  </si>
  <si>
    <t>Machine learning (ML) models have proven to be an attractive alternative to traditional statistical methods in oncology. However, they are often regarded as black boxes, hindering their adoption for answering real-life clinical questions. In this paper, we show a practical application of explainable machine learning (XML). Specifically, we explored the effect that synoptic reporting (SR; i.e., reports where data elements are presented as discrete data items) in Pathology has on the survival of a population of 14,878 Dutch prostate cancer patients. We compared the performance of a Cox Proportional Hazards model (CPH) against that of an eXtreme Gradient Boosting model (XGB) in predicting patient ranked survival. We found that the XGB model (c-index = 0.67) performed significantly better than the CPH (c-index = 0.58). Moreover, we used Shapley Additive Explanations (SHAP) values to generate a quantitative mathematical representation of how features—including usage of SR—contributed to the models' output. The XGB model in combination with SHAP visualizations revealed interesting interaction effects between SR and the rest of the most important features. These results hint that SR has a moderate positive impact on predicted patient survival. Moreover, adding an explainability layer to predictive ML models can open their black box, making them more accessible and easier to understand by the user. This can make XML-based techniques appealing alternatives to the classical methods used in oncological research and in health care in general.</t>
  </si>
  <si>
    <t>Janssen Femke M.,Aben Katja K. H.,Heesterman Berdine L.,Voorham Quirinus J. M.,Seegers Paul A.,Moncada-Torres Arturo</t>
  </si>
  <si>
    <t>https://research.ebsco.com/linkprocessor/plink?id=05845863-9ce9-36d8-93c1-0e6fd5e01a91</t>
  </si>
  <si>
    <t>Machine learning,Proportional hazards models,Prostate cancer,Prostate cancer patients,XML (Extensible Markup Language),Overall survival</t>
  </si>
  <si>
    <t>Algorithms</t>
  </si>
  <si>
    <t>Using health insurance reimbursement data to identify incident cancer cases</t>
  </si>
  <si>
    <t>Objectives: The objective of this study was to establish an optimal population-level follow-up strategy for identifying incident cancers using health insurance reimbursement data in rural China. Study Design and Setting: We compared active follow-up and passive linkage with claims data for identification of incident cancer cases. Claims data were derived from the New Rural Cooperative Medical Scheme (NCMS). Follow-up data from subject enrollment to December 31, 2016, regarding 33,948 subjects in a large-scale randomized controlled trial were used in this study. Results: The overall sensitivity of passive linkage with NCMS claims data was significantly higher than that of active follow-up (95.6% vs. 54.9%, P &lt; 0.001). Of 12 cases missed by the NCMS data set, seven were treated on an outpatient basis and there were therefore no records in the NCMS system, and five were diagnosed at primary (township-level) health facilities and excluded from the quality control process. Of the 123 cases missed by active follow-up, 54 were reported as negative, 69 were reported as positive but had inaccurate information regarding the site of cancer, or exceeded the 6-month limitation from the date of diagnosis. Conclusion: Passive linkage with NCMS claims data is an efficient approach for identifying incident cancers in areas without cancer registries in rural China. © 2019 Elsevier Inc.</t>
  </si>
  <si>
    <t>Shi,C.,Liu,M.,Liu,Z.,Guo,C.,Li,F.,Xu,R.,Liu,F.,Liu,Y.,Li,J.,Cai,H.,He,Z.,Ke,Y.</t>
  </si>
  <si>
    <t>https://www.scopus.com/inward/record.uri?eid=2-s2.0-85069718013&amp;doi=10.1016%2Fj.jclinepi.2019.06.009&amp;partnerID=40&amp;md5=fca0a4bf81fe69ec9270a8e7b901807a</t>
  </si>
  <si>
    <t>Active follow-up,Cancer case ascertainment,China,ESECC trial,Linkage,New rural cooperative medical scheme</t>
  </si>
  <si>
    <t>Journal of Clinical Epidemiology</t>
  </si>
  <si>
    <t>Using informatics to improve cancer surveillance.</t>
  </si>
  <si>
    <t>Objectives This review summarizes past and current informatics activities at the Centers for Disease Control and Prevention National Program of Cancer Registries to inform readers about efforts to improve, standardize, and automate reporting to public health cancer registries. Target audience The target audience includes cancer registry experts, informaticians, public health professionals, database specialists, computer scientists, programmers, and system developers who are interested in methods to improve public health surveillance through informatics approaches. Scope This review provides background on central cancer registries and describes the efforts to standardize and automate reporting to these registries. Specific topics include standardized data exchange activities for physician and pathology reporting, software tools for cancer reporting, development of a natural language processing tool for processing unstructured clinical text, and future directions of cancer surveillance informatics.</t>
  </si>
  <si>
    <t>Blumenthal Wendy,Alimi Temitope O,Jones Sandra F,Jones David E,Rogers Joseph D,Benard Vicki B,Richardson Lisa C</t>
  </si>
  <si>
    <t>https://research.ebsco.com/linkprocessor/plink?id=57c0355a-491d-39c1-a328-96e6a390424f</t>
  </si>
  <si>
    <t>Medical informatics,Natural language processing,Centers for Disease Control &amp; Prevention (U.S.),Administration of Public Health Programs,Computer systems design and related services (except video game design and development),Custom Computer Programming Services,Medical personnel,Public health surveillance,Software development tools,Primary audience</t>
  </si>
  <si>
    <t>Using Large Language Models for Efficient Cancer Registry Coding in the Real Hospital Setting: A Feasibility Study</t>
  </si>
  <si>
    <t>The primary challenge in reporting cancer cases lies in the labor-intensive and time-consuming process of manually reviewing numerous reports. Current methods predominantly rely on rule-based approaches or custom-supervised learning models, which predict diagnostic codes based on a single pathology report per patient. Although these methods show promising evaluation results, their biased outcomes in controlled settings may hinder adaption to real-world reporting workflows. In this feasibility study, we focused on lung cancer as a test case and developed an agentic retrieval-augmented generation (RAG) system to evaluate the potential of publicly available large language models (LLMs) for cancer registry coding. Our findings demonstrate that: (1) directly applying publicly available LLMs without fine-tuning is feasible for cancer registry coding; and (2) prompt engineering can significantly enhance the capability of pre-trained LLMs in cancer registry coding. The off-the-shelf LLM, combined with our proposed system architecture and basic prompts, achieved a macro-averaged F-score of 0.637 when evaluated on testing data consisting of patients' medical reports spanning 1.5 years since their first visit. By employing chain of thought (CoT) reasoning and our proposed coding item grouping, the system outperformed the baseline by 0.187 in terms of the macro-averaged F-score. These findings demonstrate the great potential of leveraging LLMs with prompt engineering for cancer registry coding. Our system could offer cancer registrars a promising reference tool to enhance their daily workflow, improving efficiency and accuracy in cancer case reporting.</t>
  </si>
  <si>
    <t>Wang,C.-K.,Ke,C.-R.,Huang,M.-S.,Chong,I.-W.,Yang,Y.-H.,Tseng,V.S.,Dai,H.-J.</t>
  </si>
  <si>
    <t>https://www.scopus.com/inward/record.uri?eid=2-s2.0-85212611510&amp;partnerID=40&amp;md5=59439a85628c0fdd94322a4ad548c719</t>
  </si>
  <si>
    <t>Pacific Symposium on Biocomputing</t>
  </si>
  <si>
    <t>Using Large Language Models to Simulate History Taking: Implications for Symptom-Based Medical Education.</t>
  </si>
  <si>
    <t>Medical education often emphasizes theoretical knowledge, limiting students' opportunities to practice history taking, a structured interview that elicits relevant patient information before clinical decision making. Large language models (LLMs) offer novel solutions by generating simulated patient interviews. This study evaluated the educational potential of LLM-generated history-taking dialogues, focusing on clinical validity and diagnostic diversity. Chest pain was chosen as a representative case given its frequent presentation and importance for differential diagnosis. A fine-tuned Gemma-3-27B, specialized for medical interviews, was compared with GPT-4o-mini, a freely accessible LLM, in generating multi-branching history-taking dialogues, with Claude-3.5 Sonnet inferring diagnoses from these dialogues. The dialogues were assessed using a Chest Pain Checklist (CPC) and entropy-based metrics. Gemma-3-27B outperformed GPT-4o-mini, generating significantly more high-quality dialogues (90.7% vs. 76.5%). Gemma-3-27B produced diverse and focused diagnoses, whereas GPT-4o-mini generated broader but less specific patterns. For demographic information, such as age and sex, Gemma-3-27B showed significant shifts in dialogue patterns and diagnoses aligned with real-world epidemiological trends. These findings suggest that LLMs, particularly those fine-tuned for medical tasks, are promising educational tools for generating diverse, clinically valid interview scenarios that enhance clinical reasoning in history taking.</t>
  </si>
  <si>
    <t>Huh Cheong Yoon,Lee Jongwon,Kim Gibaeg,Jang Yerin,Ko Hye-seung,Suh Min Jung,Hwang Sumin,Son Ho Jin,Song Junha,Kim Soo-Jeong,Kim Kwang Joon,Kim Sung Il,Kim Chang Oh,Ko Yeo Gyeong</t>
  </si>
  <si>
    <t>https://research.ebsco.com/linkprocessor/plink?id=fa0f05c4-bcce-3dbe-8712-efbf515d759e</t>
  </si>
  <si>
    <t>Medical education,Medical history taking,Chest pain,Language models,Teaching aids,Simulated patients,Diagnosis,Nursing assessment,Colleges, Universities, and Professional Schools</t>
  </si>
  <si>
    <t>Using linked administrative and disease-specific databases to study end-of-life care on a population level</t>
  </si>
  <si>
    <t>Background: The use of full-population databases is under-explored to study the use, quality and costs of end-of-life care. Using the case of Belgium, we explored: (1) which full-population databases provide valid information about end-of-life care, (2) what procedures are there to use these databases, and (3) what is needed to integrate separate databases. Methods: Technical and privacy-related aspects of linking and accessing Belgian administrative databases and disease registries were assessed in cooperation with the database administrators and privacy commission bodies. For all relevant databases, we followed procedures in cooperation with database administrators to link the databases and to access the data. Results: We identified several databases as fitting for end-of-life care research in Belgium: the InterMutualistic Agency's national registry of health care claims data, the Belgian Cancer Registry including data on incidence of cancer, and databases administrated by Statistics Belgium including data from the death certificate database, the socio-economic survey and fiscal data. To obtain access to the data, approval was required from all database administrators, supervisory bodies and two separate national privacy bodies. Two Trusted Third Parties linked the databases via a deterministic matching procedure using multiple encrypted social security numbers. Conclusion: In this article we describe how various routinely collected population-level databases and disease registries can be accessed and linked to study patterns in the use, quality and costs of end-of-life care in the full population and in specific diagnostic groups. © 2016 The Author(s).</t>
  </si>
  <si>
    <t>Maetens,A.,de Schreye,R.,Faes,K.,Houttekier,D.,Deliens,L.,Gielen,B.,de Gendt,C.,Lusyne,P.,Annemans,L.,Cohen,J.</t>
  </si>
  <si>
    <t>https://www.scopus.com/inward/record.uri?eid=2-s2.0-84992322995&amp;doi=10.1186%2Fs12904-016-0159-7&amp;partnerID=40&amp;md5=b70fb86685b45df3206865b0a2b14d96</t>
  </si>
  <si>
    <t>Administrative databases,Data linkage,Disease-specific databases,End-of-life,Full-population</t>
  </si>
  <si>
    <t>BMC Palliative Care</t>
  </si>
  <si>
    <t>Using machine learning algorithms in determining the stage of breast cancer from pathology reports.</t>
  </si>
  <si>
    <t>Introduction: After a cancer diagnosis, the most important thing is to determine the stage and grade of the cancer. Pathology reports are the main source for cancer staging, but they do not contain all the information needed for the staging. However, the text of these reports is sometimes the only available information. We were interested in knowing whether text mining methods can be used to predict staging only from pathology reports. Material and Methods: A total of 698 pathology reports of breast cancer cases and their TNM staging collected from multiple centers in West Azerbaijan Province, Iran were used for this study. After preparing the semistructured reports, the texts of the reports were imported into a program written by Python V3. Three machine learning algorithms of Logistic Regression, SVM, and Naïve Bayes and a simple pipeline were used for the purpose of text mining. The performance of the algorithms was evaluated in terms of accuracy, precision, recall, and F1 score. Results: The Naïve Bayes algorithm achieved excellent results and a value rate of higher than 91% in all evaluation criteria (accuracy, precision, recall and F1 score). This means that the Naïve Bayes algorithm could classify the reports with high efficiency and its predictions were more correct than the other two algorithms. Naïve Bayes also outperformed SVM and Logistic Regression in terms of accuracy, recall and F1 score. In addition, NaïveBayes showed faster inference due to its simplicity and lower computational and training time. Conclusion: We suggest using the proposed design in this study for predicting breast cancer staging, where there is a need but not all necessary information except pathology reports. This method may not be a useful for clinical management of cancer patients, but it can be safely used for epidemiological estimations.</t>
  </si>
  <si>
    <t>Samadzad-Qushchi Shirin,Eskandarian Parinaz,Niazkhani Zahra,Rashidi Ali,Pirnejad Habibollah</t>
  </si>
  <si>
    <t>https://research.ebsco.com/linkprocessor/plink?id=6672fbd8-f659-3f13-b08b-722b609171ab</t>
  </si>
  <si>
    <t>Machine learning,Text mining,Tumor classification,Breast cancer,Logistic regression analysis</t>
  </si>
  <si>
    <t>Using Machine Learning for the Fusion of Tumor Records on a Real-World Dataset.</t>
  </si>
  <si>
    <t>Cancer registries collect multiple reports describing the same tumor, potentially leading to duplicate or conflicting values across different records. This complicates further use of cancer data. Data fusion addresses this issue by consolidating multiple records into a single record for each tumor. We use an artificial neural network (ANN) and compare the performance with a deterministic rule-based approach to merge multiple records per tumor. We accomplish this using a tabular real-world dataset provided by the Cancer Registry of Rhineland-Palatinate in Germany, including colorectal, breast and prostate cancer. The performance of both approaches is evaluated based on the macro F1 score. We find that ANNs outperform the deterministic rule-based approach. In addition, we observe that the performance depends on the number of features and the distribution of data. For both data fusion approaches, the macro F1 score increases with a lower number of categories within a variable and a more balanced dataset.</t>
  </si>
  <si>
    <t>Krämer Clarissa,Schmitt Susanne,Rothlauf Franz</t>
  </si>
  <si>
    <t>https://research.ebsco.com/linkprocessor/plink?id=5e834c69-023e-3a4d-9676-a3249b80ec64</t>
  </si>
  <si>
    <t>Germany,Machine Learning,Neoplasms epidemiology,Neoplasms diagnosis,Registries,Electronic Health Records,Humans,Germany epidemiology,Neural Networks, Computer,Male</t>
  </si>
  <si>
    <t>Using machine learning to parse breast pathology reports.</t>
  </si>
  <si>
    <t>Extracting information from electronic medical record is a time-consuming and expensive process when done manually. Rule-based and machine learning techniques are two approaches to solving this problem. In this study, we trained a machine learning model on pathology reports to extract pertinent tumor characteristics, which enabled us to create a large database of attribute searchable pathology reports. This database can be used to identify cohorts of patients with characteristics of interest.</t>
  </si>
  <si>
    <t>Yala Adam,Barzilay Regina,Salama Laura,Griffin Molly,Sollender Grace,Bardia Aditya,Lehman Constance,Buckley Julliette M,Coopey Suzanne B,Polubriaginof Fernanda,Garber Judy E,Smith Barbara L,Gadd Michele A,Specht Michelle C,Gudewicz Thomas M,Guidi Anthony J,Taghian Alphonse,Hughes Kevin S</t>
  </si>
  <si>
    <t>https://research.ebsco.com/linkprocessor/plink?id=e36842af-e413-38be-928e-cce676230c49</t>
  </si>
  <si>
    <t>Breast Neoplasms epidemiology,Data Mining methods,Electronic Health Records,Machine Learning statistics &amp; numerical data,Breast Neoplasms pathology,Databases, Factual,Female,Humans,Neoplasm Grading,Neoplasm Metastasis,Neoplasm Staging,Reproducibility of Results</t>
  </si>
  <si>
    <t>Using natural language processing and machine learning to identify breast cancer local recurrence.</t>
  </si>
  <si>
    <t>Identifying local recurrences in breast cancer from patient data sets is important for clinical research and practice. Developing a model using natural language processing and machine learning to identify local recurrences in breast cancer patients can reduce the time-consuming work of a manual chart review.</t>
  </si>
  <si>
    <t>Zeng Zexian,Espino Sasa,Roy Ankita,Li Xiaoyu,Khan Seema A,Clare Susan E,Jiang Xia,Neapolitan Richard,Luo Yuan</t>
  </si>
  <si>
    <t>https://research.ebsco.com/linkprocessor/plink?id=40ce2d48-e504-331a-8100-885b7b46a22a</t>
  </si>
  <si>
    <t>Breast Neoplasms diagnosis,Machine Learning,Natural Language Processing,Neoplasm Recurrence, Local diagnosis,Cohort Studies,Electronic Health Records,Female,Humans,Reproducibility of Results,Support Vector Machine,Unified Medical Language System</t>
  </si>
  <si>
    <t>Using natural language processing to construct a metastatic breast cancer cohort from linked cancer registry and electronic medical records data</t>
  </si>
  <si>
    <t>Objectives: Most population-based cancer databases lack information on metastatic recurrence. Electronic medical records (EMR) and cancer registries contain complementary information on cancer diagnosis, treatment and outcome, yet are rarely used synergistically. To construct a cohort of metastatic breast cancer (MBC) patients, we applied natural language processing techniques within a semisupervised machine learning framework to linked EMR-California Cancer Registry (CCR) data. Materials and Methods: We studied all female patients treated at Stanford Health Care with an incident breast cancer diagnosis from 2000 to 2014. Our database consisted of structured fields and unstructured free-text clinical notes from EMR, linked to CCR, a component of the Surveillance, Epidemiology and End Results Program (SEER). We identified de novo MBC patients from CCR and extracted information on distant recurrences from patient notes in EMR. Furthermore, we trained a regularized logistic regression model for recurrent MBC classification and evaluated its performance on a gold standard set of 146 patients. Results: There were 11 459 breast cancer patients in total and the median follow-up time was 96.3 months. We identified 1886 MBC patients, 512 (27.1%) of whom were de novo MBC patients and 1374 (72.9%) were recurrent MBC patients. Our final MBC classifier achieved an area under the receiver operating characteristic curve (AUC) of 0.917, with sensitivity 0.861, specificity 0.878, and accuracy 0.870. Discussion and Conclusion: To enable population-based research on MBC, we developed a framework for retrospective case detection combining EMR and CCR data. Our classifier achieved good AUC, sensitivity, and specificity without expert-labeled examples. © The Author(s) 2019. Published by Oxford University Press on behalf of the American Medical Informatics Association. This is an Open Access article distributed under the terms of the Creative Commons Attribution License (http://creativecommons.org/licenses/by/4.0/), which permits unrestricted reuse, distribution, and reproduction in any medium, provided the original work is properly cited.</t>
  </si>
  <si>
    <t>Ling,A.Y.,Kurian,A.W.,Caswell-Jin,J.L.,Sledge,G.W.,Shah,N.H.,Tamang,S.R.</t>
  </si>
  <si>
    <t>https://www.scopus.com/inward/record.uri?eid=2-s2.0-85095442915&amp;doi=10.1093%2Fjamiaopen%2Fooz040&amp;partnerID=40&amp;md5=5277ba2d7c17922a2f2649e145d5bb4c</t>
  </si>
  <si>
    <t>Cancer distant recurrence,Electronic medical records,Natural language processing,SEER,Semi-supervised machine learning</t>
  </si>
  <si>
    <t>Using Pointwise Mutual Information for Breast Cancer Health Disparities Research With SEER-Medicare Claims.</t>
  </si>
  <si>
    <t>Identification of procedures using International Classification of Diseases or Healthcare Common Procedure Coding System codes is challenging when conducting medical claims research. We demonstrate how Pointwise Mutual Information can be used to find associated codes. We apply the method to an investigation of racial differences in breast cancer outcomes. We used Surveillance Epidemiology and End Results (SEER) data linked to Medicare claims. We identified treatment using two methods. First, we used previously published definitions. Second, we augmented definitions using codes empirically identified by the Pointwise Mutual Information statistic. Similar to previous findings, we found that presentation differences between Black and White women closed much of the estimated survival curve gap. However, we found that survival disparities were completely eliminated with the augmented treatment definitions. We were able to control for a wider range of treatment patterns that might affect survival differences between Black and White women with breast cancer.</t>
  </si>
  <si>
    <t>Egleston Brian L.,Chanda Ashis Kumar,Tian Bai,Fang Carolyn Y.,Bleicher Richard J.,Vucetic Slobodan</t>
  </si>
  <si>
    <t>https://research.ebsco.com/linkprocessor/plink?id=2efd359d-94f6-33f9-b234-d21dd082d9a4</t>
  </si>
  <si>
    <t>Breast cancer treatment,Health equity,Machine learning,Medicare,Data analysis,Administration of Human Resource Programs (except Education, Public Health, and Veterans' Affairs Programs)</t>
  </si>
  <si>
    <t>Methodology: European Journal of Research Methods for the Behavioral &amp; Social Sciences</t>
  </si>
  <si>
    <t>Using Population-Based Cancer Registration Data and Period Analysis to Accurately Assess and Predict 5-Year Relative Survival for Lung Cancer Patients in Eastern China</t>
  </si>
  <si>
    <t>Background: The assessment of long-term survival of lung cancer patients based on data from population-based caner registries, using period analysis, was scarce in China. We aimed to accurately assess the long-term survival of lung cancer patients, and to predict the long-term survival in the future, using cancer registry data from Taizhou City, eastern China. Methods: Four cancer registries with high-quality data were selected. Patients diagnosed with lung cancer during 2004–2018 were included. The long-term survival was evaluated using period analysis, with further stratification by sex, age at diagnosis and region. Additionally, projected 5-year relative survival (RS) of lung cancer patients for 2019-2023 was evaluated, using model-based period analysis. Results: The 5-year RS of lung cancer patients diagnosed during 2014–2018 was 40.2% (31.5% for men and 56.2% for women). A moderate age gradient was observed for the period estimate, with the estimate decreasing from 50.5 to 26.5% in the age group of 15–44 years and ≥75 years, respectively. The 5-year RS of urban area was higher than that of rural area (52.3% vs. 38.9%). The overall projected 5-year RS of lung cancer patients was 52.7% for 2019–2023, with estimate of 43.0 and 73.2% for men and women, respectively. A moderate age gradient was also observed for the projected estimate. Moreover, estimate reached nearly 50% for rural and urban areas. Conclusion: Period analysis tended to provide the up-to-date and precise survival estimates for lung cancer patients, which is worth further application, and provides important evidence for prevention and intervention of lung cancer. © Copyright © 2021 Li, Zhang, Cheng, Jiang, Tang, Wang, Chen and Chen.</t>
  </si>
  <si>
    <t>Li,R.,Zhang,M.,Cheng,Y.,Jiang,X.,Tang,H.,Wang,L.,Chen,T.,Chen,B.</t>
  </si>
  <si>
    <t>https://www.scopus.com/inward/record.uri?eid=2-s2.0-85107234361&amp;doi=10.3389%2Ffonc.2021.661012&amp;partnerID=40&amp;md5=8b6a44a6f6a9a1b4edf6960da347e20e</t>
  </si>
  <si>
    <t>5-year relative survival,cancer registry,lung cancer,period analysis,survival</t>
  </si>
  <si>
    <t>Frontiers in Oncology</t>
  </si>
  <si>
    <t>Using Systematized Nomenclature of Medicine clinical term codes to assign histological findings for prostate biopsies in the Gauteng province, South Africa: Lessons learnt.</t>
  </si>
  <si>
    <t>Background: Prostate cancer (PCa) is a leading male neoplasm in South Africa. Objective: The aim of our study was to describe PCa using Systemized Nomenclature of Medicine (SNOMED) clinical terms codes, which have the potential to generate more timely data. Methods: The retrospective study design was used to analyse prostate biopsy data from our laboratories using SNOMED morphology (M) and topography (T) codes where the term 'prostate' was captured in the narrative report. Using M code descriptions, the diagnosis, sub-diagnosis, sub-result and International Classification of Diseases for Oncology (ICD-O-3) codes were assigned using a lookup table. Topography code descriptions identified biopsies of prostatic origin. Lookup tables were prepared using Microsoft Excel and combined with the data extracts using Access. Contingency tables reported M and T codes, diagnosis and sub-diagnosis frequencies. Results: An M and T code was reported for 88% (n = 22 009) of biopsies. Of these, 20 551 (93.37%) were of prostatic origin. A benign diagnosis (ICD-O-3:8000/0) was reported for 10 441 biopsies (50.81%) and 45.26% had a malignant diagnosis (n = 9302). An adenocarcinoma (8140/3) sub-diagnosis was reported for 88.16% of malignant biopsies (n = 8201). An atypia diagnosis was reported for 760 biopsies (3.7%). Inflammation (39.03%) and hyperplasia (20.82%) were the predominant benign sub-diagnoses. Conclusion: Our study demonstrated the feasibility of generating PCa data using SNOMED codes from national laboratory data. This highlights the need for extending the results of our study to a national level to deliver timeous monitoring of PCa trends.</t>
  </si>
  <si>
    <t>Cassim Naseem,Ahmad Ahsan,Wadee Reubina,George Jaya A.,Glencross Deborah K.</t>
  </si>
  <si>
    <t>https://research.ebsco.com/linkprocessor/plink?id=f1570a67-2618-3340-9688-8072b9df4937</t>
  </si>
  <si>
    <t>Systematized Nomenclature of Medicine,Prostate biopsy,Clinical medicine,Exocrine glands,Medical coding,Diagnosis,Abiraterone acetate,South Africa,Gauteng (South Africa),International Statistical Classification of Diseases &amp; Related Health Problems</t>
  </si>
  <si>
    <t>African Journal of Laboratory Medicine</t>
  </si>
  <si>
    <t>Using text mining techniques to extract prostate cancer predictive information (Gleason score) from semi-structured narrative laboratory reports in the Gauteng province, South Africa.</t>
  </si>
  <si>
    <t>Prostate cancer (PCa) is the leading male neoplasm in South Africa with an age-standardised incidence rate of 68.0 per 100,000 population in 2018. The Gleason score (GS) is the strongest predictive factor for PCa treatment and is embedded within semi-structured prostate biopsy narrative reports. The manual extraction of the GS is labour-intensive. The objective of our study was to explore the use of text mining techniques to automate the extraction of the GS from irregularly reported text-intensive patient reports.</t>
  </si>
  <si>
    <t>Cassim Naseem,Mapundu Michael,Olago Victor,Celik Turgay,George Jaya Anna,Glencross Deborah Kim</t>
  </si>
  <si>
    <t>https://research.ebsco.com/linkprocessor/plink?id=d9dd4654-2473-31d4-9214-2c7af7974270</t>
  </si>
  <si>
    <t>South Africa,Laboratories,Prostatic Neoplasms diagnosis,Prostatic Neoplasms epidemiology,Data Mining,Humans,Male,Neoplasm Grading,South Africa epidemiology</t>
  </si>
  <si>
    <t>Using tribal data linkages to improve the quality of american indian cancer data in Michigan</t>
  </si>
  <si>
    <t>This study examines the extent to which data linkages between Indian Health Service, tribal data, and cancer registries affect cancer incidence rates among American Indians/ Alaska Natives (AI/ ANs) in Michigan. The incidence of tobacco- and alcohol- associated cancers for 1995- 2012 was analyzed to compare rates of the Upper Peninsula (UP) and Lower Peninsula (LP) in Michigan and among AI/ ANs and non- Hispanic Whites (NHWs). Complete linkage resulted in 1,352 additional AI/ AN cases; 141 cases were linked via IHS records alone, while 373 were linked via tribal records alone; 838 were linked through both IHS and tribal records. Age- adjusted incidence rates for AI/ ANs increased from 214.39 per 100,000 to 405.41 per 100,000, similar to that of NHWs after complete linkage (421.46 per 100,000). In the UP, AI/ ANs had age- adjusted incidence rates 1.67 times higher than NHWs (596.69 per 100,000 vs. 356.32 per 100,000 respectively). This study indicates a substantial number of AI/ AN cancer cases remain misclassified in Michigan. © Meharry Medical College.</t>
  </si>
  <si>
    <t>Weber,T.L.,Copeland,G.,Pingatore,N.,Schmid,K.K.,Jim,M.A.,Watanabe-Galloway,S.</t>
  </si>
  <si>
    <t>https://www.scopus.com/inward/record.uri?eid=2-s2.0-85072150198&amp;doi=10.1353%2Fhpu.2019.0084&amp;partnerID=40&amp;md5=90502337aeb5133ca670428685ed8559</t>
  </si>
  <si>
    <t>American indian,Cancer incidence,Data linkage,Data quality,Epidemiology,Michigan</t>
  </si>
  <si>
    <t>Journal of Health Care for the Poor and Underserved</t>
  </si>
  <si>
    <t>Utility of Features in a Natural-Language-Processing-Based Clinical De-Identification Model Using Radiology Reports for Advanced NSCLC Patients</t>
  </si>
  <si>
    <t>The de-identification of clinical reports is essential to protect the confidentiality of patients. The natural-language-processing-based named entity recognition (NER) model is a widely used technique of automatic clinical de-identification. The performance of such a machine learning model relies largely on the proper selection of features. The objective of this study was to investigate the utility of various features in a conditional-random-field (CRF)-based NER model. Natural language processing (NLP) toolkits were used to annotate the protected health information (PHI) from a total of 10,239 radiology reports that were divided into seven types. Multiple features were extracted by the toolkit and the NER models were built using these features and their combinations. A total of 10 features were extracted and the performance of the models was evaluated based on their precision, recall, and F-1-score. The best-performing features were n-gram, prefix-suffix, word embedding, and word shape. These features outperformed others across all types of reports. The dataset we used was large in volume and divided into multiple types of reports. Such a diverse dataset made sure that the results were not subject to a small number of structured texts from where a machine learning model can easily learn the features. The manual de-identification of large-scale clinical reports is impractical. This study helps to identify the best-performing features for building an NER model for automatic de-identification from a wide array of features mentioned in the literature.</t>
  </si>
  <si>
    <t>Paul T,Islam H,Singh N,Jampani Y,Kotapati TVP,Tautam PA,Rana MKZ,Mandhadi V,Sharma V,Barnes M,Hammer RD,Mosa AM</t>
  </si>
  <si>
    <t>https://www.webofscience.com/wos/woscc/full-record/WOS:000866608700001</t>
  </si>
  <si>
    <t>protected health information; natural language processing (NLP); named entity recognition (NER); de-identification; conditional random field (CRF)</t>
  </si>
  <si>
    <t>Validated algorithms for identifying timing of second event of oropharyngeal squamous cell carcinoma using real-world data.</t>
  </si>
  <si>
    <t>Understanding occurrence and timing of second events (recurrence and second primary cancer) is essential for cancer specific survival analysis. However, this information is not readily available in administrative data.</t>
  </si>
  <si>
    <t>Khair Shahreen,Dort Joseph C,Quan May Lynn,Cheung Winson Y,Sauro Khara M,Nakoneshny Steven C,Popowich Brittany Lynn,Liu Ping,Wu Guosong,Xu Yuan</t>
  </si>
  <si>
    <t>https://research.ebsco.com/linkprocessor/plink?id=9c66dbcc-3697-341b-8afb-32f692073341</t>
  </si>
  <si>
    <t>Head and Neck Neoplasms,Neoplasms, Second Primary epidemiology,Oropharyngeal Neoplasms pathology,Oropharyngeal Neoplasms therapy,Algorithms,Humans,Retrospective Studies,Squamous Cell Carcinoma of Head and Neck,Survival Analysis</t>
  </si>
  <si>
    <t>Validating drug repurposing signals using electronic health records: A case study of metformin associated with reduced cancer mortality</t>
  </si>
  <si>
    <t>Objectives Drug repurposing, which finds new indications for existing drugs, has received great attention recently. The goal of our work is to assess the feasibility of using electronic health records (EHRs) and automated informatics methods to efficiently validate a recent drug repurposing association of metformin with reduced cancer mortality. Methods By linking two large EHRs from Vanderbilt University Medical Center and Mayo Clinic to their tumor registries, we constructed a cohort including 32 415 adults with a cancer diagnosis at Vanderbilt and 79 258 cancer patients at Mayo from 1995 to 2010. Using automated informatics methods, we further identified type 2 diabetes patients within the cancer cohort and determined their drug exposure information, as well as other covariates such as smoking status. We then estimated HRs for all-cause mortality and their associated 95% CIs using stratified Cox proportional hazard models. HRs were estimated according to metformin exposure, adjusted for age at diagnosis, sex, race, body mass index, tobacco use, insulin use, cancer type, and non-cancer Charlson comorbidity index. Results Among all Vanderbilt cancer patients, metformin was associated with a 22% decrease in overall mortality compared to other oral hypoglycemic medications (HR 0.78; 95% CI 0.69 to 0.88) and with a 39% decrease compared to type 2 diabetes patients on insulin only (HR 0.61; 95% CI 0.50 to 0.73). Diabetic patients on metformin also had a 23% improved survival compared with non-diabetic patients (HR 0.77; 95% CI 0.71 to 0.85). These associations were replicated using the Mayo Clinic EHR data. Many site-specific cancers including breast, colorectal, lung, and prostate demonstrated reduced mortality with metformin use in at least one EHR. Conclusions EHR data suggested that the use of metformin was associated with decreased mortality after a cancer diagnosis compared with diabetic and non-diabetic cancer patients not on metformin, indicating its potential as a chemotherapeutic regimen. This study serves as a model for robust and inexpensive validation studies for drug repurposing signals using EHR data. © The Author 2014.</t>
  </si>
  <si>
    <t>Xu,H.,Aldrich,M.C.,Chen,Q.,Liu,H.,Peterson,N.B.,Dai,Q.,Levy,M.A.,Shah,A.,Han,X.,Ruan,X.,Jiang,M.,Li,Y.,Julien,J.S.,Warner,J.L.,Friedman,C.,Roden,D.M.,Denny,J.C.</t>
  </si>
  <si>
    <t>https://www.scopus.com/inward/record.uri?eid=2-s2.0-84928658794&amp;doi=10.1136%2Famiajnl-2014-002649&amp;partnerID=40&amp;md5=41684a20fa8441683f6294bed0023443</t>
  </si>
  <si>
    <t>Drug repurposing,Electronic health records,Metformin,Natural language processing</t>
  </si>
  <si>
    <t>Validation of a natural language processing algorithm to identify adenomas and measure adenoma detection rates across a health system: a population-level study</t>
  </si>
  <si>
    <t>Background and Aims: Measuring adenoma detection rates (ADRs) at the population level is challenging because pathology reports are often reported in an unstructured format; further, there is significant variation in reporting methods across institutions. Natural language processing (NLP) can be used to extract relevant information from text-based records. We aimed to develop and validate an NLP algorithm to identify colorectal adenomas that could be used to report ADR at the population level in Ontario, Canada. Methods: The sampling frame included pathology reports from all colonoscopies performed in Ontario in 2015 and 2016. Two random samples of 450 and 1000 reports were selected as the training and validation sets, respectively. Expert clinicians reviewed and classified reports as adenoma or other. The training set was used to develop an NLP algorithm (to identify adenomas) that was evaluated using the validation set. The NLP algorithm test characteristics were calculated using expert review as the reference. We used the algorithm to measure ADR for all endoscopists in Ontario in 2019. Results: The 1450 pathology reports were derived from 62 laboratories, 266 pathologists, and 532 endoscopists. In the training set, the NLP algorithm for any adenoma had a sensitivity of 99.60% (95% confidence interval (CI), 97.77-99.99), specificity of 99.01% (95% CI, 96.49-99.88), positive predictive value of 99.19% (95% CI, 97.12-99.90), and F1 score of .99. Similar results were obtained for the validation set. The median ADR was 33% (interquartile range, 26%-40%). Conclusions: When we used a population-based sample from Ontario, our NLP algorithm was highly accurate and was used at the system level to measure ADR. © 2023 American Society for Gastrointestinal Endoscopy</t>
  </si>
  <si>
    <t>Tinmouth,J.,Swain,D.,Chorneyko,K.,Lee,V.,Bowes,B.,Li,Y.,Gao,J.,Morgan,D.</t>
  </si>
  <si>
    <t>https://www.scopus.com/inward/record.uri?eid=2-s2.0-85141323659&amp;doi=10.1016%2Fj.gie.2022.07.009&amp;partnerID=40&amp;md5=fb4e1889533c7b05db66253fd9c62bef</t>
  </si>
  <si>
    <t>Validation of a Population-Based Data Source to Examine National Cancer Clinical Trial Participation</t>
  </si>
  <si>
    <t>Importance: The Centers for Medicare &amp; Medicaid Services requires health care organizations to report the National Clinical Trial (NCT) identifier on claims for items and services related to clinical trials that qualify for coverage. This same NCT identifier is used to identify clinical trials in the ClinicalTrials.gov registry. If linked, this information could facilitate population-based analyses of clinical trial participation and outcomes. Objective: To evaluate the validity of a linkage between fee-for-service (FFS) Medicare claims and ClinicalTrials.gov through the NCT identifier for patients with cancer enrolled in clinical trials. Design, Setting, and Participants: This cohort study included 2 complementary retrospective analyses for a validation assessment. First, billing data from 3 health care institutions were used to estimate the missingness of the NCT identifier in claims by calculating the proportion of known participants in cancer clinical trials with no NCT identifier on any submitted Medicare claims. Second, the Surveillance Epidemiology and End Results-Medicare data set, which includes a subset of all FFS Medicare beneficiaries for whom health insurance claims are linked with cancer registry data, was used to identify adult patients diagnosed with cancer between 2006 and 2015 with an NCT identifier in claims corresponding to an interventional cancer clinical trial. To estimate the accuracy of the NCT identifier when present, the proportion of NCT identifiers that corresponded to trials that were aligned with the patients' known primary or secondary diagnoses was calculated. Data were analyzed from March 2020 to March 2021. Exposures: An NCT identifier present in Medicare claims. Main Outcomes and Measures: The main outcome was participating in a clinical trial relevant to patient's cancer diagnosis. Results: A total of 1171816 patients were included in analyses. Across the 3 participating institutions, there were 5061 Medicare patients enrolled in a clinical trial, including 3797 patients (75.0%) with an NCT identifier on at least 1 billing claim that matched the clinical trial on which the patient was participating. Among 1171816 SEER-Medicare patients, 29138 patients (2.5%) had at least 1 claim with a value entered in the NCT identifier field corresponding to 32950 unique patient-NCT identifier pairs. There were 26694 pairs (81.0%) with an NCT identifier corresponding to a clinical trial registered in ClinicalTrials.gov, of which 10170 pairs (38.1%) were interventional cancer clinical trials. Among these, 9805 pairs (96.4%) were considered appropriate. Conclusions and Relevance: In this cohort study, this data linkage provided a novel data source to study clinical trial enrollment patterns among Medicare patients with cancer on a population level. The presence of the NCT identifiers in claims for Medicare patients participating in clinical trials is likely to improve over time with increasing adherence with the Centers for Medicare &amp; Medicaid Services mandate.. © 2022 American Medical Association. All rights reserved.</t>
  </si>
  <si>
    <t>Green,A.K.,Tabatabai,S.M.,Bai,X.,Mishra Meza,A.,Lesny,A.-M.,Aghajanian,C.,Landgren,O.,Riely,G.J.,Sabbatini,P.,Salner,A.,Lipkin,S.,Ip,A.,Bach,P.B.,Begg,C.B.,Mailankody,S.,Lipitz-Snyderman,A.</t>
  </si>
  <si>
    <t>https://www.scopus.com/inward/record.uri?eid=2-s2.0-85126908841&amp;doi=10.1001%2Fjamanetworkopen.2022.3687&amp;partnerID=40&amp;md5=2a329a7ce0d9583692b444203de6b0c6</t>
  </si>
  <si>
    <t>Validation of deep learning natural language processing algorithm for keyword extraction from pathology reports in electronic health records.</t>
  </si>
  <si>
    <t>Pathology reports contain the essential data for both clinical and research purposes. However, the extraction of meaningful, qualitative data from the original document is difficult due to the narrative and complex nature of such reports. Keyword extraction for pathology reports is necessary to summarize the informative text and reduce intensive time consumption. In this study, we employed a deep learning model for the natural language process to extract keywords from pathology reports and presented the supervised keyword extraction algorithm. We considered three types of pathological keywords, namely specimen, procedure, and pathology types. We compared the performance of the present algorithm with the conventional keyword extraction methods on the 3115 pathology reports that were manually labeled by professional pathologists. Additionally, we applied the present algorithm to 36,014 unlabeled pathology reports and analysed the extracted keywords with biomedical vocabulary sets. The results demonstrated the suitability of our model for practical application in extracting important data from pathology reports.</t>
  </si>
  <si>
    <t>Kim Yoojoong,Lee Jeong Hyeon,Choi Sunho,Lee Jeong Moon,Kim Jong-Ho,Seok Junhee,Joo Hyung Joon</t>
  </si>
  <si>
    <t>https://research.ebsco.com/linkprocessor/plink?id=9af8f669-1df0-3f70-aa1f-3cc511d81f5c</t>
  </si>
  <si>
    <t>Deep learning,Data extraction,Electronic health records,Pathology</t>
  </si>
  <si>
    <t>Validation of large language models for detecting pathologic complete response in breast cancer using population-based pathology reports.</t>
  </si>
  <si>
    <t>The primary goal of this study is to evaluate the capabilities of Large Language Models (LLMs) in understanding and processing complex medical documentation. We chose to focus on the identification of pathologic complete response (pCR) in narrative pathology reports. This approach aims to contribute to the advancement of comprehensive reporting, health research, and public health surveillance, thereby enhancing patient care and breast cancer management strategies.</t>
  </si>
  <si>
    <t>Cheligeer Ken,Wu Guosong,Laws Alison,Quan May Lynn,Li Andrea,Brisson Anne-Marie,Xie Jason,Xu Yuan</t>
  </si>
  <si>
    <t>https://research.ebsco.com/linkprocessor/plink?id=e33a628c-7bb4-33da-a26c-4ef84da6f16b</t>
  </si>
  <si>
    <t>Breast Neoplasms pathology,Humans,Female,Middle Aged,Neural Networks, Computer,Natural Language Processing,Adult,Aged,Neoadjuvant Therapy,Pathologic Complete Response</t>
  </si>
  <si>
    <t>Validation of Non–Small Cell Lung Cancer Clinical Insights Using a Generalized Oncology Natural Language Processing Model</t>
  </si>
  <si>
    <t>PURPOSE Limited studies have used natural language processing (NLP) in the context of non–small cell lung cancer (NSCLC). This study aimed to validate the application of an NLP model to an NSCLC cohort by extracting NSCLC concepts from free-text medical notes and converting them to structured, interpretable data. METHODS Patients with a lung neoplasm, NSCLC histology, and treatment information in their notes were selected from a repository of over 27 million patients. From these, 200 were randomly selected for this study with the longest and the most recent note included for each patient. An NLP model developed and validated on a large solid and blood cancer oncology cohort was applied to this NSCLC cohort. Two certified tumor registrars and a curator abstracted concepts from the notes: neoplasm, histology, stage, TNM values, and metastasis sites. This manually abstracted gold standard was compared with the NLP model output. Precision and recall scores were calculated. RESULTS The NLP model extracted the NSCLC concepts with excellent precision and recall with the following scores, respectively: Lung neoplasm 100% and 100%, NSCLC histology 99% and 88%, histology correctly linked to neoplasm 98% and 79%, stage value 98.8% and 92%, stage TNM value 93% and 98%, and metastasis site 97% and 89%. High precision is related to a low number of false positives, and therefore, extracted concepts are likely accurate. High recall indicates that the model captured most of the desired concepts. CONCLUSION This study validates that Optum’s oncology NLP model has high precision and recall with clinical real-world data and is a reliable model to support research studies and clinical trials. This validation study shows that our nonspecific solid tumor and blood cancer oncology model is generalizable to successfully extract clinical information from specific cancer cohorts. © 2024 by American Society of Clinical Oncology.</t>
  </si>
  <si>
    <t>Kenney,R.C.,Chen,X.,Shintani,K.,Gagnon,C.,Liu,J.,Dacosta-Byfield,S.D.,Ochs,L.,Currie,A.-M.</t>
  </si>
  <si>
    <t>https://www.scopus.com/inward/record.uri?eid=2-s2.0-85203220773&amp;doi=10.1200%2FCCI.23.00099&amp;partnerID=40&amp;md5=5987b64ea0bea7dcda5b6e824024f4d4</t>
  </si>
  <si>
    <t>Validity of using multiple imputation for "unknown" stage at diagnosis in populationbased cancer registry data</t>
  </si>
  <si>
    <t>Background: The multiple imputation approach to missing data has been validated by a number of simulation studies by artificially inducing missingness on fully observed stage data under a prespecified missing data mechanism. However, the validity of multiple imputation has not yet been assessed using real data. The objective of this study was to assess the validity of using multiple imputation for "unknown" prostate cancer stage recorded in the New South Wales Cancer Registry (NSWCR) in real-world conditions. Methods: Data from the population-based cohort study NSW Prostate Cancer Care and Outcomes Study (PCOS) were linked to 2000-2002 NSWCR data. For cases with "unknown" NSWCR stage, PCOS-stage was extracted from clinical notes. Logistic regression was used to evaluate the missing at random assumption adjusted for variables from two imputation models: a basic model including NSWCR variables only and an enhanced model including the same NSWCR variables together with PCOS primary treatment. Cox regression was used to evaluate the performance of MI. Results: Of the 1864 prostate cancer cases 32.7% were recorded as having "unknown" NSWCR stage. The missing at random assumption was satisfied when the logistic regression included the variables included in the enhanced model, but not those in the basic model only. The Cox models using data with imputed stage from either imputation model provided generally similar estimated hazard ratios but with wider confidence intervals compared with those derived from analysis of the data with PCOS-stage. However, the complete-case analysis of the data provided a considerably higher estimated hazard ratio for the low socioeconomic status group and rural areas in comparison with those obtained from all other datasets. Conclusions: Using MI to deal with "unknown" stage data recorded in a population-based cancer registry appears to provide valid estimates. We would recommend a cautious approach to the use of this method elsewhere. © 2017 Luo et al. This is an open access article distributed under the terms of the Creative Commons Attribution License, which permits unrestricted use, distribution, and reproduction in any medium, provided the original author and source are credited.</t>
  </si>
  <si>
    <t>Luo,Q.,Egger,S.,Yu,X.Q.,Smith,D.P.,O'Connell,D.L.</t>
  </si>
  <si>
    <t>https://www.scopus.com/inward/record.uri?eid=2-s2.0-85021331213&amp;doi=10.1371%2Fjournal.pone.0180033&amp;partnerID=40&amp;md5=fd0271b1bc2d86a029b83b30f97043d6</t>
  </si>
  <si>
    <t>Variation in chemotherapy prescribing rates and mortality in early breast cancer over two decades: a national data linkage study</t>
  </si>
  <si>
    <t>Background: Regional variation in clinical practice may identify differences in care, reveal inequity in access, and explain inequality in outcomes. The study aim was to measure geographical variation in Scotland for adjuvant chemotherapy use and mortality in early-stage breast cancer. Patients and methods: In this retrospective cohort study using population cancer registry-based data linkage, patients with surgically treated early breast cancer between 2001 and 2018 were identified from the Scottish Cancer Registry. Geographical regions considered were based on NHS Scotland organisational structure including 14 territorial Health Boards as well as three regional Cancer Networks. Regional variation in the proportion receiving chemotherapy, breast cancer mortality and all-cause mortality was investigated. Inter-regional comparisons of chemotherapy use were adjusted for differences in case mix using logistic regression. Comparison of breast cancer-specific mortality and all-cause mortality used regression with a parametric survival model. Time trends were assessed using moving average plots. Results: Chemotherapy use ranged from 35% to 46% of patients across Health Boards without adjustment. Variation reduced between 2001 and 2018. Following adjustment for clinical case mix, variation between cancer networks was within 3 percentage points, but up to 10 percentage points from the national average in some Health Boards. Differences in breast cancer mortality and all-cause mortality between cancer networks were modest, with hazard ratios of between 0.933 (95% confidence interval 0.893-0.975) and 1.041 (1.002-1.082) compared with the national average. Survival improved over the time period studied. Conclusion: With adequate case mix adjustment, variation in adjuvant chemotherapy use for early breast cancer in Scotland is small, with a trend towards greater convergence in practice and improved mortality outcomes in more recent cohorts. This suggests very limited regional inequity in access and convergence of clinical practice towards risk-stratified treatment recommendations. Outliers require assessment to understand the reasons for variance. © 2021 The Authors</t>
  </si>
  <si>
    <t>Gray,E.,Figueroa,J.D.,Oikonomidou,O.,Macpherson,I.,Urquhart,G.,Cameron,D.A.,Hall,P.S.</t>
  </si>
  <si>
    <t>https://www.scopus.com/inward/record.uri?eid=2-s2.0-85120442524&amp;doi=10.1016%2Fj.esmoop.2021.100331&amp;partnerID=40&amp;md5=56b00a31524ffb82d6666cdf88103527</t>
  </si>
  <si>
    <t>breast cancer,chemotherapy,mortality,regional variation</t>
  </si>
  <si>
    <t>ESMO Open</t>
  </si>
  <si>
    <t>Weakly supervised temporal model for prediction of breast cancer distant recurrence.</t>
  </si>
  <si>
    <t>Efficient prediction of cancer recurrence in advance may help to recruit high risk breast cancer patients for clinical trial on-time and can guide a proper treatment plan. Several machine learning approaches have been developed for recurrence prediction in previous studies, but most of them use only structured electronic health records and only a small training dataset, with limited success in clinical application. While free-text clinic notes may offer the greatest nuance and detail about a patient's clinical status, they are largely excluded in previous predictive models due to the increase in processing complexity and need for a complex modeling framework. In this study, we developed a weak-supervision framework for breast cancer recurrence prediction in which we trained a deep learning model on a large sample of free-text clinic notes by utilizing a combination of manually curated labels and NLP-generated non-perfect recurrence labels. The model was trained jointly on manually curated data from 670 patients and NLP-curated data of 8062 patients. It was validated on manually annotated data from 224 patients with recurrence and achieved 0.94 AUROC. This weak supervision approach allowed us to learn from a larger dataset using imperfect labels and ultimately provided greater accuracy compared to a smaller hand-curated dataset, with less manual effort invested in curation.</t>
  </si>
  <si>
    <t>Sanyal Josh,Tariq Amara,Kurian Allison W.,Rubin Daniel,Banerjee Imon</t>
  </si>
  <si>
    <t>https://research.ebsco.com/linkprocessor/plink?id=4ed462cd-8a01-3412-88d6-2f1b97b80fd6</t>
  </si>
  <si>
    <t>Breast cancer,Cancer relapse,Machine learning,Electronic health records,Prediction models</t>
  </si>
  <si>
    <t>What Every Reader Should Know About Studies Using Electronic Health Record Data but May Be Afraid to Ask.</t>
  </si>
  <si>
    <t>Coincident with the tsunami of COVID-19-related publications, there has been a surge of studies using real-world data, including those obtained from the electronic health record (EHR). Unfortunately, several of these high-profile publications were retracted because of concerns regarding the soundness and quality of the studies and the EHR data they purported to analyze. These retractions highlight that although a small community of EHR informatics experts can readily identify strengths and flaws in EHR-derived studies, many medical editorial teams and otherwise sophisticated medical readers lack the framework to fully critically appraise these studies. In addition, conventional statistical analyses cannot overcome the need for an understanding of the opportunities and limitations of EHR-derived studies. We distill here from the broader informatics literature six key considerations that are crucial for appraising studies utilizing EHR data: data completeness, data collection and handling (eg, transformation), data type (ie, codified, textual), robustness of methods against EHR variability (within and across institutions, countries, and time), transparency of data and analytic code, and the multidisciplinary approach. These considerations will inform researchers, clinicians, and other stakeholders as to the recommended best practices in reviewing manuscripts, grants, and other outputs from EHR-data derived studies, and thereby promote and foster rigor, quality, and reliability of this rapidly growing field.</t>
  </si>
  <si>
    <t>Kohane Isaac S,Aronow Bruce J,Avillach Paul,Beaulieu-Jones Brett K,Bellazzi Riccardo,Bradford Robert L,Brat Gabriel A,Cannataro Mario,Cimino James J,García-Barrio Noelia,Gehlenborg Nils,Ghassemi Marzyeh,Gutiérrez-Sacristán Alba,Hanauer David A,Holmes John H,Hong Chuan,Klann Jeffrey G,Loh Ne Hooi Will,Luo Yuan,Mandl Kenneth D,Daniar Mohamad,Moore Jason H,Murphy Shawn N,Neuraz Antoine,Ngiam Kee Yuan,Omenn Gilbert S,Palmer Nathan,Patel Lav P,Pedrera-Jiménez Miguel,Sliz Piotr,South Andrew M,Tan Amelia Li Min,Taylor Deanne M,Taylor Bradley W,Torti Carlo,Vallejos Andrew K,Wagholikar Kavishwar B,Weber Griffin M,Cai Tianxi,Consortium For Clinical Characterization Of COVID-19 By EHR (4CE)</t>
  </si>
  <si>
    <t>https://research.ebsco.com/linkprocessor/plink?id=25a929f5-8df9-3c2f-ae3a-0008f556f464</t>
  </si>
  <si>
    <t>COVID-19 epidemiology,Data Collection methods,Electronic Health Records,Data Collection standards,Humans,Peer Review, Research standards,Publishing standards,Reproducibility of Results,SARS-CoV-2 isolation &amp; purification</t>
  </si>
  <si>
    <t>Wisdom Tooth - A Dilemma Manifold: Case Series.</t>
  </si>
  <si>
    <t>Sharma Nilima,Jain Chhavi,Ahmad Lubna,Mohan Vinay K.</t>
  </si>
  <si>
    <t>https://research.ebsco.com/linkprocessor/plink?id=5dd56585-29d3-3239-ab54-e037b63a7c4d</t>
  </si>
  <si>
    <t>Dental Journal of Advance Studies</t>
  </si>
  <si>
    <t>Yield and Risk Factors for Advanced Colorectal Neoplasia and Long-term Outcomes in Veterans with 3 or More Nonadvanced Adenomas</t>
  </si>
  <si>
    <t>Background and Aims: Until recently, guidelines recommended a 3-year surveillance colonoscopy for persons with 3 to 10 nonadvanced adenomas (NAA). In this study, we quantify yield for metachronous advanced neoplasia (AN); attempt to identify risk factors for AN; and measure colorectal cancer (CRC) incidence and mortality. Methods: We used natural language processing to screen an existing data set for Veterans with 3 to 10 NAA. We manually reviewed colonoscopy and pathology reports to verify baseline findings and determine results of subsequent colonoscopy (sCY). Baseline features were extracted from the electronic medical record (EMR) and a national data set, CRC incidence was obtained from the Veterans Affairs cancer registry, and CRC mortality from the National Death Index through September 30, 2017. CRC incidence and mortality were compared between Veterans who did versus did not have sCY. Results: Natural language processing identified 3673 Veterans who potentially had 3 to 10 NAA, of which 1672 were excluded after EMR review. In the analytical cohort of 2001 subjects, 1178 (59%) had sCY at a mean (SD) follow-up of 4.3 (2.2) years. The sCY group was younger (mean age: 61 vs. 67 y; P&lt;0.01) and were less likely to have diabetes (27% vs. 31%; P=0.02) and congestive heart failure (4% vs. 9%; P&lt;0.01). sCY showed AN in 182 subjects (15.5%). Baseline features were no different between those with versus without metachronous AN. Subjects with sCY had a greater CRC incidence (n=7 vs. n=0; P=0.046), but there was no difference in CRC mortality (0 for both subgroups). Conclusions: Among patients with 3 to 10 NAA on index colonoscopy who underwent sCY, AN was present in 15.5% at mean follow-up of 4.3 years. No risk factors for AN were identified. CRC incidence, but not CRC mortality, was higher among those with sCY. © 2022 Lippincott Williams and Wilkins. All rights reserved.</t>
  </si>
  <si>
    <t>Ha,J.,Walker,M.J.,Myers,L.E.,Ballard,C.J.,Imperiale,T.F.</t>
  </si>
  <si>
    <t>https://www.scopus.com/inward/record.uri?eid=2-s2.0-85105561982&amp;doi=10.1097%2FMCG.0000000000001553&amp;partnerID=40&amp;md5=c8ea1f6e10a22ff7e5cc3dcafac11a2b</t>
  </si>
  <si>
    <t>advanced neoplasia,colorectal cancer,surveillance colonoscopy</t>
  </si>
  <si>
    <t>Journal of Clinical Gastroenterology</t>
  </si>
  <si>
    <t>Yield and Risk Factors for Advanced Colorectal Neoplasia and Long-term Outcomes in Veterans With 3 or More Nonadvanced Adenomas.</t>
  </si>
  <si>
    <t>Until recently, guidelines recommended a 3-year surveillance colonoscopy for persons with 3 to 10 nonadvanced adenomas (NAA). In this study, we quantify yield for metachronous advanced neoplasia (AN); attempt to identify risk factors for AN; and measure colorectal cancer (CRC) incidence and mortality.</t>
  </si>
  <si>
    <t>Ha John,Walker Megan J,Myers Laura E,Ballard Carrie J,Imperiale Thomas F</t>
  </si>
  <si>
    <t>https://research.ebsco.com/linkprocessor/plink?id=677b8883-beb9-349e-8351-8fa1224c41ad</t>
  </si>
  <si>
    <t>Adenoma diagnosis,Adenoma epidemiology,Colorectal Neoplasms diagnosis,Colorectal Neoplasms epidemiology,Neoplasms, Second Primary epidemiology,Veterans,Colonoscopy methods,Humans,Incidence,Middle Aged,Risk Factors</t>
  </si>
  <si>
    <t>Journal of clinical gastroenterology</t>
  </si>
  <si>
    <t xml:space="preserve">reglas </t>
  </si>
  <si>
    <t>Como máximo deben existir 9 dimensiones.</t>
  </si>
  <si>
    <t>Cada dimensión debe contener características mutuamente excluyentes y colectivamente exhaustivas.</t>
  </si>
  <si>
    <r>
      <t xml:space="preserve">Si en una casilla se deben registrar varios criterios, sepáralos con comas sin espacios: </t>
    </r>
    <r>
      <rPr>
        <sz val="10"/>
        <color theme="1"/>
        <rFont val="Arial Unicode MS"/>
      </rPr>
      <t>criterio1,criterio2</t>
    </r>
    <r>
      <rPr>
        <sz val="11"/>
        <color theme="1"/>
        <rFont val="Calibri"/>
        <family val="2"/>
        <scheme val="minor"/>
      </rPr>
      <t>.</t>
    </r>
  </si>
  <si>
    <t>Si no es posible decidir entre una aplicación o pipeline propio, consultar con Juan Pablo.</t>
  </si>
  <si>
    <t xml:space="preserve">Fuentes </t>
  </si>
  <si>
    <t xml:space="preserve">Nombre </t>
  </si>
  <si>
    <t xml:space="preserve">URL </t>
  </si>
  <si>
    <t>Xu et al., 2024, part 2</t>
  </si>
  <si>
    <t>Anexo</t>
  </si>
  <si>
    <t xml:space="preserve">Algoritmo </t>
  </si>
  <si>
    <t>Jurafsky &amp; Martin, 2025</t>
  </si>
  <si>
    <t>https://web.stanford.edu/~jurafsky/slp3</t>
  </si>
  <si>
    <t>James et al., 2023</t>
  </si>
  <si>
    <t>https://www.statlearning.com</t>
  </si>
  <si>
    <t>Aplicación de PLN clínico</t>
  </si>
  <si>
    <t>Digan et al., 2021</t>
  </si>
  <si>
    <t>https://doi.org/10.1093/jamia/ocaa261</t>
  </si>
  <si>
    <t>Hsu et al., 2024</t>
  </si>
  <si>
    <t>https://doi.org/10.1093/jncimonographs/lgae018</t>
  </si>
  <si>
    <t>Sitio del cáncer</t>
  </si>
  <si>
    <t>Bray et al., 2015</t>
  </si>
  <si>
    <t xml:space="preserve">Tipo de documento de donde sale el dato </t>
  </si>
  <si>
    <t>co</t>
  </si>
  <si>
    <t>Algoritmo</t>
  </si>
  <si>
    <t>Cap James</t>
  </si>
  <si>
    <t>Cap Jurafsky</t>
  </si>
  <si>
    <t>Cap Xu</t>
  </si>
  <si>
    <t>Regresión lineal</t>
  </si>
  <si>
    <t>Regresión logística</t>
  </si>
  <si>
    <t>4.3</t>
  </si>
  <si>
    <t>5, 7</t>
  </si>
  <si>
    <t>4, 5, 7, 8</t>
  </si>
  <si>
    <t>Naive Bayes</t>
  </si>
  <si>
    <t>4.4.4</t>
  </si>
  <si>
    <t>Appendix B</t>
  </si>
  <si>
    <t>Modelos de lenguaje n-gram</t>
  </si>
  <si>
    <t>3.1</t>
  </si>
  <si>
    <t>4, 7, 10</t>
  </si>
  <si>
    <t>Árboles de decisión</t>
  </si>
  <si>
    <t>8.1</t>
  </si>
  <si>
    <t>Random Forest</t>
  </si>
  <si>
    <t>8.2.2</t>
  </si>
  <si>
    <t>Num cap xu</t>
  </si>
  <si>
    <t>Nombre cap xu (Tarea analitica)</t>
  </si>
  <si>
    <t>Clustering jerárquico aglomerativo</t>
  </si>
  <si>
    <t>12.4.2</t>
  </si>
  <si>
    <t>Appendix I. I.7</t>
  </si>
  <si>
    <t>Named Entity Recognition</t>
  </si>
  <si>
    <t xml:space="preserve">Word embeddings </t>
  </si>
  <si>
    <t>4, 5, 6, 7, 10</t>
  </si>
  <si>
    <t>Relation Extraction</t>
  </si>
  <si>
    <t>Hidden Markov Models (HMM)</t>
  </si>
  <si>
    <t>Appendix A</t>
  </si>
  <si>
    <t>4, 10</t>
  </si>
  <si>
    <t>Medical Concept Normalization</t>
  </si>
  <si>
    <t>17.5</t>
  </si>
  <si>
    <t>Text Classification</t>
  </si>
  <si>
    <t>Modelos híbridos BiLSTM–CRF</t>
  </si>
  <si>
    <t>4, 7</t>
  </si>
  <si>
    <t>Information Retrieval</t>
  </si>
  <si>
    <t>Algoritmo de Viterbi</t>
  </si>
  <si>
    <t>Appendix A.4</t>
  </si>
  <si>
    <t>Question Answering</t>
  </si>
  <si>
    <t>Perceptrón multicapa / DNN / MLP</t>
  </si>
  <si>
    <t>10.2</t>
  </si>
  <si>
    <t>7, 8, 10</t>
  </si>
  <si>
    <t>Large Language Model and Text Generation</t>
  </si>
  <si>
    <t>10.3</t>
  </si>
  <si>
    <t>15.2</t>
  </si>
  <si>
    <t>4, 5, 7, 10</t>
  </si>
  <si>
    <t>Recurrent Neural Networks (RNN)</t>
  </si>
  <si>
    <t>10.5</t>
  </si>
  <si>
    <t>13.1</t>
  </si>
  <si>
    <t xml:space="preserve">4, 5, 7, 10, </t>
  </si>
  <si>
    <t>Long Short-Term Memory (LSTM)</t>
  </si>
  <si>
    <t>13.5</t>
  </si>
  <si>
    <t>Bidirectional LSTM (BiLSTM)</t>
  </si>
  <si>
    <t>13.4.2 + 13.5</t>
  </si>
  <si>
    <t>4, 5, 7</t>
  </si>
  <si>
    <t>Mecanismos de atención</t>
  </si>
  <si>
    <t>4, 5, 7, 8, 9, 10</t>
  </si>
  <si>
    <t>Índice invertido</t>
  </si>
  <si>
    <t>11.1.3</t>
  </si>
  <si>
    <t>Modelo de espacio vectorial + coseno</t>
  </si>
  <si>
    <t>5.3</t>
  </si>
  <si>
    <t>6, 7, 8</t>
  </si>
  <si>
    <t>11.1.1</t>
  </si>
  <si>
    <t>7, 8</t>
  </si>
  <si>
    <t>BM25</t>
  </si>
  <si>
    <t>Greedy decoding</t>
  </si>
  <si>
    <t>7.4.1</t>
  </si>
  <si>
    <t>Beam search</t>
  </si>
  <si>
    <t>12.4</t>
  </si>
  <si>
    <t xml:space="preserve">Dimension </t>
  </si>
  <si>
    <t xml:space="preserve">Caracteristicas </t>
  </si>
  <si>
    <t>Extracción de relaciones (RE)</t>
  </si>
  <si>
    <t>Normalización de conceptos</t>
  </si>
  <si>
    <t>Preguntas y respuestas (QA)</t>
  </si>
  <si>
    <t>Generación de texto</t>
  </si>
  <si>
    <t>Linear regression</t>
  </si>
  <si>
    <t>Logistic regression</t>
  </si>
  <si>
    <t>Naive Bayes (NB)</t>
  </si>
  <si>
    <t>Decision trees</t>
  </si>
  <si>
    <t>Random Forest (RF)</t>
  </si>
  <si>
    <t>Agglomerative hierarchical clustering (AHC)</t>
  </si>
  <si>
    <t>Hybrid BiLSTM–CRF models</t>
  </si>
  <si>
    <t>Viterbi algorithm</t>
  </si>
  <si>
    <t>Multilayer perceptron/deep neural network (MLP/DNN)</t>
  </si>
  <si>
    <t>Attention mechanisms</t>
  </si>
  <si>
    <t>Vector space model (VSM)</t>
  </si>
  <si>
    <t>cTakes</t>
  </si>
  <si>
    <t>CLAMP</t>
  </si>
  <si>
    <t xml:space="preserve"> ScispaCy</t>
  </si>
  <si>
    <t>TextFlow</t>
  </si>
  <si>
    <t>LAPPS Grid</t>
  </si>
  <si>
    <t>OpenMinTed</t>
  </si>
  <si>
    <t>MedSpacy</t>
  </si>
  <si>
    <t>pipeline propio</t>
  </si>
  <si>
    <t>Solo hematológicos</t>
  </si>
  <si>
    <t>Egresos hospitalarios</t>
  </si>
  <si>
    <t>Reportes de laboratorio</t>
  </si>
  <si>
    <t>Autopsias</t>
  </si>
  <si>
    <t>Notas quirúrgicas</t>
  </si>
  <si>
    <t>Identificación de la procedencia del caso</t>
  </si>
  <si>
    <t>Identificación de primarios múltiples</t>
  </si>
  <si>
    <t>Seguimiento</t>
  </si>
  <si>
    <t>Otros</t>
  </si>
  <si>
    <t>Cantidad de datos que ingresan al modelo</t>
  </si>
  <si>
    <t>Número de datos ingresados (según el artículo)</t>
  </si>
  <si>
    <t>Objetivo clínico</t>
  </si>
  <si>
    <t>metadatos</t>
  </si>
  <si>
    <t>Artículo</t>
  </si>
  <si>
    <t>Autor(es)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</si>
</sst>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9"/>
      <color indexed="81"/>
      <name val="Tahoma"/>
      <family val="2"/>
    </font>
    <font>
      <b/>
      <sz val="9"/>
      <color indexed="81"/>
      <name val="Tahoma"/>
      <family val="2"/>
    </font>
    <font>
      <sz val="8"/>
      <name val="Calibri"/>
      <family val="2"/>
      <scheme val="minor"/>
    </font>
    <font>
      <b/>
      <sz val="11"/>
      <name val="Calibri"/>
      <family val="2"/>
      <scheme val="minor"/>
    </font>
    <font>
      <sz val="11"/>
      <color rgb="FF000000"/>
      <name val="Calibri"/>
      <family val="2"/>
    </font>
    <font>
      <sz val="10"/>
      <color theme="1"/>
      <name val="Arial Unicode MS"/>
    </font>
    <font>
      <sz val="11"/>
      <color rgb="FFFF0000"/>
      <name val="Calibri"/>
      <family val="2"/>
      <scheme val="minor"/>
    </font>
    <font>
      <b/>
      <sz val="11"/>
      <color rgb="FFFF0000"/>
      <name val="Calibri"/>
      <family val="2"/>
      <scheme val="minor"/>
    </font>
    <font>
      <sz val="11"/>
      <color rgb="FF242424"/>
      <name val="Aptos Narrow"/>
      <family val="2"/>
    </font>
    <font>
      <sz val="11"/>
      <name val="Calibri"/>
      <family val="2"/>
      <scheme val="minor"/>
    </font>
    <font>
      <sz val="12"/>
      <color theme="10"/>
      <name val="Calibri"/>
      <family val="2"/>
      <scheme val="minor"/>
    </font>
  </fonts>
  <fills count="10">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0"/>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right style="medium">
        <color indexed="64"/>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s>
  <cellStyleXfs count="3">
    <xf numFmtId="0" fontId="0" fillId="0" borderId="0"/>
    <xf numFmtId="0" fontId="3" fillId="0" borderId="0" applyNumberFormat="0" applyFill="0" applyBorder="0" applyAlignment="0" applyProtection="0"/>
    <xf numFmtId="0" fontId="14" fillId="0" borderId="0"/>
  </cellStyleXfs>
  <cellXfs count="75">
    <xf numFmtId="0" fontId="0" fillId="0" borderId="0" xfId="0"/>
    <xf numFmtId="0" fontId="0" fillId="0" borderId="1" xfId="0" applyBorder="1"/>
    <xf numFmtId="0" fontId="0" fillId="0" borderId="1" xfId="0" applyBorder="1" applyAlignment="1">
      <alignment horizontal="center" vertical="center" wrapText="1"/>
    </xf>
    <xf numFmtId="0" fontId="0" fillId="8" borderId="1" xfId="0" applyFill="1" applyBorder="1"/>
    <xf numFmtId="0" fontId="2" fillId="3" borderId="1" xfId="0" applyFont="1" applyFill="1" applyBorder="1" applyAlignment="1">
      <alignment horizontal="center" vertical="top"/>
    </xf>
    <xf numFmtId="0" fontId="0" fillId="6" borderId="1" xfId="0" applyFill="1" applyBorder="1"/>
    <xf numFmtId="0" fontId="0" fillId="4" borderId="1" xfId="0" applyFill="1" applyBorder="1" applyAlignment="1">
      <alignment horizontal="center" vertical="center"/>
    </xf>
    <xf numFmtId="0" fontId="0" fillId="0" borderId="1" xfId="0" applyBorder="1" applyAlignment="1">
      <alignment horizontal="center" vertical="center"/>
    </xf>
    <xf numFmtId="0" fontId="3" fillId="0" borderId="1" xfId="1" applyBorder="1" applyAlignment="1">
      <alignment horizontal="center" vertical="center"/>
    </xf>
    <xf numFmtId="0" fontId="0" fillId="0" borderId="0" xfId="0" applyAlignment="1">
      <alignment horizontal="center" vertical="center" wrapText="1"/>
    </xf>
    <xf numFmtId="0" fontId="0" fillId="7" borderId="1" xfId="0" applyFill="1" applyBorder="1" applyAlignment="1">
      <alignment horizontal="center" vertical="center" wrapText="1"/>
    </xf>
    <xf numFmtId="0" fontId="0" fillId="5" borderId="1" xfId="0" applyFill="1" applyBorder="1" applyAlignment="1">
      <alignment horizontal="center" vertical="center" wrapText="1"/>
    </xf>
    <xf numFmtId="0" fontId="8" fillId="0" borderId="1" xfId="0" applyFont="1" applyBorder="1" applyAlignment="1">
      <alignment horizontal="center" vertical="center" wrapText="1"/>
    </xf>
    <xf numFmtId="0" fontId="0" fillId="7" borderId="1" xfId="0" applyFill="1" applyBorder="1" applyAlignment="1">
      <alignment horizontal="left" wrapText="1"/>
    </xf>
    <xf numFmtId="0" fontId="3" fillId="7" borderId="1" xfId="1" applyFill="1" applyBorder="1" applyAlignment="1">
      <alignment horizontal="left" wrapText="1"/>
    </xf>
    <xf numFmtId="0" fontId="2" fillId="6" borderId="1" xfId="0" applyFont="1" applyFill="1" applyBorder="1" applyAlignment="1">
      <alignment horizontal="left" wrapText="1"/>
    </xf>
    <xf numFmtId="0" fontId="7" fillId="6" borderId="1" xfId="0" applyFont="1" applyFill="1" applyBorder="1" applyAlignment="1">
      <alignment horizontal="left" wrapText="1"/>
    </xf>
    <xf numFmtId="0" fontId="2" fillId="6" borderId="1" xfId="0" applyFont="1" applyFill="1" applyBorder="1" applyAlignment="1" applyProtection="1">
      <alignment horizontal="left" wrapText="1"/>
      <protection locked="0"/>
    </xf>
    <xf numFmtId="0" fontId="2" fillId="6" borderId="1"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0" borderId="0" xfId="0" applyFont="1" applyAlignment="1">
      <alignment horizontal="center" vertical="center" wrapText="1"/>
    </xf>
    <xf numFmtId="0" fontId="10" fillId="7" borderId="1" xfId="0" applyFont="1" applyFill="1" applyBorder="1" applyAlignment="1">
      <alignment horizontal="left" wrapText="1"/>
    </xf>
    <xf numFmtId="0" fontId="10" fillId="0" borderId="1" xfId="0" applyFont="1" applyBorder="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1" fillId="0" borderId="1" xfId="0" applyFont="1" applyBorder="1" applyAlignment="1">
      <alignment horizontal="center" vertical="center" wrapText="1"/>
    </xf>
    <xf numFmtId="0" fontId="13" fillId="7" borderId="1" xfId="0" applyFont="1" applyFill="1" applyBorder="1" applyAlignment="1">
      <alignment horizontal="left" wrapText="1"/>
    </xf>
    <xf numFmtId="0" fontId="13" fillId="0" borderId="1" xfId="0" applyFont="1" applyBorder="1" applyAlignment="1">
      <alignment horizontal="center" vertical="center" wrapText="1"/>
    </xf>
    <xf numFmtId="0" fontId="13" fillId="0" borderId="0" xfId="0" applyFont="1" applyAlignment="1">
      <alignment horizontal="center" vertical="center" wrapText="1"/>
    </xf>
    <xf numFmtId="0" fontId="7" fillId="0" borderId="0" xfId="0" applyFont="1" applyAlignment="1">
      <alignment horizontal="center" vertical="center" wrapText="1"/>
    </xf>
    <xf numFmtId="0" fontId="0" fillId="7" borderId="2" xfId="0" applyFill="1" applyBorder="1" applyAlignment="1">
      <alignment horizontal="center" vertical="center" wrapText="1"/>
    </xf>
    <xf numFmtId="0" fontId="10" fillId="7" borderId="2" xfId="0" applyFont="1" applyFill="1" applyBorder="1" applyAlignment="1">
      <alignment horizontal="center" vertical="center" wrapText="1"/>
    </xf>
    <xf numFmtId="0" fontId="13" fillId="7" borderId="2" xfId="0" applyFont="1" applyFill="1" applyBorder="1" applyAlignment="1">
      <alignment horizontal="center" vertical="center" wrapText="1"/>
    </xf>
    <xf numFmtId="0" fontId="0" fillId="9" borderId="1" xfId="0" applyFill="1" applyBorder="1" applyAlignment="1">
      <alignment horizontal="center" vertical="center" wrapText="1"/>
    </xf>
    <xf numFmtId="0" fontId="0" fillId="9" borderId="2" xfId="0" applyFill="1" applyBorder="1" applyAlignment="1">
      <alignment horizontal="center" vertical="center" wrapText="1"/>
    </xf>
    <xf numFmtId="0" fontId="0" fillId="9" borderId="1" xfId="0" applyFill="1" applyBorder="1" applyAlignment="1">
      <alignment horizontal="center" vertical="center"/>
    </xf>
    <xf numFmtId="0" fontId="0" fillId="9" borderId="2" xfId="0" applyFill="1" applyBorder="1" applyAlignment="1">
      <alignment horizontal="center" vertical="center"/>
    </xf>
    <xf numFmtId="0" fontId="12" fillId="9" borderId="1" xfId="0" applyFont="1" applyFill="1" applyBorder="1" applyAlignment="1">
      <alignment horizontal="center" vertical="center"/>
    </xf>
    <xf numFmtId="0" fontId="8" fillId="9"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0" fillId="7" borderId="5" xfId="0" applyFill="1" applyBorder="1" applyAlignment="1">
      <alignment horizontal="left" wrapText="1"/>
    </xf>
    <xf numFmtId="0" fontId="0" fillId="7" borderId="9" xfId="0" applyFill="1"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left" wrapText="1"/>
    </xf>
    <xf numFmtId="0" fontId="0" fillId="0" borderId="0" xfId="0" applyAlignment="1" applyProtection="1">
      <alignment horizontal="left" wrapText="1"/>
      <protection locked="0"/>
    </xf>
    <xf numFmtId="0" fontId="0" fillId="0" borderId="0" xfId="0" applyAlignment="1">
      <alignment vertical="center" wrapText="1"/>
    </xf>
    <xf numFmtId="0" fontId="0" fillId="0" borderId="4" xfId="0" applyBorder="1" applyAlignment="1">
      <alignment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0" xfId="0" applyAlignment="1">
      <alignment vertical="center"/>
    </xf>
    <xf numFmtId="0" fontId="13" fillId="0" borderId="2" xfId="0" applyFont="1" applyBorder="1" applyAlignment="1">
      <alignment horizontal="center" vertical="center" wrapText="1"/>
    </xf>
    <xf numFmtId="0" fontId="0" fillId="0" borderId="2" xfId="0" applyBorder="1" applyAlignment="1">
      <alignment horizontal="center" vertical="center" wrapText="1"/>
    </xf>
    <xf numFmtId="0" fontId="0" fillId="7" borderId="3" xfId="0" applyFill="1" applyBorder="1" applyAlignment="1">
      <alignment horizontal="left" wrapText="1"/>
    </xf>
    <xf numFmtId="0" fontId="0" fillId="2" borderId="18" xfId="0" applyFill="1" applyBorder="1" applyAlignment="1">
      <alignment horizontal="center" vertical="center" wrapText="1"/>
    </xf>
    <xf numFmtId="0" fontId="0" fillId="3" borderId="19" xfId="0" applyFill="1" applyBorder="1" applyAlignment="1">
      <alignment horizontal="center" vertical="center" wrapText="1"/>
    </xf>
    <xf numFmtId="0" fontId="0" fillId="3" borderId="20" xfId="0" applyFill="1" applyBorder="1" applyAlignment="1">
      <alignment horizontal="center" vertical="center" wrapText="1"/>
    </xf>
    <xf numFmtId="0" fontId="0" fillId="6" borderId="21" xfId="0" applyFill="1" applyBorder="1" applyAlignment="1">
      <alignment horizontal="center" vertical="center" wrapText="1"/>
    </xf>
    <xf numFmtId="0" fontId="0" fillId="7" borderId="17" xfId="0" applyFill="1" applyBorder="1" applyAlignment="1">
      <alignment horizontal="center" vertical="center" wrapText="1"/>
    </xf>
    <xf numFmtId="0" fontId="0" fillId="7" borderId="22" xfId="0" applyFill="1" applyBorder="1" applyAlignment="1">
      <alignment horizontal="center" vertical="center" wrapText="1"/>
    </xf>
    <xf numFmtId="0" fontId="0" fillId="0" borderId="0" xfId="0" applyAlignment="1">
      <alignment horizontal="center" vertical="center"/>
    </xf>
    <xf numFmtId="0" fontId="0" fillId="5" borderId="8" xfId="0" applyFill="1" applyBorder="1" applyAlignment="1">
      <alignment horizontal="center" vertical="center" wrapText="1"/>
    </xf>
    <xf numFmtId="0" fontId="0" fillId="5" borderId="7" xfId="0" applyFill="1" applyBorder="1" applyAlignment="1">
      <alignment horizontal="center" vertical="center" wrapText="1"/>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6" xfId="0" applyBorder="1" applyAlignment="1">
      <alignment horizontal="center" vertical="center"/>
    </xf>
    <xf numFmtId="0" fontId="0" fillId="0" borderId="13" xfId="0" applyBorder="1" applyAlignment="1">
      <alignment horizontal="center" vertical="center" wrapText="1"/>
    </xf>
    <xf numFmtId="0" fontId="0" fillId="0" borderId="16" xfId="0" applyBorder="1" applyAlignment="1">
      <alignment horizontal="center" vertical="center" wrapText="1"/>
    </xf>
    <xf numFmtId="0" fontId="0" fillId="2" borderId="14" xfId="0" applyFill="1" applyBorder="1" applyAlignment="1">
      <alignment horizontal="center" vertical="center" wrapText="1"/>
    </xf>
    <xf numFmtId="0" fontId="0" fillId="2" borderId="15" xfId="0" applyFill="1" applyBorder="1" applyAlignment="1">
      <alignment horizontal="center" vertical="center" wrapText="1"/>
    </xf>
    <xf numFmtId="0" fontId="0" fillId="3" borderId="19" xfId="0" applyFill="1" applyBorder="1" applyAlignment="1">
      <alignment horizontal="center" vertical="center" wrapText="1"/>
    </xf>
    <xf numFmtId="0" fontId="0" fillId="0" borderId="1" xfId="0" applyBorder="1" applyAlignment="1">
      <alignment horizontal="center" vertical="center" wrapText="1"/>
    </xf>
    <xf numFmtId="0" fontId="0" fillId="0" borderId="12" xfId="0" applyBorder="1" applyAlignment="1">
      <alignment horizontal="center" vertical="center" wrapText="1"/>
    </xf>
    <xf numFmtId="0" fontId="0" fillId="0" borderId="2" xfId="0" applyBorder="1" applyAlignment="1">
      <alignment horizontal="center" vertical="center" wrapText="1"/>
    </xf>
    <xf numFmtId="0" fontId="0" fillId="0" borderId="11" xfId="0" applyBorder="1" applyAlignment="1">
      <alignment horizontal="center" vertical="center" wrapText="1"/>
    </xf>
    <xf numFmtId="0" fontId="0" fillId="0" borderId="4" xfId="0" applyBorder="1" applyAlignment="1">
      <alignment horizontal="center" vertical="center" wrapText="1"/>
    </xf>
  </cellXfs>
  <cellStyles count="3">
    <cellStyle name="Hipervínculo" xfId="1" builtinId="8"/>
    <cellStyle name="Hyperlink" xfId="2" xr:uid="{3708E4EE-6C2F-421C-AD99-1D9E4FE84229}"/>
    <cellStyle name="Normal" xfId="0" builtinId="0"/>
  </cellStyles>
  <dxfs count="31">
    <dxf>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auto="1"/>
        </right>
        <top style="thin">
          <color indexed="64"/>
        </top>
        <bottom style="thin">
          <color indexed="64"/>
        </bottom>
      </border>
    </dxf>
    <dxf>
      <fill>
        <patternFill patternType="solid">
          <fgColor indexed="64"/>
          <bgColor theme="6" tint="0.79998168889431442"/>
        </patternFill>
      </fill>
      <alignment horizontal="center" vertical="center" textRotation="0" wrapText="1" indent="0" justifyLastLine="0" shrinkToFit="0" readingOrder="0"/>
      <border diagonalUp="0" diagonalDown="0" outline="0">
        <left style="thin">
          <color indexed="64"/>
        </left>
        <right style="thin">
          <color auto="1"/>
        </right>
        <top style="thin">
          <color indexed="64"/>
        </top>
        <bottom style="thin">
          <color indexed="64"/>
        </bottom>
      </border>
    </dxf>
    <dxf>
      <fill>
        <patternFill patternType="solid">
          <fgColor indexed="64"/>
          <bgColor theme="6" tint="0.79998168889431442"/>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ill>
        <patternFill patternType="solid">
          <fgColor indexed="64"/>
          <bgColor theme="6" tint="0.79998168889431442"/>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6" tint="0.79998168889431442"/>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6" tint="0.79998168889431442"/>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6" tint="0.79998168889431442"/>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6" tint="0.79998168889431442"/>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6" tint="0.79998168889431442"/>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6" tint="0.79998168889431442"/>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6" tint="0.79998168889431442"/>
        </patternFill>
      </fill>
      <alignment horizontal="left" vertical="bottom"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border outline="0">
        <left style="thin">
          <color auto="1"/>
        </left>
        <right style="thin">
          <color auto="1"/>
        </right>
        <top style="thin">
          <color auto="1"/>
        </top>
      </border>
    </dxf>
    <dxf>
      <alignment horizontal="center"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6" tint="0.59999389629810485"/>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sciencedirect.com/journal/patterns" TargetMode="Externa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37</xdr:row>
      <xdr:rowOff>0</xdr:rowOff>
    </xdr:from>
    <xdr:to>
      <xdr:col>6</xdr:col>
      <xdr:colOff>304800</xdr:colOff>
      <xdr:row>8114</xdr:row>
      <xdr:rowOff>38567</xdr:rowOff>
    </xdr:to>
    <xdr:sp macro="" textlink="">
      <xdr:nvSpPr>
        <xdr:cNvPr id="2049" name="AutoShape 1" descr="Patterns">
          <a:hlinkClick xmlns:r="http://schemas.openxmlformats.org/officeDocument/2006/relationships" r:id="rId1" tooltip="Go to Patterns on ScienceDirect"/>
          <a:extLst>
            <a:ext uri="{FF2B5EF4-FFF2-40B4-BE49-F238E27FC236}">
              <a16:creationId xmlns:a16="http://schemas.microsoft.com/office/drawing/2014/main" id="{8C456FA4-D2E6-F239-B98D-6BCEE415257F}"/>
            </a:ext>
          </a:extLst>
        </xdr:cNvPr>
        <xdr:cNvSpPr>
          <a:spLocks noChangeAspect="1" noChangeArrowheads="1"/>
        </xdr:cNvSpPr>
      </xdr:nvSpPr>
      <xdr:spPr bwMode="auto">
        <a:xfrm>
          <a:off x="12176760" y="365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B6F042-684B-4039-B5F2-00FDAEC95733}" name="Tabla2" displayName="Tabla2" ref="A1:Z645" totalsRowShown="0" headerRowDxfId="30" dataDxfId="28" headerRowBorderDxfId="29" tableBorderDxfId="27" totalsRowBorderDxfId="26">
  <autoFilter ref="A1:Z645" xr:uid="{2DB6F042-684B-4039-B5F2-00FDAEC95733}"/>
  <sortState xmlns:xlrd2="http://schemas.microsoft.com/office/spreadsheetml/2017/richdata2" ref="A2:Z49">
    <sortCondition ref="A1:A645"/>
  </sortState>
  <tableColumns count="26">
    <tableColumn id="1" xr3:uid="{E2FD6001-E550-4749-98A7-E6FBD68AEDEC}" name="Título" dataDxfId="25"/>
    <tableColumn id="2" xr3:uid="{A22F5343-583E-4C58-A215-04615C9FF2EA}" name="resumen" dataDxfId="24"/>
    <tableColumn id="3" xr3:uid="{535FABAD-6EA8-4D91-A117-3251C9779197}" name="Autores" dataDxfId="23"/>
    <tableColumn id="4" xr3:uid="{F71473E8-4109-4F46-B83F-779F205FD6AB}" name="Enlace" dataDxfId="22"/>
    <tableColumn id="5" xr3:uid="{8B5AC948-ED71-46EA-BFAC-C9CFAA980810}" name="palabras clave " dataDxfId="21"/>
    <tableColumn id="6" xr3:uid="{76889BCB-5BBF-4441-99B6-F4C3A7A4E85A}" name="Año de publicacion" dataDxfId="20"/>
    <tableColumn id="7" xr3:uid="{534DD2F7-7C7B-4E33-AFAE-66F8375164B3}" name="Revista" dataDxfId="19"/>
    <tableColumn id="8" xr3:uid="{4F679F37-6D0D-44B7-BCEA-DB2C5F76093B}" name="Base de datos del articulo " dataDxfId="18"/>
    <tableColumn id="9" xr3:uid="{CE9279C4-39AC-4531-9B67-8F9E124A1F64}" name="¿se incluye el articulo?" dataDxfId="17"/>
    <tableColumn id="10" xr3:uid="{CE1AA453-0113-4BED-8291-26887CCD8B3A}" name="motivo de la no inclusion " dataDxfId="16"/>
    <tableColumn id="11" xr3:uid="{3A060009-54EA-411F-8C7F-D193BB569613}" name="Tarea analítica" dataDxfId="15"/>
    <tableColumn id="12" xr3:uid="{25B8E92B-928F-4DD8-9BF5-13EEE0245388}" name="Otras tareas analíticas" dataDxfId="14"/>
    <tableColumn id="13" xr3:uid="{857C48E4-9DCC-4E73-B5A5-442841682512}" name="Algoritmos" dataDxfId="13"/>
    <tableColumn id="14" xr3:uid="{685803F1-5098-4475-99E5-8A04FFA3E98B}" name="Otros algoritmos" dataDxfId="12"/>
    <tableColumn id="15" xr3:uid="{BD9C169C-5412-41D0-AE39-8AF03987EC2F}" name="Aplicación PLN Clinico" dataDxfId="11"/>
    <tableColumn id="16" xr3:uid="{E2293688-CBB6-496D-9DBA-6487D36BDFED}" name="Pipeline propio, cual?" dataDxfId="10"/>
    <tableColumn id="17" xr3:uid="{AA693CD9-65D0-4CFC-A85E-A2423D543C4B}" name="Enfoque" dataDxfId="9"/>
    <tableColumn id="18" xr3:uid="{E86DE367-9111-47CA-BA88-1B771DB114F8}" name="Sitio del cáncer " dataDxfId="8"/>
    <tableColumn id="19" xr3:uid="{87A90343-F1AD-4C97-A4B2-8BF1868A8D3C}" name="Tipo de documento de donde sale el dato" dataDxfId="7"/>
    <tableColumn id="20" xr3:uid="{FC2210AD-EF61-4DBB-AE5B-E0D6B054268F}" name="Proceso dentro del registro" dataDxfId="6"/>
    <tableColumn id="21" xr3:uid="{4F56395F-2BA2-4170-8340-C493A04FEA9C}" name="Cantidad de datos que se ingresan al modelo" dataDxfId="5"/>
    <tableColumn id="22" xr3:uid="{C81B7AE1-4F50-4033-BF8A-C0034F5E43C8}" name="Predicción clínica" dataDxfId="4"/>
    <tableColumn id="29" xr3:uid="{182FE60E-B948-4E8B-A1EB-B30F88AAAD33}" name="Lugar de estudio" dataDxfId="3"/>
    <tableColumn id="23" xr3:uid="{C4A32C15-B7AE-46CF-A993-C09117DF26FF}" name="Comentarios" dataDxfId="2"/>
    <tableColumn id="24" xr3:uid="{2414C932-C348-4A3F-ACFA-7B6E11023C33}" name="Información cualitativa" dataDxfId="1"/>
    <tableColumn id="25" xr3:uid="{08D35D14-DE28-4858-B997-5611B1DDFE14}" name="Sitio específico"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www.scopus.com/inward/record.uri?eid=2-s2.0-105009316971&amp;doi=10.1055%2Fa-2544-3117&amp;partnerID=40&amp;md5=9a61d7841b89b3347b432904ba5111d8" TargetMode="External"/><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s://web.stanford.edu/~jurafsky/slp3" TargetMode="External"/><Relationship Id="rId2" Type="http://schemas.openxmlformats.org/officeDocument/2006/relationships/hyperlink" Target="https://doi.org/10.1093/jncimonographs/lgae018" TargetMode="External"/><Relationship Id="rId1" Type="http://schemas.openxmlformats.org/officeDocument/2006/relationships/hyperlink" Target="https://doi.org/10.1093/jamia/ocaa261" TargetMode="External"/><Relationship Id="rId4" Type="http://schemas.openxmlformats.org/officeDocument/2006/relationships/hyperlink" Target="https://www.statlearning.com/"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6365"/>
  <sheetViews>
    <sheetView tabSelected="1" topLeftCell="T1" zoomScale="76" zoomScaleNormal="40" workbookViewId="0">
      <pane ySplit="1" topLeftCell="A2" activePane="bottomLeft" state="frozen"/>
      <selection pane="bottomLeft" activeCell="I1" sqref="I1"/>
    </sheetView>
  </sheetViews>
  <sheetFormatPr baseColWidth="10" defaultColWidth="8.88671875" defaultRowHeight="15" customHeight="1"/>
  <cols>
    <col min="1" max="1" width="66.109375" style="43" customWidth="1"/>
    <col min="2" max="2" width="62" style="43" customWidth="1"/>
    <col min="3" max="5" width="27.33203125" style="43" customWidth="1"/>
    <col min="6" max="8" width="13.21875" style="43" customWidth="1"/>
    <col min="9" max="9" width="23.33203125" style="44" bestFit="1" customWidth="1"/>
    <col min="10" max="10" width="28.6640625" style="9" bestFit="1" customWidth="1"/>
    <col min="11" max="12" width="29.5546875" style="9" customWidth="1"/>
    <col min="13" max="18" width="28.6640625" style="9" customWidth="1"/>
    <col min="19" max="19" width="38.109375" style="9" customWidth="1"/>
    <col min="20" max="20" width="28.6640625" style="9" customWidth="1"/>
    <col min="21" max="21" width="24.6640625" style="9" customWidth="1"/>
    <col min="22" max="23" width="28.6640625" style="9" customWidth="1"/>
    <col min="24" max="24" width="14.88671875" style="9" customWidth="1"/>
    <col min="25" max="25" width="20.6640625" style="9" customWidth="1"/>
    <col min="26" max="26" width="24" style="9" customWidth="1"/>
    <col min="27" max="16384" width="8.88671875" style="9"/>
  </cols>
  <sheetData>
    <row r="1" spans="1:45" ht="28.8">
      <c r="A1" s="15" t="s">
        <v>0</v>
      </c>
      <c r="B1" s="15" t="s">
        <v>1</v>
      </c>
      <c r="C1" s="15" t="s">
        <v>2</v>
      </c>
      <c r="D1" s="15" t="s">
        <v>3</v>
      </c>
      <c r="E1" s="16" t="s">
        <v>4</v>
      </c>
      <c r="F1" s="15" t="s">
        <v>5</v>
      </c>
      <c r="G1" s="15" t="s">
        <v>6</v>
      </c>
      <c r="H1" s="15" t="s">
        <v>7</v>
      </c>
      <c r="I1" s="17" t="s">
        <v>8</v>
      </c>
      <c r="J1" s="19" t="s">
        <v>9</v>
      </c>
      <c r="K1" s="18" t="s">
        <v>10</v>
      </c>
      <c r="L1" s="18" t="s">
        <v>11</v>
      </c>
      <c r="M1" s="18" t="s">
        <v>12</v>
      </c>
      <c r="N1" s="18" t="s">
        <v>13</v>
      </c>
      <c r="O1" s="18" t="s">
        <v>14</v>
      </c>
      <c r="P1" s="18" t="s">
        <v>15</v>
      </c>
      <c r="Q1" s="18" t="s">
        <v>16</v>
      </c>
      <c r="R1" s="18" t="s">
        <v>17</v>
      </c>
      <c r="S1" s="18" t="s">
        <v>18</v>
      </c>
      <c r="T1" s="18" t="s">
        <v>19</v>
      </c>
      <c r="U1" s="18" t="s">
        <v>20</v>
      </c>
      <c r="V1" s="18" t="s">
        <v>21</v>
      </c>
      <c r="W1" s="18" t="s">
        <v>22</v>
      </c>
      <c r="X1" s="18" t="s">
        <v>23</v>
      </c>
      <c r="Y1" s="18" t="s">
        <v>24</v>
      </c>
      <c r="Z1" s="18" t="s">
        <v>25</v>
      </c>
    </row>
    <row r="2" spans="1:45" ht="73.2" customHeight="1">
      <c r="A2" s="13" t="s">
        <v>26</v>
      </c>
      <c r="B2" s="13" t="s">
        <v>27</v>
      </c>
      <c r="C2" s="13" t="s">
        <v>28</v>
      </c>
      <c r="D2" s="13" t="s">
        <v>29</v>
      </c>
      <c r="E2" s="13" t="s">
        <v>30</v>
      </c>
      <c r="F2" s="13">
        <v>2019</v>
      </c>
      <c r="G2" s="13" t="s">
        <v>31</v>
      </c>
      <c r="H2" s="13" t="s">
        <v>32</v>
      </c>
      <c r="I2" s="13" t="s">
        <v>33</v>
      </c>
      <c r="J2" s="30"/>
      <c r="K2" s="35" t="s">
        <v>34</v>
      </c>
      <c r="L2" s="33" t="s">
        <v>35</v>
      </c>
      <c r="M2" s="35" t="s">
        <v>36</v>
      </c>
      <c r="N2" s="33" t="s">
        <v>37</v>
      </c>
      <c r="O2" s="35" t="s">
        <v>38</v>
      </c>
      <c r="P2" s="33" t="s">
        <v>39</v>
      </c>
      <c r="Q2" s="33" t="s">
        <v>40</v>
      </c>
      <c r="R2" s="33" t="s">
        <v>41</v>
      </c>
      <c r="S2" s="35" t="s">
        <v>42</v>
      </c>
      <c r="T2" s="35" t="s">
        <v>43</v>
      </c>
      <c r="U2" s="35">
        <f>25845+17310</f>
        <v>43155</v>
      </c>
      <c r="V2" s="36" t="s">
        <v>44</v>
      </c>
      <c r="W2" s="7" t="s">
        <v>45</v>
      </c>
      <c r="X2" s="2"/>
      <c r="Y2" s="2"/>
      <c r="Z2" s="2" t="s">
        <v>46</v>
      </c>
      <c r="AS2" s="20"/>
    </row>
    <row r="3" spans="1:45" ht="73.2" customHeight="1">
      <c r="A3" s="52" t="s">
        <v>47</v>
      </c>
      <c r="B3" s="13" t="s">
        <v>48</v>
      </c>
      <c r="C3" s="13" t="s">
        <v>49</v>
      </c>
      <c r="D3" s="13" t="s">
        <v>50</v>
      </c>
      <c r="E3" s="13" t="s">
        <v>51</v>
      </c>
      <c r="F3" s="13">
        <v>2023</v>
      </c>
      <c r="G3" s="13" t="s">
        <v>52</v>
      </c>
      <c r="H3" s="13" t="s">
        <v>53</v>
      </c>
      <c r="I3" s="13" t="s">
        <v>33</v>
      </c>
      <c r="J3" s="10"/>
      <c r="K3" s="33" t="s">
        <v>54</v>
      </c>
      <c r="L3" s="33"/>
      <c r="M3" s="33" t="s">
        <v>55</v>
      </c>
      <c r="N3" s="33" t="s">
        <v>56</v>
      </c>
      <c r="O3" s="33" t="s">
        <v>38</v>
      </c>
      <c r="P3" s="33" t="s">
        <v>57</v>
      </c>
      <c r="Q3" s="33" t="s">
        <v>58</v>
      </c>
      <c r="R3" s="33" t="s">
        <v>41</v>
      </c>
      <c r="S3" s="33" t="s">
        <v>59</v>
      </c>
      <c r="T3" s="33" t="s">
        <v>43</v>
      </c>
      <c r="U3" s="33">
        <v>495</v>
      </c>
      <c r="V3" s="33" t="s">
        <v>44</v>
      </c>
      <c r="W3" s="7" t="s">
        <v>45</v>
      </c>
      <c r="X3" s="2"/>
      <c r="Y3" s="2"/>
      <c r="Z3" s="2"/>
      <c r="AS3" s="20"/>
    </row>
    <row r="4" spans="1:45" s="28" customFormat="1" ht="73.2" customHeight="1">
      <c r="A4" s="13" t="s">
        <v>60</v>
      </c>
      <c r="B4" s="13" t="s">
        <v>61</v>
      </c>
      <c r="C4" s="13" t="s">
        <v>62</v>
      </c>
      <c r="D4" s="13" t="s">
        <v>63</v>
      </c>
      <c r="E4" s="13" t="s">
        <v>64</v>
      </c>
      <c r="F4" s="13">
        <v>2017</v>
      </c>
      <c r="G4" s="13" t="s">
        <v>65</v>
      </c>
      <c r="H4" s="13" t="s">
        <v>53</v>
      </c>
      <c r="I4" s="13" t="s">
        <v>33</v>
      </c>
      <c r="J4" s="30"/>
      <c r="K4" s="33" t="s">
        <v>66</v>
      </c>
      <c r="L4" s="33"/>
      <c r="M4" s="33" t="s">
        <v>67</v>
      </c>
      <c r="N4" s="33"/>
      <c r="O4" s="33" t="s">
        <v>36</v>
      </c>
      <c r="P4" s="33"/>
      <c r="Q4" s="33" t="s">
        <v>40</v>
      </c>
      <c r="R4" s="33" t="s">
        <v>41</v>
      </c>
      <c r="S4" s="33" t="s">
        <v>68</v>
      </c>
      <c r="T4" s="33" t="s">
        <v>69</v>
      </c>
      <c r="U4" s="33">
        <v>457</v>
      </c>
      <c r="V4" s="34" t="s">
        <v>44</v>
      </c>
      <c r="W4" s="7" t="s">
        <v>45</v>
      </c>
      <c r="X4" s="2"/>
      <c r="Y4" s="2"/>
      <c r="Z4" s="2"/>
      <c r="AS4" s="29"/>
    </row>
    <row r="5" spans="1:45" ht="73.2" customHeight="1">
      <c r="A5" s="13" t="s">
        <v>70</v>
      </c>
      <c r="B5" s="13" t="s">
        <v>71</v>
      </c>
      <c r="C5" s="13" t="s">
        <v>72</v>
      </c>
      <c r="D5" s="13" t="s">
        <v>73</v>
      </c>
      <c r="E5" s="13" t="s">
        <v>51</v>
      </c>
      <c r="F5" s="13">
        <v>2021</v>
      </c>
      <c r="G5" s="13" t="s">
        <v>74</v>
      </c>
      <c r="H5" s="13" t="s">
        <v>53</v>
      </c>
      <c r="I5" s="13" t="s">
        <v>33</v>
      </c>
      <c r="J5" s="30"/>
      <c r="K5" s="33" t="s">
        <v>34</v>
      </c>
      <c r="L5" s="33"/>
      <c r="M5" s="33" t="s">
        <v>75</v>
      </c>
      <c r="N5" s="33" t="s">
        <v>76</v>
      </c>
      <c r="O5" s="33" t="s">
        <v>38</v>
      </c>
      <c r="P5" s="33" t="s">
        <v>77</v>
      </c>
      <c r="Q5" s="33" t="s">
        <v>40</v>
      </c>
      <c r="R5" s="33" t="s">
        <v>41</v>
      </c>
      <c r="S5" s="33" t="s">
        <v>68</v>
      </c>
      <c r="T5" s="33" t="s">
        <v>78</v>
      </c>
      <c r="U5" s="33">
        <v>1144610</v>
      </c>
      <c r="V5" s="34" t="s">
        <v>44</v>
      </c>
      <c r="W5" s="7" t="s">
        <v>45</v>
      </c>
      <c r="X5" s="2"/>
      <c r="Y5" s="2"/>
      <c r="Z5" s="2"/>
      <c r="AS5" s="20"/>
    </row>
    <row r="6" spans="1:45" ht="73.2" customHeight="1">
      <c r="A6" s="13" t="s">
        <v>79</v>
      </c>
      <c r="B6" s="13" t="s">
        <v>80</v>
      </c>
      <c r="C6" s="13" t="s">
        <v>81</v>
      </c>
      <c r="D6" s="13" t="s">
        <v>82</v>
      </c>
      <c r="E6" s="13" t="s">
        <v>51</v>
      </c>
      <c r="F6" s="13">
        <v>2015</v>
      </c>
      <c r="G6" s="13" t="s">
        <v>83</v>
      </c>
      <c r="H6" s="13" t="s">
        <v>53</v>
      </c>
      <c r="I6" s="13" t="s">
        <v>33</v>
      </c>
      <c r="J6" s="30"/>
      <c r="K6" s="33" t="s">
        <v>84</v>
      </c>
      <c r="L6" s="33"/>
      <c r="M6" s="33" t="s">
        <v>36</v>
      </c>
      <c r="N6" s="33" t="s">
        <v>76</v>
      </c>
      <c r="O6" s="33" t="s">
        <v>38</v>
      </c>
      <c r="P6" s="33" t="s">
        <v>85</v>
      </c>
      <c r="Q6" s="33" t="s">
        <v>58</v>
      </c>
      <c r="R6" s="33" t="s">
        <v>86</v>
      </c>
      <c r="S6" s="33" t="s">
        <v>87</v>
      </c>
      <c r="T6" s="33" t="s">
        <v>88</v>
      </c>
      <c r="U6" s="33">
        <v>500220</v>
      </c>
      <c r="V6" s="34" t="s">
        <v>44</v>
      </c>
      <c r="W6" s="7" t="s">
        <v>89</v>
      </c>
      <c r="X6" s="2"/>
      <c r="Y6" s="2"/>
      <c r="Z6" s="2"/>
      <c r="AS6" s="20"/>
    </row>
    <row r="7" spans="1:45" ht="73.2" customHeight="1">
      <c r="A7" s="13" t="s">
        <v>90</v>
      </c>
      <c r="B7" s="13" t="s">
        <v>91</v>
      </c>
      <c r="C7" s="13" t="s">
        <v>81</v>
      </c>
      <c r="D7" s="13" t="s">
        <v>92</v>
      </c>
      <c r="E7" s="13" t="s">
        <v>51</v>
      </c>
      <c r="F7" s="13">
        <v>2016</v>
      </c>
      <c r="G7" s="13" t="s">
        <v>83</v>
      </c>
      <c r="H7" s="13" t="s">
        <v>53</v>
      </c>
      <c r="I7" s="13" t="s">
        <v>33</v>
      </c>
      <c r="J7" s="30"/>
      <c r="K7" s="33" t="s">
        <v>93</v>
      </c>
      <c r="L7" s="33"/>
      <c r="M7" s="33" t="s">
        <v>36</v>
      </c>
      <c r="N7" s="33" t="s">
        <v>76</v>
      </c>
      <c r="O7" s="33" t="s">
        <v>94</v>
      </c>
      <c r="P7" s="33"/>
      <c r="Q7" s="33" t="s">
        <v>58</v>
      </c>
      <c r="R7" s="33" t="s">
        <v>86</v>
      </c>
      <c r="S7" s="33" t="s">
        <v>95</v>
      </c>
      <c r="T7" s="33" t="s">
        <v>69</v>
      </c>
      <c r="U7" s="33">
        <v>119581</v>
      </c>
      <c r="V7" s="34" t="s">
        <v>44</v>
      </c>
      <c r="W7" s="7" t="s">
        <v>89</v>
      </c>
      <c r="X7" s="2"/>
      <c r="Y7" s="2"/>
      <c r="Z7" s="2"/>
      <c r="AS7" s="20"/>
    </row>
    <row r="8" spans="1:45" ht="73.2" customHeight="1">
      <c r="A8" s="13" t="s">
        <v>96</v>
      </c>
      <c r="B8" s="13" t="s">
        <v>97</v>
      </c>
      <c r="C8" s="13" t="s">
        <v>98</v>
      </c>
      <c r="D8" s="13" t="s">
        <v>99</v>
      </c>
      <c r="E8" s="13" t="s">
        <v>100</v>
      </c>
      <c r="F8" s="13">
        <v>2021</v>
      </c>
      <c r="G8" s="13" t="s">
        <v>101</v>
      </c>
      <c r="H8" s="13" t="s">
        <v>32</v>
      </c>
      <c r="I8" s="13" t="s">
        <v>33</v>
      </c>
      <c r="J8" s="30"/>
      <c r="K8" s="33" t="s">
        <v>102</v>
      </c>
      <c r="L8" s="33" t="s">
        <v>103</v>
      </c>
      <c r="M8" s="33" t="s">
        <v>36</v>
      </c>
      <c r="N8" s="33" t="s">
        <v>76</v>
      </c>
      <c r="O8" s="35" t="s">
        <v>38</v>
      </c>
      <c r="P8" s="33" t="s">
        <v>104</v>
      </c>
      <c r="Q8" s="33" t="s">
        <v>40</v>
      </c>
      <c r="R8" s="33" t="s">
        <v>86</v>
      </c>
      <c r="S8" s="33" t="s">
        <v>95</v>
      </c>
      <c r="T8" s="33" t="s">
        <v>43</v>
      </c>
      <c r="U8" s="33">
        <v>27239</v>
      </c>
      <c r="V8" s="34" t="s">
        <v>44</v>
      </c>
      <c r="W8" s="7" t="s">
        <v>105</v>
      </c>
      <c r="X8" s="2"/>
      <c r="Y8" s="2"/>
      <c r="Z8" s="2"/>
      <c r="AS8" s="20"/>
    </row>
    <row r="9" spans="1:45" ht="73.2" customHeight="1">
      <c r="A9" s="13" t="s">
        <v>106</v>
      </c>
      <c r="B9" s="13" t="s">
        <v>107</v>
      </c>
      <c r="C9" s="13" t="s">
        <v>108</v>
      </c>
      <c r="D9" s="13" t="s">
        <v>109</v>
      </c>
      <c r="E9" s="13" t="s">
        <v>110</v>
      </c>
      <c r="F9" s="13">
        <v>2017</v>
      </c>
      <c r="G9" s="13" t="s">
        <v>111</v>
      </c>
      <c r="H9" s="13" t="s">
        <v>32</v>
      </c>
      <c r="I9" s="13" t="s">
        <v>33</v>
      </c>
      <c r="J9" s="30"/>
      <c r="K9" s="33" t="s">
        <v>102</v>
      </c>
      <c r="L9" s="33"/>
      <c r="M9" s="33" t="s">
        <v>112</v>
      </c>
      <c r="N9" s="33"/>
      <c r="O9" s="35" t="s">
        <v>38</v>
      </c>
      <c r="P9" s="33" t="s">
        <v>113</v>
      </c>
      <c r="Q9" s="33" t="s">
        <v>58</v>
      </c>
      <c r="R9" s="33" t="s">
        <v>86</v>
      </c>
      <c r="S9" s="33" t="s">
        <v>95</v>
      </c>
      <c r="T9" s="33" t="s">
        <v>114</v>
      </c>
      <c r="U9" s="33">
        <v>18905</v>
      </c>
      <c r="V9" s="34" t="s">
        <v>44</v>
      </c>
      <c r="W9" s="7" t="s">
        <v>115</v>
      </c>
      <c r="X9" s="2"/>
      <c r="Y9" s="2"/>
      <c r="Z9" s="2"/>
      <c r="AS9" s="20"/>
    </row>
    <row r="10" spans="1:45" ht="73.2" customHeight="1">
      <c r="A10" s="13" t="s">
        <v>116</v>
      </c>
      <c r="B10" s="13" t="s">
        <v>117</v>
      </c>
      <c r="C10" s="13" t="s">
        <v>118</v>
      </c>
      <c r="D10" s="13" t="s">
        <v>119</v>
      </c>
      <c r="E10" s="13" t="s">
        <v>51</v>
      </c>
      <c r="F10" s="13">
        <v>2018</v>
      </c>
      <c r="G10" s="13" t="s">
        <v>120</v>
      </c>
      <c r="H10" s="13" t="s">
        <v>32</v>
      </c>
      <c r="I10" s="13" t="s">
        <v>33</v>
      </c>
      <c r="J10" s="30"/>
      <c r="K10" s="33" t="s">
        <v>121</v>
      </c>
      <c r="L10" s="33" t="s">
        <v>122</v>
      </c>
      <c r="M10" s="37" t="s">
        <v>123</v>
      </c>
      <c r="N10" s="33" t="s">
        <v>124</v>
      </c>
      <c r="O10" s="35" t="s">
        <v>125</v>
      </c>
      <c r="P10" s="33" t="s">
        <v>126</v>
      </c>
      <c r="Q10" s="35" t="s">
        <v>58</v>
      </c>
      <c r="R10" s="33" t="s">
        <v>41</v>
      </c>
      <c r="S10" s="33" t="s">
        <v>127</v>
      </c>
      <c r="T10" s="33" t="s">
        <v>128</v>
      </c>
      <c r="U10" s="33">
        <f>358 +452</f>
        <v>810</v>
      </c>
      <c r="V10" s="34" t="s">
        <v>44</v>
      </c>
      <c r="W10" s="7" t="s">
        <v>45</v>
      </c>
      <c r="X10" s="2"/>
      <c r="Y10" s="2"/>
      <c r="Z10" s="2" t="s">
        <v>129</v>
      </c>
      <c r="AS10" s="20"/>
    </row>
    <row r="11" spans="1:45" ht="73.2" customHeight="1">
      <c r="A11" s="13" t="s">
        <v>130</v>
      </c>
      <c r="B11" s="13" t="s">
        <v>131</v>
      </c>
      <c r="C11" s="13" t="s">
        <v>132</v>
      </c>
      <c r="D11" s="13" t="s">
        <v>133</v>
      </c>
      <c r="E11" s="13" t="s">
        <v>134</v>
      </c>
      <c r="F11" s="13">
        <v>2023</v>
      </c>
      <c r="G11" s="13" t="s">
        <v>135</v>
      </c>
      <c r="H11" s="13" t="s">
        <v>136</v>
      </c>
      <c r="I11" s="13" t="s">
        <v>33</v>
      </c>
      <c r="J11" s="30"/>
      <c r="K11" s="33" t="s">
        <v>137</v>
      </c>
      <c r="L11" s="33"/>
      <c r="M11" s="33" t="s">
        <v>36</v>
      </c>
      <c r="N11" s="33" t="s">
        <v>138</v>
      </c>
      <c r="O11" s="33" t="s">
        <v>38</v>
      </c>
      <c r="P11" s="33" t="s">
        <v>139</v>
      </c>
      <c r="Q11" s="33" t="s">
        <v>58</v>
      </c>
      <c r="R11" s="33" t="s">
        <v>86</v>
      </c>
      <c r="S11" s="33" t="s">
        <v>95</v>
      </c>
      <c r="T11" s="33" t="s">
        <v>140</v>
      </c>
      <c r="U11" s="33">
        <v>22322</v>
      </c>
      <c r="V11" s="34" t="s">
        <v>44</v>
      </c>
      <c r="W11" s="7" t="s">
        <v>141</v>
      </c>
      <c r="X11" s="2" t="s">
        <v>142</v>
      </c>
      <c r="Y11" s="2"/>
      <c r="Z11" s="2"/>
      <c r="AS11" s="20"/>
    </row>
    <row r="12" spans="1:45" ht="73.2" customHeight="1">
      <c r="A12" s="13" t="s">
        <v>143</v>
      </c>
      <c r="B12" s="13" t="s">
        <v>144</v>
      </c>
      <c r="C12" s="13" t="s">
        <v>145</v>
      </c>
      <c r="D12" s="13" t="s">
        <v>146</v>
      </c>
      <c r="E12" s="13" t="s">
        <v>51</v>
      </c>
      <c r="F12" s="13">
        <v>2024</v>
      </c>
      <c r="G12" s="13" t="s">
        <v>74</v>
      </c>
      <c r="H12" s="13" t="s">
        <v>53</v>
      </c>
      <c r="I12" s="13" t="s">
        <v>33</v>
      </c>
      <c r="J12" s="30"/>
      <c r="K12" s="33" t="s">
        <v>147</v>
      </c>
      <c r="L12" s="33"/>
      <c r="M12" s="33" t="s">
        <v>148</v>
      </c>
      <c r="N12" s="33" t="s">
        <v>149</v>
      </c>
      <c r="O12" s="33" t="s">
        <v>38</v>
      </c>
      <c r="P12" s="33" t="s">
        <v>150</v>
      </c>
      <c r="Q12" s="33" t="s">
        <v>40</v>
      </c>
      <c r="R12" s="33" t="s">
        <v>86</v>
      </c>
      <c r="S12" s="33" t="s">
        <v>151</v>
      </c>
      <c r="T12" s="33" t="s">
        <v>152</v>
      </c>
      <c r="U12" s="33">
        <v>1445</v>
      </c>
      <c r="V12" s="34" t="s">
        <v>44</v>
      </c>
      <c r="W12" s="7" t="s">
        <v>153</v>
      </c>
      <c r="X12" s="2"/>
      <c r="Y12" s="2"/>
      <c r="Z12" s="2" t="s">
        <v>154</v>
      </c>
      <c r="AS12" s="20"/>
    </row>
    <row r="13" spans="1:45" ht="73.2" customHeight="1">
      <c r="A13" s="13" t="s">
        <v>155</v>
      </c>
      <c r="B13" s="13" t="s">
        <v>156</v>
      </c>
      <c r="C13" s="13" t="s">
        <v>157</v>
      </c>
      <c r="D13" s="13" t="s">
        <v>158</v>
      </c>
      <c r="E13" s="13" t="s">
        <v>159</v>
      </c>
      <c r="F13" s="13">
        <v>2024</v>
      </c>
      <c r="G13" s="13" t="s">
        <v>160</v>
      </c>
      <c r="H13" s="13" t="s">
        <v>161</v>
      </c>
      <c r="I13" s="13" t="s">
        <v>33</v>
      </c>
      <c r="J13" s="30"/>
      <c r="K13" s="2" t="s">
        <v>147</v>
      </c>
      <c r="L13" s="33"/>
      <c r="M13" s="2" t="s">
        <v>162</v>
      </c>
      <c r="N13" s="2" t="s">
        <v>163</v>
      </c>
      <c r="O13" s="33" t="s">
        <v>38</v>
      </c>
      <c r="P13" s="33" t="s">
        <v>164</v>
      </c>
      <c r="Q13" s="2" t="s">
        <v>58</v>
      </c>
      <c r="R13" s="33" t="s">
        <v>165</v>
      </c>
      <c r="S13" s="2" t="s">
        <v>95</v>
      </c>
      <c r="T13" s="2" t="s">
        <v>166</v>
      </c>
      <c r="U13" s="33">
        <v>10229</v>
      </c>
      <c r="V13" s="34" t="s">
        <v>44</v>
      </c>
      <c r="W13" s="2" t="s">
        <v>141</v>
      </c>
      <c r="X13" s="2"/>
      <c r="Y13" s="2"/>
      <c r="Z13" s="2"/>
      <c r="AS13" s="20"/>
    </row>
    <row r="14" spans="1:45" ht="73.2" customHeight="1">
      <c r="A14" s="13" t="s">
        <v>167</v>
      </c>
      <c r="B14" s="13" t="s">
        <v>168</v>
      </c>
      <c r="C14" s="13" t="s">
        <v>169</v>
      </c>
      <c r="D14" s="13" t="s">
        <v>170</v>
      </c>
      <c r="E14" s="13" t="s">
        <v>171</v>
      </c>
      <c r="F14" s="13">
        <v>2020</v>
      </c>
      <c r="G14" s="13" t="s">
        <v>172</v>
      </c>
      <c r="H14" s="13" t="s">
        <v>53</v>
      </c>
      <c r="I14" s="13" t="s">
        <v>33</v>
      </c>
      <c r="J14" s="30"/>
      <c r="K14" s="33" t="s">
        <v>34</v>
      </c>
      <c r="L14" s="33"/>
      <c r="M14" s="33" t="s">
        <v>173</v>
      </c>
      <c r="N14" s="33" t="s">
        <v>174</v>
      </c>
      <c r="O14" s="33" t="s">
        <v>38</v>
      </c>
      <c r="P14" s="33" t="s">
        <v>175</v>
      </c>
      <c r="Q14" s="33" t="s">
        <v>40</v>
      </c>
      <c r="R14" s="33" t="s">
        <v>86</v>
      </c>
      <c r="S14" s="35" t="s">
        <v>95</v>
      </c>
      <c r="T14" s="33" t="s">
        <v>176</v>
      </c>
      <c r="U14" s="33">
        <v>40000</v>
      </c>
      <c r="V14" s="34" t="s">
        <v>44</v>
      </c>
      <c r="W14" s="7" t="s">
        <v>45</v>
      </c>
      <c r="X14" s="2"/>
      <c r="Y14" s="2"/>
      <c r="Z14" s="2"/>
      <c r="AS14" s="20"/>
    </row>
    <row r="15" spans="1:45" s="28" customFormat="1" ht="73.2" customHeight="1">
      <c r="A15" s="13" t="s">
        <v>177</v>
      </c>
      <c r="B15" s="13" t="s">
        <v>178</v>
      </c>
      <c r="C15" s="13" t="s">
        <v>179</v>
      </c>
      <c r="D15" s="13" t="s">
        <v>180</v>
      </c>
      <c r="E15" s="13" t="s">
        <v>181</v>
      </c>
      <c r="F15" s="13">
        <v>2015</v>
      </c>
      <c r="G15" s="13" t="s">
        <v>182</v>
      </c>
      <c r="H15" s="13" t="s">
        <v>53</v>
      </c>
      <c r="I15" s="13" t="s">
        <v>33</v>
      </c>
      <c r="J15" s="30"/>
      <c r="K15" s="33" t="s">
        <v>102</v>
      </c>
      <c r="L15" s="33"/>
      <c r="M15" s="33" t="s">
        <v>183</v>
      </c>
      <c r="N15" s="33"/>
      <c r="O15" s="33" t="s">
        <v>38</v>
      </c>
      <c r="P15" s="33" t="s">
        <v>184</v>
      </c>
      <c r="Q15" s="33" t="s">
        <v>58</v>
      </c>
      <c r="R15" s="33" t="s">
        <v>86</v>
      </c>
      <c r="S15" s="33" t="s">
        <v>185</v>
      </c>
      <c r="T15" s="33" t="s">
        <v>186</v>
      </c>
      <c r="U15" s="33">
        <v>447336</v>
      </c>
      <c r="V15" s="34" t="s">
        <v>44</v>
      </c>
      <c r="W15" s="7" t="s">
        <v>89</v>
      </c>
      <c r="X15" s="2"/>
      <c r="Y15" s="2"/>
      <c r="Z15" s="2"/>
      <c r="AS15" s="29"/>
    </row>
    <row r="16" spans="1:45" ht="73.2" customHeight="1">
      <c r="A16" s="13" t="s">
        <v>187</v>
      </c>
      <c r="B16" s="13" t="s">
        <v>188</v>
      </c>
      <c r="C16" s="13" t="s">
        <v>189</v>
      </c>
      <c r="D16" s="13" t="s">
        <v>190</v>
      </c>
      <c r="E16" s="13" t="s">
        <v>191</v>
      </c>
      <c r="F16" s="13">
        <v>2019</v>
      </c>
      <c r="G16" s="13" t="s">
        <v>192</v>
      </c>
      <c r="H16" s="13" t="s">
        <v>193</v>
      </c>
      <c r="I16" s="13" t="s">
        <v>33</v>
      </c>
      <c r="J16" s="30"/>
      <c r="K16" s="7" t="s">
        <v>194</v>
      </c>
      <c r="L16" s="2" t="s">
        <v>195</v>
      </c>
      <c r="M16" s="7" t="s">
        <v>196</v>
      </c>
      <c r="N16" s="2"/>
      <c r="O16" s="7" t="s">
        <v>38</v>
      </c>
      <c r="P16" s="2" t="s">
        <v>197</v>
      </c>
      <c r="Q16" s="2" t="s">
        <v>40</v>
      </c>
      <c r="R16" s="2" t="s">
        <v>86</v>
      </c>
      <c r="S16" s="2" t="s">
        <v>198</v>
      </c>
      <c r="T16" s="2" t="s">
        <v>36</v>
      </c>
      <c r="U16" s="2">
        <v>2592925</v>
      </c>
      <c r="V16" s="51" t="s">
        <v>44</v>
      </c>
      <c r="W16" s="7" t="s">
        <v>199</v>
      </c>
      <c r="X16" s="2"/>
      <c r="Y16" s="2"/>
      <c r="Z16" s="2"/>
      <c r="AS16" s="20"/>
    </row>
    <row r="17" spans="1:45" ht="73.2" customHeight="1">
      <c r="A17" s="13" t="s">
        <v>200</v>
      </c>
      <c r="B17" s="13" t="s">
        <v>201</v>
      </c>
      <c r="C17" s="13" t="s">
        <v>202</v>
      </c>
      <c r="D17" s="13" t="s">
        <v>203</v>
      </c>
      <c r="E17" s="13" t="s">
        <v>204</v>
      </c>
      <c r="F17" s="13">
        <v>2021</v>
      </c>
      <c r="G17" s="13" t="s">
        <v>205</v>
      </c>
      <c r="H17" s="13" t="s">
        <v>53</v>
      </c>
      <c r="I17" s="13" t="s">
        <v>33</v>
      </c>
      <c r="J17" s="30"/>
      <c r="K17" s="33" t="s">
        <v>206</v>
      </c>
      <c r="L17" s="33" t="s">
        <v>207</v>
      </c>
      <c r="M17" s="33" t="s">
        <v>208</v>
      </c>
      <c r="N17" s="33" t="s">
        <v>76</v>
      </c>
      <c r="O17" s="33" t="s">
        <v>38</v>
      </c>
      <c r="P17" s="33" t="s">
        <v>209</v>
      </c>
      <c r="Q17" s="33" t="s">
        <v>58</v>
      </c>
      <c r="R17" s="33" t="s">
        <v>41</v>
      </c>
      <c r="S17" s="35" t="s">
        <v>95</v>
      </c>
      <c r="T17" s="38" t="s">
        <v>43</v>
      </c>
      <c r="U17" s="33">
        <v>2740</v>
      </c>
      <c r="V17" s="34" t="s">
        <v>44</v>
      </c>
      <c r="W17" s="7" t="s">
        <v>210</v>
      </c>
      <c r="X17" s="2"/>
      <c r="Y17" s="2"/>
      <c r="Z17" s="2"/>
      <c r="AS17" s="20"/>
    </row>
    <row r="18" spans="1:45" ht="73.2" customHeight="1">
      <c r="A18" s="13" t="s">
        <v>211</v>
      </c>
      <c r="B18" s="13" t="s">
        <v>212</v>
      </c>
      <c r="C18" s="13" t="s">
        <v>213</v>
      </c>
      <c r="D18" s="13" t="s">
        <v>214</v>
      </c>
      <c r="E18" s="13" t="s">
        <v>215</v>
      </c>
      <c r="F18" s="13">
        <v>2019</v>
      </c>
      <c r="G18" s="13" t="s">
        <v>216</v>
      </c>
      <c r="H18" s="13" t="s">
        <v>32</v>
      </c>
      <c r="I18" s="13" t="s">
        <v>33</v>
      </c>
      <c r="J18" s="30"/>
      <c r="K18" s="33" t="s">
        <v>217</v>
      </c>
      <c r="L18" s="33" t="s">
        <v>218</v>
      </c>
      <c r="M18" s="33" t="s">
        <v>219</v>
      </c>
      <c r="N18" s="33" t="s">
        <v>220</v>
      </c>
      <c r="O18" s="33" t="s">
        <v>38</v>
      </c>
      <c r="P18" s="33" t="s">
        <v>221</v>
      </c>
      <c r="Q18" s="33" t="s">
        <v>58</v>
      </c>
      <c r="R18" s="33" t="s">
        <v>86</v>
      </c>
      <c r="S18" s="35" t="s">
        <v>95</v>
      </c>
      <c r="T18" s="33" t="s">
        <v>222</v>
      </c>
      <c r="U18" s="35">
        <v>374899</v>
      </c>
      <c r="V18" s="36" t="s">
        <v>44</v>
      </c>
      <c r="W18" s="7" t="s">
        <v>45</v>
      </c>
      <c r="X18" s="2"/>
      <c r="Y18" s="2"/>
      <c r="Z18" s="2" t="s">
        <v>223</v>
      </c>
      <c r="AS18" s="20"/>
    </row>
    <row r="19" spans="1:45" ht="73.2" customHeight="1">
      <c r="A19" s="13" t="s">
        <v>224</v>
      </c>
      <c r="B19" s="13" t="s">
        <v>225</v>
      </c>
      <c r="C19" s="13" t="s">
        <v>226</v>
      </c>
      <c r="D19" s="13" t="s">
        <v>227</v>
      </c>
      <c r="E19" s="13" t="s">
        <v>51</v>
      </c>
      <c r="F19" s="13">
        <v>2024</v>
      </c>
      <c r="G19" s="13" t="s">
        <v>74</v>
      </c>
      <c r="H19" s="13" t="s">
        <v>53</v>
      </c>
      <c r="I19" s="13" t="s">
        <v>33</v>
      </c>
      <c r="J19" s="30"/>
      <c r="K19" s="2" t="s">
        <v>34</v>
      </c>
      <c r="L19" s="2"/>
      <c r="M19" s="2" t="s">
        <v>228</v>
      </c>
      <c r="N19" s="2"/>
      <c r="O19" s="2" t="s">
        <v>38</v>
      </c>
      <c r="P19" s="2" t="s">
        <v>229</v>
      </c>
      <c r="Q19" s="2" t="s">
        <v>40</v>
      </c>
      <c r="R19" s="2" t="s">
        <v>86</v>
      </c>
      <c r="S19" s="2" t="s">
        <v>95</v>
      </c>
      <c r="T19" s="2" t="s">
        <v>230</v>
      </c>
      <c r="U19" s="2">
        <v>70400</v>
      </c>
      <c r="V19" s="51" t="s">
        <v>44</v>
      </c>
      <c r="W19" s="7" t="s">
        <v>153</v>
      </c>
      <c r="X19" s="2" t="s">
        <v>231</v>
      </c>
      <c r="Y19" s="2"/>
      <c r="Z19" s="2"/>
      <c r="AS19" s="20"/>
    </row>
    <row r="20" spans="1:45" s="28" customFormat="1" ht="73.2" customHeight="1">
      <c r="A20" s="13" t="s">
        <v>232</v>
      </c>
      <c r="B20" s="13" t="s">
        <v>233</v>
      </c>
      <c r="C20" s="13" t="s">
        <v>234</v>
      </c>
      <c r="D20" s="13" t="s">
        <v>235</v>
      </c>
      <c r="E20" s="13" t="s">
        <v>51</v>
      </c>
      <c r="F20" s="13">
        <v>2025</v>
      </c>
      <c r="G20" s="13" t="s">
        <v>74</v>
      </c>
      <c r="H20" s="13" t="s">
        <v>53</v>
      </c>
      <c r="I20" s="26" t="s">
        <v>33</v>
      </c>
      <c r="J20" s="30"/>
      <c r="K20" s="33" t="s">
        <v>34</v>
      </c>
      <c r="L20" s="33"/>
      <c r="M20" s="33" t="s">
        <v>173</v>
      </c>
      <c r="N20" s="33" t="s">
        <v>236</v>
      </c>
      <c r="O20" s="33" t="s">
        <v>237</v>
      </c>
      <c r="P20" s="33" t="s">
        <v>238</v>
      </c>
      <c r="Q20" s="33" t="s">
        <v>40</v>
      </c>
      <c r="R20" s="33" t="s">
        <v>86</v>
      </c>
      <c r="S20" s="33" t="s">
        <v>95</v>
      </c>
      <c r="T20" s="33" t="s">
        <v>230</v>
      </c>
      <c r="U20" s="33">
        <v>40000</v>
      </c>
      <c r="V20" s="34" t="s">
        <v>44</v>
      </c>
      <c r="W20" s="7" t="s">
        <v>153</v>
      </c>
      <c r="X20" s="2" t="s">
        <v>231</v>
      </c>
      <c r="Y20" s="2"/>
      <c r="Z20" s="2"/>
      <c r="AS20" s="29"/>
    </row>
    <row r="21" spans="1:45" ht="73.2" customHeight="1">
      <c r="A21" s="13" t="s">
        <v>239</v>
      </c>
      <c r="B21" s="13" t="s">
        <v>240</v>
      </c>
      <c r="C21" s="13" t="s">
        <v>241</v>
      </c>
      <c r="D21" s="13" t="s">
        <v>242</v>
      </c>
      <c r="E21" s="13" t="s">
        <v>243</v>
      </c>
      <c r="F21" s="13">
        <v>2021</v>
      </c>
      <c r="G21" s="13" t="s">
        <v>244</v>
      </c>
      <c r="H21" s="13" t="s">
        <v>32</v>
      </c>
      <c r="I21" s="13" t="s">
        <v>33</v>
      </c>
      <c r="J21" s="30"/>
      <c r="K21" s="33" t="s">
        <v>245</v>
      </c>
      <c r="L21" s="33"/>
      <c r="M21" s="33" t="s">
        <v>246</v>
      </c>
      <c r="N21" s="39" t="s">
        <v>247</v>
      </c>
      <c r="O21" s="33" t="s">
        <v>36</v>
      </c>
      <c r="P21" s="33" t="s">
        <v>248</v>
      </c>
      <c r="Q21" s="38" t="s">
        <v>58</v>
      </c>
      <c r="R21" s="33" t="s">
        <v>41</v>
      </c>
      <c r="S21" s="38" t="s">
        <v>95</v>
      </c>
      <c r="T21" s="38" t="s">
        <v>43</v>
      </c>
      <c r="U21" s="33">
        <v>92445</v>
      </c>
      <c r="V21" s="34" t="s">
        <v>44</v>
      </c>
      <c r="W21" s="7" t="s">
        <v>249</v>
      </c>
      <c r="X21" s="12" t="s">
        <v>250</v>
      </c>
      <c r="Y21" s="12"/>
      <c r="Z21" s="2"/>
      <c r="AS21" s="20"/>
    </row>
    <row r="22" spans="1:45" ht="73.2" customHeight="1">
      <c r="A22" s="13" t="s">
        <v>251</v>
      </c>
      <c r="B22" s="13" t="s">
        <v>252</v>
      </c>
      <c r="C22" s="13" t="s">
        <v>253</v>
      </c>
      <c r="D22" s="13" t="s">
        <v>254</v>
      </c>
      <c r="E22" s="13" t="s">
        <v>255</v>
      </c>
      <c r="F22" s="13">
        <v>2019</v>
      </c>
      <c r="G22" s="13" t="s">
        <v>101</v>
      </c>
      <c r="H22" s="13" t="s">
        <v>53</v>
      </c>
      <c r="I22" s="13" t="s">
        <v>33</v>
      </c>
      <c r="J22" s="30"/>
      <c r="K22" s="33" t="s">
        <v>256</v>
      </c>
      <c r="L22" s="33" t="s">
        <v>257</v>
      </c>
      <c r="M22" s="33" t="s">
        <v>258</v>
      </c>
      <c r="N22" s="33" t="s">
        <v>259</v>
      </c>
      <c r="O22" s="33" t="s">
        <v>38</v>
      </c>
      <c r="P22" s="33" t="s">
        <v>260</v>
      </c>
      <c r="Q22" s="33" t="s">
        <v>58</v>
      </c>
      <c r="R22" s="33" t="s">
        <v>41</v>
      </c>
      <c r="S22" s="35" t="s">
        <v>95</v>
      </c>
      <c r="T22" s="33" t="s">
        <v>261</v>
      </c>
      <c r="U22" s="35">
        <v>5279</v>
      </c>
      <c r="V22" s="36" t="s">
        <v>44</v>
      </c>
      <c r="W22" s="7" t="s">
        <v>45</v>
      </c>
      <c r="X22" s="2"/>
      <c r="Y22" s="2"/>
      <c r="Z22" s="2" t="s">
        <v>262</v>
      </c>
      <c r="AS22" s="20"/>
    </row>
    <row r="23" spans="1:45" ht="73.2" customHeight="1">
      <c r="A23" s="13" t="s">
        <v>263</v>
      </c>
      <c r="B23" s="13" t="s">
        <v>264</v>
      </c>
      <c r="C23" s="13" t="s">
        <v>265</v>
      </c>
      <c r="D23" s="13" t="s">
        <v>266</v>
      </c>
      <c r="E23" s="13" t="s">
        <v>267</v>
      </c>
      <c r="F23" s="13">
        <v>2018</v>
      </c>
      <c r="G23" s="13" t="s">
        <v>268</v>
      </c>
      <c r="H23" s="13" t="s">
        <v>53</v>
      </c>
      <c r="I23" s="13" t="s">
        <v>33</v>
      </c>
      <c r="J23" s="30"/>
      <c r="K23" s="35" t="s">
        <v>34</v>
      </c>
      <c r="L23" s="33" t="s">
        <v>269</v>
      </c>
      <c r="M23" s="33" t="s">
        <v>270</v>
      </c>
      <c r="N23" s="33" t="s">
        <v>271</v>
      </c>
      <c r="O23" s="35" t="s">
        <v>38</v>
      </c>
      <c r="P23" s="33" t="s">
        <v>272</v>
      </c>
      <c r="Q23" s="33" t="s">
        <v>40</v>
      </c>
      <c r="R23" s="33" t="s">
        <v>41</v>
      </c>
      <c r="S23" s="35" t="s">
        <v>95</v>
      </c>
      <c r="T23" s="35" t="s">
        <v>43</v>
      </c>
      <c r="U23" s="33">
        <v>942</v>
      </c>
      <c r="V23" s="36" t="s">
        <v>44</v>
      </c>
      <c r="W23" s="7" t="s">
        <v>45</v>
      </c>
      <c r="X23" s="2"/>
      <c r="Y23" s="2"/>
      <c r="Z23" s="2" t="s">
        <v>273</v>
      </c>
      <c r="AS23" s="20"/>
    </row>
    <row r="24" spans="1:45" s="23" customFormat="1" ht="73.2" customHeight="1">
      <c r="A24" s="13" t="s">
        <v>274</v>
      </c>
      <c r="B24" s="13" t="s">
        <v>275</v>
      </c>
      <c r="C24" s="13" t="s">
        <v>276</v>
      </c>
      <c r="D24" s="13" t="s">
        <v>277</v>
      </c>
      <c r="E24" s="13" t="s">
        <v>278</v>
      </c>
      <c r="F24" s="13">
        <v>2024</v>
      </c>
      <c r="G24" s="13" t="s">
        <v>101</v>
      </c>
      <c r="H24" s="13" t="s">
        <v>53</v>
      </c>
      <c r="I24" s="13" t="s">
        <v>33</v>
      </c>
      <c r="J24" s="30"/>
      <c r="K24" s="33" t="s">
        <v>279</v>
      </c>
      <c r="L24" s="33"/>
      <c r="M24" s="33" t="s">
        <v>280</v>
      </c>
      <c r="N24" s="33" t="s">
        <v>281</v>
      </c>
      <c r="O24" s="35" t="s">
        <v>38</v>
      </c>
      <c r="P24" s="33"/>
      <c r="Q24" s="33" t="s">
        <v>58</v>
      </c>
      <c r="R24" s="33" t="s">
        <v>86</v>
      </c>
      <c r="S24" s="33" t="s">
        <v>95</v>
      </c>
      <c r="T24" s="33" t="s">
        <v>43</v>
      </c>
      <c r="U24" s="33">
        <f>1864099+398266+371820+131050+158056</f>
        <v>2923291</v>
      </c>
      <c r="V24" s="34" t="s">
        <v>44</v>
      </c>
      <c r="W24" s="7" t="s">
        <v>45</v>
      </c>
      <c r="X24" s="2" t="s">
        <v>282</v>
      </c>
      <c r="Y24" s="2"/>
      <c r="Z24" s="2"/>
      <c r="AS24" s="24"/>
    </row>
    <row r="25" spans="1:45" s="23" customFormat="1" ht="73.2" customHeight="1">
      <c r="A25" s="26" t="s">
        <v>283</v>
      </c>
      <c r="B25" s="26" t="s">
        <v>284</v>
      </c>
      <c r="C25" s="26" t="s">
        <v>285</v>
      </c>
      <c r="D25" s="13" t="s">
        <v>286</v>
      </c>
      <c r="E25" s="13" t="s">
        <v>51</v>
      </c>
      <c r="F25" s="13">
        <v>2023</v>
      </c>
      <c r="G25" s="13" t="s">
        <v>74</v>
      </c>
      <c r="H25" s="13" t="s">
        <v>53</v>
      </c>
      <c r="I25" s="26" t="s">
        <v>33</v>
      </c>
      <c r="J25" s="32"/>
      <c r="K25" s="27" t="s">
        <v>287</v>
      </c>
      <c r="L25" s="27" t="s">
        <v>288</v>
      </c>
      <c r="M25" s="27" t="s">
        <v>36</v>
      </c>
      <c r="N25" s="2" t="s">
        <v>289</v>
      </c>
      <c r="O25" s="59" t="s">
        <v>290</v>
      </c>
      <c r="P25" s="27" t="s">
        <v>291</v>
      </c>
      <c r="Q25" s="27" t="s">
        <v>58</v>
      </c>
      <c r="R25" s="27" t="s">
        <v>86</v>
      </c>
      <c r="S25" s="27" t="s">
        <v>95</v>
      </c>
      <c r="T25" s="27" t="s">
        <v>43</v>
      </c>
      <c r="U25" s="27">
        <v>1560</v>
      </c>
      <c r="V25" s="50" t="s">
        <v>44</v>
      </c>
      <c r="W25" s="7" t="s">
        <v>45</v>
      </c>
      <c r="X25" s="27"/>
      <c r="Y25" s="27"/>
      <c r="Z25" s="27"/>
      <c r="AS25" s="24"/>
    </row>
    <row r="26" spans="1:45" ht="73.2" customHeight="1">
      <c r="A26" s="13" t="s">
        <v>292</v>
      </c>
      <c r="B26" s="13" t="s">
        <v>293</v>
      </c>
      <c r="C26" s="13" t="s">
        <v>294</v>
      </c>
      <c r="D26" s="13" t="s">
        <v>295</v>
      </c>
      <c r="E26" s="13" t="s">
        <v>51</v>
      </c>
      <c r="F26" s="13">
        <v>2025</v>
      </c>
      <c r="G26" s="13" t="s">
        <v>74</v>
      </c>
      <c r="H26" s="13" t="s">
        <v>53</v>
      </c>
      <c r="I26" s="13" t="s">
        <v>33</v>
      </c>
      <c r="J26" s="30"/>
      <c r="K26" s="33" t="s">
        <v>279</v>
      </c>
      <c r="L26" s="33" t="s">
        <v>296</v>
      </c>
      <c r="M26" s="33" t="s">
        <v>297</v>
      </c>
      <c r="N26" s="33"/>
      <c r="O26" s="35" t="s">
        <v>38</v>
      </c>
      <c r="P26" s="33"/>
      <c r="Q26" s="33" t="s">
        <v>58</v>
      </c>
      <c r="R26" s="33" t="s">
        <v>86</v>
      </c>
      <c r="S26" s="33" t="s">
        <v>95</v>
      </c>
      <c r="T26" s="33" t="s">
        <v>43</v>
      </c>
      <c r="U26" s="33">
        <v>1101</v>
      </c>
      <c r="V26" s="34" t="s">
        <v>44</v>
      </c>
      <c r="W26" s="7" t="s">
        <v>199</v>
      </c>
      <c r="X26" s="2" t="s">
        <v>231</v>
      </c>
      <c r="Y26" s="2"/>
      <c r="Z26" s="2"/>
      <c r="AS26" s="20"/>
    </row>
    <row r="27" spans="1:45" s="23" customFormat="1" ht="73.2" customHeight="1">
      <c r="A27" s="13" t="s">
        <v>298</v>
      </c>
      <c r="B27" s="13" t="s">
        <v>299</v>
      </c>
      <c r="C27" s="13" t="s">
        <v>300</v>
      </c>
      <c r="D27" s="13" t="s">
        <v>301</v>
      </c>
      <c r="E27" s="13" t="s">
        <v>302</v>
      </c>
      <c r="F27" s="13">
        <v>2024</v>
      </c>
      <c r="G27" s="13" t="s">
        <v>74</v>
      </c>
      <c r="H27" s="13" t="s">
        <v>303</v>
      </c>
      <c r="I27" s="13" t="s">
        <v>33</v>
      </c>
      <c r="J27" s="30"/>
      <c r="K27" s="2" t="s">
        <v>279</v>
      </c>
      <c r="L27" s="2" t="s">
        <v>304</v>
      </c>
      <c r="M27" s="2" t="s">
        <v>305</v>
      </c>
      <c r="N27" s="9" t="s">
        <v>306</v>
      </c>
      <c r="O27" s="7" t="s">
        <v>38</v>
      </c>
      <c r="P27" s="2" t="s">
        <v>307</v>
      </c>
      <c r="Q27" s="2" t="s">
        <v>40</v>
      </c>
      <c r="R27" s="2" t="s">
        <v>165</v>
      </c>
      <c r="S27" s="2" t="s">
        <v>95</v>
      </c>
      <c r="T27" s="2" t="s">
        <v>261</v>
      </c>
      <c r="U27" s="2">
        <v>590</v>
      </c>
      <c r="V27" s="51" t="s">
        <v>44</v>
      </c>
      <c r="W27" s="7" t="s">
        <v>105</v>
      </c>
      <c r="X27" s="2"/>
      <c r="Y27" s="2"/>
      <c r="Z27" s="2"/>
      <c r="AS27" s="24"/>
    </row>
    <row r="28" spans="1:45" ht="73.2" customHeight="1">
      <c r="A28" s="13" t="s">
        <v>308</v>
      </c>
      <c r="B28" s="13" t="s">
        <v>309</v>
      </c>
      <c r="C28" s="13" t="s">
        <v>310</v>
      </c>
      <c r="D28" s="13" t="s">
        <v>311</v>
      </c>
      <c r="E28" s="13" t="s">
        <v>312</v>
      </c>
      <c r="F28" s="13">
        <v>2024</v>
      </c>
      <c r="G28" s="13" t="s">
        <v>313</v>
      </c>
      <c r="H28" s="13" t="s">
        <v>32</v>
      </c>
      <c r="I28" s="13" t="s">
        <v>33</v>
      </c>
      <c r="J28" s="30"/>
      <c r="K28" s="33" t="s">
        <v>279</v>
      </c>
      <c r="L28" s="33"/>
      <c r="M28" s="33" t="s">
        <v>314</v>
      </c>
      <c r="N28" s="33"/>
      <c r="O28" s="35" t="s">
        <v>38</v>
      </c>
      <c r="P28" s="33"/>
      <c r="Q28" s="33" t="s">
        <v>58</v>
      </c>
      <c r="R28" s="33" t="s">
        <v>86</v>
      </c>
      <c r="S28" s="33" t="s">
        <v>95</v>
      </c>
      <c r="T28" s="33" t="s">
        <v>43</v>
      </c>
      <c r="U28" s="33">
        <v>667290</v>
      </c>
      <c r="V28" s="34" t="s">
        <v>44</v>
      </c>
      <c r="W28" s="7" t="s">
        <v>45</v>
      </c>
      <c r="X28" s="2"/>
      <c r="Y28" s="2"/>
      <c r="Z28" s="2"/>
      <c r="AS28" s="20"/>
    </row>
    <row r="29" spans="1:45" ht="73.2" customHeight="1">
      <c r="A29" s="13" t="s">
        <v>315</v>
      </c>
      <c r="B29" s="13" t="s">
        <v>316</v>
      </c>
      <c r="C29" s="13" t="s">
        <v>317</v>
      </c>
      <c r="D29" s="13" t="s">
        <v>318</v>
      </c>
      <c r="E29" s="13" t="s">
        <v>319</v>
      </c>
      <c r="F29" s="13">
        <v>2016</v>
      </c>
      <c r="G29" s="13" t="s">
        <v>172</v>
      </c>
      <c r="H29" s="13" t="s">
        <v>53</v>
      </c>
      <c r="I29" s="13" t="s">
        <v>33</v>
      </c>
      <c r="J29" s="30"/>
      <c r="K29" s="38" t="s">
        <v>320</v>
      </c>
      <c r="L29" s="33"/>
      <c r="M29" s="33" t="s">
        <v>321</v>
      </c>
      <c r="N29" s="33" t="s">
        <v>322</v>
      </c>
      <c r="O29" s="35" t="s">
        <v>38</v>
      </c>
      <c r="P29" s="33" t="s">
        <v>323</v>
      </c>
      <c r="Q29" s="33" t="s">
        <v>58</v>
      </c>
      <c r="R29" s="38" t="s">
        <v>86</v>
      </c>
      <c r="S29" s="33" t="s">
        <v>95</v>
      </c>
      <c r="T29" s="33" t="s">
        <v>324</v>
      </c>
      <c r="U29" s="33">
        <v>3087</v>
      </c>
      <c r="V29" s="34" t="s">
        <v>44</v>
      </c>
      <c r="W29" s="7" t="s">
        <v>45</v>
      </c>
      <c r="X29" s="2"/>
      <c r="Y29" s="22"/>
      <c r="Z29" s="22"/>
      <c r="AS29" s="20"/>
    </row>
    <row r="30" spans="1:45" s="28" customFormat="1" ht="73.2" customHeight="1">
      <c r="A30" s="13" t="s">
        <v>325</v>
      </c>
      <c r="B30" s="13" t="s">
        <v>326</v>
      </c>
      <c r="C30" s="13" t="s">
        <v>327</v>
      </c>
      <c r="D30" s="13" t="s">
        <v>328</v>
      </c>
      <c r="E30" s="13" t="s">
        <v>329</v>
      </c>
      <c r="F30" s="13">
        <v>2022</v>
      </c>
      <c r="G30" s="13" t="s">
        <v>330</v>
      </c>
      <c r="H30" s="13" t="s">
        <v>53</v>
      </c>
      <c r="I30" s="13" t="s">
        <v>33</v>
      </c>
      <c r="J30" s="30"/>
      <c r="K30" s="33" t="s">
        <v>34</v>
      </c>
      <c r="L30" s="33"/>
      <c r="M30" s="33" t="s">
        <v>331</v>
      </c>
      <c r="N30" s="33" t="s">
        <v>332</v>
      </c>
      <c r="O30" s="33" t="s">
        <v>38</v>
      </c>
      <c r="P30" s="33" t="s">
        <v>333</v>
      </c>
      <c r="Q30" s="33" t="s">
        <v>40</v>
      </c>
      <c r="R30" s="33" t="s">
        <v>86</v>
      </c>
      <c r="S30" s="33" t="s">
        <v>334</v>
      </c>
      <c r="T30" s="33" t="s">
        <v>43</v>
      </c>
      <c r="U30" s="33">
        <v>5461</v>
      </c>
      <c r="V30" s="34" t="s">
        <v>44</v>
      </c>
      <c r="W30" s="7" t="s">
        <v>45</v>
      </c>
      <c r="X30" s="2"/>
      <c r="Y30" s="2"/>
      <c r="Z30" s="2" t="s">
        <v>335</v>
      </c>
      <c r="AS30" s="29"/>
    </row>
    <row r="31" spans="1:45" ht="73.2" customHeight="1">
      <c r="A31" s="13" t="s">
        <v>336</v>
      </c>
      <c r="B31" s="13" t="s">
        <v>337</v>
      </c>
      <c r="C31" s="13" t="s">
        <v>179</v>
      </c>
      <c r="D31" s="13" t="s">
        <v>338</v>
      </c>
      <c r="E31" s="13" t="s">
        <v>339</v>
      </c>
      <c r="F31" s="13">
        <v>2018</v>
      </c>
      <c r="G31" s="13" t="s">
        <v>216</v>
      </c>
      <c r="H31" s="13" t="s">
        <v>53</v>
      </c>
      <c r="I31" s="13" t="s">
        <v>33</v>
      </c>
      <c r="J31" s="30"/>
      <c r="K31" s="33" t="s">
        <v>102</v>
      </c>
      <c r="L31" s="33" t="s">
        <v>340</v>
      </c>
      <c r="M31" s="33" t="s">
        <v>341</v>
      </c>
      <c r="N31" s="33" t="s">
        <v>342</v>
      </c>
      <c r="O31" s="33" t="s">
        <v>343</v>
      </c>
      <c r="P31" s="33" t="s">
        <v>344</v>
      </c>
      <c r="Q31" s="33" t="s">
        <v>40</v>
      </c>
      <c r="R31" s="33" t="s">
        <v>86</v>
      </c>
      <c r="S31" s="33" t="s">
        <v>185</v>
      </c>
      <c r="T31" s="33" t="s">
        <v>43</v>
      </c>
      <c r="U31" s="33">
        <v>447336</v>
      </c>
      <c r="V31" s="34" t="s">
        <v>44</v>
      </c>
      <c r="W31" s="7" t="s">
        <v>89</v>
      </c>
      <c r="X31" s="2"/>
      <c r="Y31" s="22"/>
      <c r="Z31" s="22"/>
      <c r="AS31" s="20"/>
    </row>
    <row r="32" spans="1:45" ht="73.2" customHeight="1">
      <c r="A32" s="13" t="s">
        <v>345</v>
      </c>
      <c r="B32" s="13" t="s">
        <v>346</v>
      </c>
      <c r="C32" s="13" t="s">
        <v>347</v>
      </c>
      <c r="D32" s="13" t="s">
        <v>348</v>
      </c>
      <c r="E32" s="13" t="s">
        <v>349</v>
      </c>
      <c r="F32" s="13">
        <v>2023</v>
      </c>
      <c r="G32" s="13" t="s">
        <v>350</v>
      </c>
      <c r="H32" s="13" t="s">
        <v>53</v>
      </c>
      <c r="I32" s="13" t="s">
        <v>33</v>
      </c>
      <c r="J32" s="30"/>
      <c r="K32" s="33" t="s">
        <v>34</v>
      </c>
      <c r="L32" s="33"/>
      <c r="M32" s="33" t="s">
        <v>228</v>
      </c>
      <c r="N32" s="33" t="s">
        <v>351</v>
      </c>
      <c r="O32" s="33" t="s">
        <v>38</v>
      </c>
      <c r="P32" s="33" t="s">
        <v>352</v>
      </c>
      <c r="Q32" s="33" t="s">
        <v>58</v>
      </c>
      <c r="R32" s="33" t="s">
        <v>41</v>
      </c>
      <c r="S32" s="33" t="s">
        <v>353</v>
      </c>
      <c r="T32" s="33" t="s">
        <v>43</v>
      </c>
      <c r="U32" s="33">
        <v>153000</v>
      </c>
      <c r="V32" s="34" t="s">
        <v>44</v>
      </c>
      <c r="W32" s="7" t="s">
        <v>354</v>
      </c>
      <c r="X32" s="2"/>
      <c r="Y32" s="22"/>
      <c r="Z32" s="22"/>
      <c r="AS32" s="20"/>
    </row>
    <row r="33" spans="1:45" ht="73.2" customHeight="1">
      <c r="A33" s="13" t="s">
        <v>355</v>
      </c>
      <c r="B33" s="13" t="s">
        <v>356</v>
      </c>
      <c r="C33" s="13" t="s">
        <v>357</v>
      </c>
      <c r="D33" s="13" t="s">
        <v>358</v>
      </c>
      <c r="E33" s="13" t="s">
        <v>51</v>
      </c>
      <c r="F33" s="13">
        <v>2016</v>
      </c>
      <c r="G33" s="13" t="s">
        <v>359</v>
      </c>
      <c r="H33" s="13" t="s">
        <v>53</v>
      </c>
      <c r="I33" s="13" t="s">
        <v>33</v>
      </c>
      <c r="J33" s="30"/>
      <c r="K33" s="33" t="s">
        <v>360</v>
      </c>
      <c r="L33" s="33"/>
      <c r="M33" s="33" t="s">
        <v>36</v>
      </c>
      <c r="N33" s="33" t="s">
        <v>361</v>
      </c>
      <c r="O33" s="33" t="s">
        <v>38</v>
      </c>
      <c r="P33" s="33" t="s">
        <v>362</v>
      </c>
      <c r="Q33" s="33" t="s">
        <v>40</v>
      </c>
      <c r="R33" s="33" t="s">
        <v>41</v>
      </c>
      <c r="S33" s="33" t="s">
        <v>353</v>
      </c>
      <c r="T33" s="33" t="s">
        <v>363</v>
      </c>
      <c r="U33" s="33">
        <v>751880</v>
      </c>
      <c r="V33" s="34" t="s">
        <v>44</v>
      </c>
      <c r="W33" s="7" t="s">
        <v>45</v>
      </c>
      <c r="X33" s="2"/>
      <c r="Y33" s="2"/>
      <c r="Z33" s="2"/>
      <c r="AS33" s="20"/>
    </row>
    <row r="34" spans="1:45" ht="73.2" customHeight="1">
      <c r="A34" s="13" t="s">
        <v>364</v>
      </c>
      <c r="B34" s="13" t="s">
        <v>365</v>
      </c>
      <c r="C34" s="13" t="s">
        <v>366</v>
      </c>
      <c r="D34" s="13" t="s">
        <v>367</v>
      </c>
      <c r="E34" s="13" t="s">
        <v>368</v>
      </c>
      <c r="F34" s="13">
        <v>2025</v>
      </c>
      <c r="G34" s="13" t="s">
        <v>268</v>
      </c>
      <c r="H34" s="13" t="s">
        <v>53</v>
      </c>
      <c r="I34" s="13" t="s">
        <v>33</v>
      </c>
      <c r="J34" s="30"/>
      <c r="K34" s="33" t="s">
        <v>34</v>
      </c>
      <c r="L34" s="33"/>
      <c r="M34" s="33" t="s">
        <v>369</v>
      </c>
      <c r="N34" s="33"/>
      <c r="O34" s="33" t="s">
        <v>38</v>
      </c>
      <c r="P34" s="33" t="s">
        <v>370</v>
      </c>
      <c r="Q34" s="33" t="s">
        <v>58</v>
      </c>
      <c r="R34" s="33" t="s">
        <v>41</v>
      </c>
      <c r="S34" s="35" t="s">
        <v>95</v>
      </c>
      <c r="T34" s="33" t="s">
        <v>43</v>
      </c>
      <c r="U34" s="33">
        <f>35362+24968+21391+19498+9849+5567</f>
        <v>116635</v>
      </c>
      <c r="V34" s="34" t="s">
        <v>371</v>
      </c>
      <c r="W34" s="7" t="s">
        <v>210</v>
      </c>
      <c r="X34" s="2" t="s">
        <v>372</v>
      </c>
      <c r="Y34" s="2"/>
      <c r="Z34" s="2"/>
      <c r="AS34" s="20"/>
    </row>
    <row r="35" spans="1:45" ht="73.2" customHeight="1">
      <c r="A35" s="13" t="s">
        <v>373</v>
      </c>
      <c r="B35" s="13" t="s">
        <v>374</v>
      </c>
      <c r="C35" s="13" t="s">
        <v>375</v>
      </c>
      <c r="D35" s="13" t="s">
        <v>376</v>
      </c>
      <c r="E35" s="13" t="s">
        <v>377</v>
      </c>
      <c r="F35" s="13">
        <v>2020</v>
      </c>
      <c r="G35" s="13" t="s">
        <v>378</v>
      </c>
      <c r="H35" s="13" t="s">
        <v>53</v>
      </c>
      <c r="I35" s="13" t="s">
        <v>33</v>
      </c>
      <c r="J35" s="30"/>
      <c r="K35" s="33" t="s">
        <v>379</v>
      </c>
      <c r="L35" s="33"/>
      <c r="M35" s="33" t="s">
        <v>380</v>
      </c>
      <c r="N35" s="33" t="s">
        <v>381</v>
      </c>
      <c r="O35" s="35" t="s">
        <v>38</v>
      </c>
      <c r="P35" s="33" t="s">
        <v>382</v>
      </c>
      <c r="Q35" s="33" t="s">
        <v>40</v>
      </c>
      <c r="R35" s="33" t="s">
        <v>86</v>
      </c>
      <c r="S35" s="35" t="s">
        <v>95</v>
      </c>
      <c r="T35" s="33" t="s">
        <v>176</v>
      </c>
      <c r="U35" s="35">
        <v>60083</v>
      </c>
      <c r="V35" s="36" t="s">
        <v>44</v>
      </c>
      <c r="W35" s="7" t="s">
        <v>383</v>
      </c>
      <c r="X35" s="2"/>
      <c r="Y35" s="2"/>
      <c r="Z35" s="2" t="s">
        <v>384</v>
      </c>
      <c r="AS35" s="20"/>
    </row>
    <row r="36" spans="1:45" ht="73.2" customHeight="1">
      <c r="A36" s="13" t="s">
        <v>385</v>
      </c>
      <c r="B36" s="13" t="s">
        <v>386</v>
      </c>
      <c r="C36" s="13" t="s">
        <v>387</v>
      </c>
      <c r="D36" s="13" t="s">
        <v>388</v>
      </c>
      <c r="E36" s="13" t="s">
        <v>389</v>
      </c>
      <c r="F36" s="13">
        <v>2021</v>
      </c>
      <c r="G36" s="13" t="s">
        <v>390</v>
      </c>
      <c r="H36" s="13" t="s">
        <v>32</v>
      </c>
      <c r="I36" s="13" t="s">
        <v>391</v>
      </c>
      <c r="J36" s="31"/>
      <c r="K36" s="33" t="s">
        <v>392</v>
      </c>
      <c r="L36" s="33" t="s">
        <v>103</v>
      </c>
      <c r="M36" s="33" t="s">
        <v>393</v>
      </c>
      <c r="N36" s="33" t="s">
        <v>394</v>
      </c>
      <c r="O36" s="33" t="s">
        <v>395</v>
      </c>
      <c r="P36" s="33" t="s">
        <v>396</v>
      </c>
      <c r="Q36" s="33" t="s">
        <v>58</v>
      </c>
      <c r="R36" s="33" t="s">
        <v>41</v>
      </c>
      <c r="S36" s="35" t="s">
        <v>95</v>
      </c>
      <c r="T36" s="33" t="s">
        <v>43</v>
      </c>
      <c r="U36" s="33">
        <v>465</v>
      </c>
      <c r="V36" s="34" t="s">
        <v>44</v>
      </c>
      <c r="W36" s="7" t="s">
        <v>397</v>
      </c>
      <c r="X36" s="2"/>
      <c r="Y36" s="2"/>
      <c r="Z36" s="2" t="s">
        <v>398</v>
      </c>
      <c r="AS36" s="20"/>
    </row>
    <row r="37" spans="1:45" ht="73.2" customHeight="1">
      <c r="A37" s="13" t="s">
        <v>399</v>
      </c>
      <c r="B37" s="13" t="s">
        <v>400</v>
      </c>
      <c r="C37" s="13" t="s">
        <v>401</v>
      </c>
      <c r="D37" s="13" t="s">
        <v>402</v>
      </c>
      <c r="E37" s="13" t="s">
        <v>403</v>
      </c>
      <c r="F37" s="13">
        <v>2026</v>
      </c>
      <c r="G37" s="13" t="s">
        <v>404</v>
      </c>
      <c r="H37" s="13" t="s">
        <v>193</v>
      </c>
      <c r="I37" s="13" t="s">
        <v>33</v>
      </c>
      <c r="J37" s="30"/>
      <c r="K37" s="2" t="s">
        <v>102</v>
      </c>
      <c r="L37" s="2" t="s">
        <v>405</v>
      </c>
      <c r="M37" s="2" t="s">
        <v>36</v>
      </c>
      <c r="N37" s="2" t="s">
        <v>406</v>
      </c>
      <c r="O37" s="7" t="s">
        <v>38</v>
      </c>
      <c r="P37" s="2" t="s">
        <v>407</v>
      </c>
      <c r="Q37" s="2" t="s">
        <v>58</v>
      </c>
      <c r="R37" s="2" t="s">
        <v>86</v>
      </c>
      <c r="S37" s="2" t="s">
        <v>95</v>
      </c>
      <c r="T37" s="2" t="s">
        <v>408</v>
      </c>
      <c r="U37" s="2">
        <v>6600</v>
      </c>
      <c r="V37" s="51" t="s">
        <v>44</v>
      </c>
      <c r="W37" s="7" t="s">
        <v>141</v>
      </c>
      <c r="X37" s="2"/>
      <c r="Y37" s="2"/>
      <c r="Z37" s="2"/>
      <c r="AS37" s="20"/>
    </row>
    <row r="38" spans="1:45" ht="73.2" customHeight="1">
      <c r="A38" s="13" t="s">
        <v>409</v>
      </c>
      <c r="B38" s="13" t="s">
        <v>410</v>
      </c>
      <c r="C38" s="13" t="s">
        <v>411</v>
      </c>
      <c r="D38" s="13" t="s">
        <v>412</v>
      </c>
      <c r="E38" s="13" t="s">
        <v>413</v>
      </c>
      <c r="F38" s="13">
        <v>2025</v>
      </c>
      <c r="G38" s="13" t="s">
        <v>31</v>
      </c>
      <c r="H38" s="13" t="s">
        <v>32</v>
      </c>
      <c r="I38" s="13" t="s">
        <v>33</v>
      </c>
      <c r="J38" s="30"/>
      <c r="K38" s="33" t="s">
        <v>414</v>
      </c>
      <c r="L38" s="33" t="s">
        <v>415</v>
      </c>
      <c r="M38" s="33" t="s">
        <v>55</v>
      </c>
      <c r="N38" s="33" t="s">
        <v>416</v>
      </c>
      <c r="O38" s="33" t="s">
        <v>38</v>
      </c>
      <c r="P38" s="33" t="s">
        <v>417</v>
      </c>
      <c r="Q38" s="33" t="s">
        <v>40</v>
      </c>
      <c r="R38" s="33" t="s">
        <v>41</v>
      </c>
      <c r="S38" s="33" t="s">
        <v>95</v>
      </c>
      <c r="T38" s="33" t="s">
        <v>43</v>
      </c>
      <c r="U38" s="33">
        <f>876+367</f>
        <v>1243</v>
      </c>
      <c r="V38" s="34" t="s">
        <v>44</v>
      </c>
      <c r="W38" s="7" t="s">
        <v>418</v>
      </c>
      <c r="X38" s="2" t="s">
        <v>419</v>
      </c>
      <c r="Y38" s="2"/>
      <c r="Z38" s="2"/>
      <c r="AS38" s="20"/>
    </row>
    <row r="39" spans="1:45" ht="73.2" customHeight="1">
      <c r="A39" s="13" t="s">
        <v>420</v>
      </c>
      <c r="B39" s="13" t="s">
        <v>421</v>
      </c>
      <c r="C39" s="13" t="s">
        <v>422</v>
      </c>
      <c r="D39" s="13" t="s">
        <v>423</v>
      </c>
      <c r="E39" s="13" t="s">
        <v>424</v>
      </c>
      <c r="F39" s="13">
        <v>2016</v>
      </c>
      <c r="G39" s="13" t="s">
        <v>216</v>
      </c>
      <c r="H39" s="13" t="s">
        <v>53</v>
      </c>
      <c r="I39" s="13" t="s">
        <v>33</v>
      </c>
      <c r="J39" s="30"/>
      <c r="K39" s="33" t="s">
        <v>34</v>
      </c>
      <c r="L39" s="33"/>
      <c r="M39" s="33" t="s">
        <v>425</v>
      </c>
      <c r="N39" s="35" t="s">
        <v>426</v>
      </c>
      <c r="O39" s="33" t="s">
        <v>427</v>
      </c>
      <c r="P39" s="33" t="s">
        <v>428</v>
      </c>
      <c r="Q39" s="33" t="s">
        <v>58</v>
      </c>
      <c r="R39" s="33" t="s">
        <v>41</v>
      </c>
      <c r="S39" s="33" t="s">
        <v>429</v>
      </c>
      <c r="T39" s="33" t="s">
        <v>430</v>
      </c>
      <c r="U39" s="33">
        <v>635163</v>
      </c>
      <c r="V39" s="34" t="s">
        <v>44</v>
      </c>
      <c r="W39" s="7" t="s">
        <v>431</v>
      </c>
      <c r="X39" s="2"/>
      <c r="Y39" s="2"/>
      <c r="Z39" s="2"/>
      <c r="AS39" s="20"/>
    </row>
    <row r="40" spans="1:45" ht="73.2" customHeight="1">
      <c r="A40" s="13" t="s">
        <v>432</v>
      </c>
      <c r="B40" s="13" t="s">
        <v>433</v>
      </c>
      <c r="C40" s="13" t="s">
        <v>434</v>
      </c>
      <c r="D40" s="13" t="s">
        <v>435</v>
      </c>
      <c r="E40" s="13" t="s">
        <v>436</v>
      </c>
      <c r="F40" s="13">
        <v>2021</v>
      </c>
      <c r="G40" s="13" t="s">
        <v>330</v>
      </c>
      <c r="H40" s="13" t="s">
        <v>53</v>
      </c>
      <c r="I40" s="13" t="s">
        <v>33</v>
      </c>
      <c r="J40" s="30"/>
      <c r="K40" s="33" t="s">
        <v>147</v>
      </c>
      <c r="L40" s="33"/>
      <c r="M40" s="33" t="s">
        <v>437</v>
      </c>
      <c r="N40" s="33" t="s">
        <v>438</v>
      </c>
      <c r="O40" s="33" t="s">
        <v>38</v>
      </c>
      <c r="P40" s="33" t="s">
        <v>439</v>
      </c>
      <c r="Q40" s="33" t="s">
        <v>58</v>
      </c>
      <c r="R40" s="33" t="s">
        <v>86</v>
      </c>
      <c r="S40" s="33" t="s">
        <v>95</v>
      </c>
      <c r="T40" s="33" t="s">
        <v>43</v>
      </c>
      <c r="U40" s="33">
        <v>1341</v>
      </c>
      <c r="V40" s="34" t="s">
        <v>44</v>
      </c>
      <c r="W40" s="7" t="s">
        <v>440</v>
      </c>
      <c r="X40" s="2" t="s">
        <v>441</v>
      </c>
      <c r="Y40" s="2"/>
      <c r="Z40" s="2" t="s">
        <v>154</v>
      </c>
      <c r="AS40" s="20"/>
    </row>
    <row r="41" spans="1:45" ht="73.2" customHeight="1">
      <c r="A41" s="13" t="s">
        <v>442</v>
      </c>
      <c r="B41" s="13" t="s">
        <v>443</v>
      </c>
      <c r="C41" s="13" t="s">
        <v>444</v>
      </c>
      <c r="D41" s="13" t="s">
        <v>445</v>
      </c>
      <c r="E41" s="13" t="s">
        <v>51</v>
      </c>
      <c r="F41" s="13">
        <v>2019</v>
      </c>
      <c r="G41" s="13" t="s">
        <v>74</v>
      </c>
      <c r="H41" s="13" t="s">
        <v>53</v>
      </c>
      <c r="I41" s="13" t="s">
        <v>33</v>
      </c>
      <c r="J41" s="30"/>
      <c r="K41" s="33" t="s">
        <v>446</v>
      </c>
      <c r="L41" s="33" t="s">
        <v>447</v>
      </c>
      <c r="M41" s="33" t="s">
        <v>448</v>
      </c>
      <c r="N41" s="33" t="s">
        <v>76</v>
      </c>
      <c r="O41" s="35" t="s">
        <v>38</v>
      </c>
      <c r="P41" s="33" t="s">
        <v>449</v>
      </c>
      <c r="Q41" s="33" t="s">
        <v>58</v>
      </c>
      <c r="R41" s="33" t="s">
        <v>41</v>
      </c>
      <c r="S41" s="33" t="s">
        <v>68</v>
      </c>
      <c r="T41" s="33" t="s">
        <v>450</v>
      </c>
      <c r="U41" s="33">
        <v>894</v>
      </c>
      <c r="V41" s="34" t="s">
        <v>44</v>
      </c>
      <c r="W41" s="7" t="s">
        <v>45</v>
      </c>
      <c r="X41" s="2"/>
      <c r="Y41" s="2"/>
      <c r="Z41" s="2"/>
      <c r="AS41" s="20"/>
    </row>
    <row r="42" spans="1:45" ht="73.2" customHeight="1">
      <c r="A42" s="13" t="s">
        <v>451</v>
      </c>
      <c r="B42" s="13" t="s">
        <v>452</v>
      </c>
      <c r="C42" s="13" t="s">
        <v>453</v>
      </c>
      <c r="D42" s="13" t="s">
        <v>454</v>
      </c>
      <c r="E42" s="13" t="s">
        <v>455</v>
      </c>
      <c r="F42" s="13">
        <v>2022</v>
      </c>
      <c r="G42" s="13" t="s">
        <v>456</v>
      </c>
      <c r="H42" s="13" t="s">
        <v>53</v>
      </c>
      <c r="I42" s="13" t="s">
        <v>33</v>
      </c>
      <c r="J42" s="30"/>
      <c r="K42" s="33" t="s">
        <v>34</v>
      </c>
      <c r="L42" s="33" t="s">
        <v>457</v>
      </c>
      <c r="M42" s="33" t="s">
        <v>458</v>
      </c>
      <c r="N42" s="33" t="s">
        <v>459</v>
      </c>
      <c r="O42" s="33" t="s">
        <v>38</v>
      </c>
      <c r="P42" s="33" t="s">
        <v>460</v>
      </c>
      <c r="Q42" s="33" t="s">
        <v>58</v>
      </c>
      <c r="R42" s="33" t="s">
        <v>86</v>
      </c>
      <c r="S42" s="33" t="s">
        <v>95</v>
      </c>
      <c r="T42" s="33" t="s">
        <v>43</v>
      </c>
      <c r="U42" s="33" t="s">
        <v>461</v>
      </c>
      <c r="V42" s="34" t="s">
        <v>44</v>
      </c>
      <c r="W42" s="7" t="s">
        <v>45</v>
      </c>
      <c r="X42" s="2" t="s">
        <v>462</v>
      </c>
      <c r="Y42" s="2" t="s">
        <v>463</v>
      </c>
      <c r="Z42" s="2"/>
      <c r="AS42" s="20"/>
    </row>
    <row r="43" spans="1:45" ht="73.2" customHeight="1">
      <c r="A43" s="13" t="s">
        <v>464</v>
      </c>
      <c r="B43" s="13" t="s">
        <v>465</v>
      </c>
      <c r="C43" s="13" t="s">
        <v>466</v>
      </c>
      <c r="D43" s="13" t="s">
        <v>467</v>
      </c>
      <c r="E43" s="13" t="s">
        <v>51</v>
      </c>
      <c r="F43" s="13">
        <v>2024</v>
      </c>
      <c r="G43" s="13" t="s">
        <v>74</v>
      </c>
      <c r="H43" s="13" t="s">
        <v>53</v>
      </c>
      <c r="I43" s="13" t="s">
        <v>33</v>
      </c>
      <c r="J43" s="30"/>
      <c r="K43" s="33" t="s">
        <v>468</v>
      </c>
      <c r="L43" s="33" t="s">
        <v>469</v>
      </c>
      <c r="M43" s="33" t="s">
        <v>470</v>
      </c>
      <c r="N43" s="33" t="s">
        <v>471</v>
      </c>
      <c r="O43" s="35" t="s">
        <v>38</v>
      </c>
      <c r="P43" s="33" t="s">
        <v>472</v>
      </c>
      <c r="Q43" s="35" t="s">
        <v>58</v>
      </c>
      <c r="R43" s="33" t="s">
        <v>86</v>
      </c>
      <c r="S43" s="35" t="s">
        <v>95</v>
      </c>
      <c r="T43" s="35" t="s">
        <v>43</v>
      </c>
      <c r="U43" s="35">
        <v>2772103</v>
      </c>
      <c r="V43" s="36" t="s">
        <v>44</v>
      </c>
      <c r="W43" s="7" t="s">
        <v>45</v>
      </c>
      <c r="X43" s="2"/>
      <c r="Y43" s="2"/>
      <c r="Z43" s="2" t="s">
        <v>473</v>
      </c>
      <c r="AS43" s="20"/>
    </row>
    <row r="44" spans="1:45" ht="73.2" customHeight="1">
      <c r="A44" s="13" t="s">
        <v>474</v>
      </c>
      <c r="B44" s="13" t="s">
        <v>475</v>
      </c>
      <c r="C44" s="13" t="s">
        <v>476</v>
      </c>
      <c r="D44" s="13" t="s">
        <v>477</v>
      </c>
      <c r="E44" s="13" t="s">
        <v>51</v>
      </c>
      <c r="F44" s="13">
        <v>2018</v>
      </c>
      <c r="G44" s="13" t="s">
        <v>478</v>
      </c>
      <c r="H44" s="13" t="s">
        <v>53</v>
      </c>
      <c r="I44" s="13" t="s">
        <v>33</v>
      </c>
      <c r="J44" s="30"/>
      <c r="K44" s="33" t="s">
        <v>479</v>
      </c>
      <c r="L44" s="33" t="s">
        <v>480</v>
      </c>
      <c r="M44" s="35" t="s">
        <v>36</v>
      </c>
      <c r="N44" s="33" t="s">
        <v>481</v>
      </c>
      <c r="O44" s="33" t="s">
        <v>38</v>
      </c>
      <c r="P44" s="33" t="s">
        <v>482</v>
      </c>
      <c r="Q44" s="33" t="s">
        <v>40</v>
      </c>
      <c r="R44" s="33" t="s">
        <v>41</v>
      </c>
      <c r="S44" s="35" t="s">
        <v>95</v>
      </c>
      <c r="T44" s="33" t="s">
        <v>176</v>
      </c>
      <c r="U44" s="35">
        <v>80368</v>
      </c>
      <c r="V44" s="36" t="s">
        <v>44</v>
      </c>
      <c r="W44" s="7" t="s">
        <v>45</v>
      </c>
      <c r="X44" s="2"/>
      <c r="Y44" s="2"/>
      <c r="Z44" s="2" t="s">
        <v>483</v>
      </c>
      <c r="AS44" s="20"/>
    </row>
    <row r="45" spans="1:45" ht="73.2" customHeight="1">
      <c r="A45" s="13" t="s">
        <v>484</v>
      </c>
      <c r="B45" s="13" t="s">
        <v>485</v>
      </c>
      <c r="C45" s="13" t="s">
        <v>486</v>
      </c>
      <c r="D45" s="13" t="s">
        <v>487</v>
      </c>
      <c r="E45" s="13" t="s">
        <v>488</v>
      </c>
      <c r="F45" s="13">
        <v>2021</v>
      </c>
      <c r="G45" s="13" t="s">
        <v>489</v>
      </c>
      <c r="H45" s="13" t="s">
        <v>53</v>
      </c>
      <c r="I45" s="13" t="s">
        <v>33</v>
      </c>
      <c r="J45" s="30"/>
      <c r="K45" s="33" t="s">
        <v>479</v>
      </c>
      <c r="L45" s="33" t="s">
        <v>490</v>
      </c>
      <c r="M45" s="33" t="s">
        <v>491</v>
      </c>
      <c r="N45" s="33" t="s">
        <v>492</v>
      </c>
      <c r="O45" s="33" t="s">
        <v>38</v>
      </c>
      <c r="P45" s="33" t="s">
        <v>493</v>
      </c>
      <c r="Q45" s="33" t="s">
        <v>58</v>
      </c>
      <c r="R45" s="33" t="s">
        <v>86</v>
      </c>
      <c r="S45" s="35" t="s">
        <v>95</v>
      </c>
      <c r="T45" s="35" t="s">
        <v>43</v>
      </c>
      <c r="U45" s="33">
        <f>374899+172128</f>
        <v>547027</v>
      </c>
      <c r="V45" s="36" t="s">
        <v>44</v>
      </c>
      <c r="W45" s="7" t="s">
        <v>45</v>
      </c>
      <c r="X45" s="2"/>
      <c r="Y45" s="2"/>
      <c r="Z45" s="2" t="s">
        <v>494</v>
      </c>
      <c r="AS45" s="20"/>
    </row>
    <row r="46" spans="1:45" ht="67.95" customHeight="1">
      <c r="A46" s="13" t="s">
        <v>495</v>
      </c>
      <c r="B46" s="13" t="s">
        <v>496</v>
      </c>
      <c r="C46" s="13" t="s">
        <v>497</v>
      </c>
      <c r="D46" s="13" t="s">
        <v>498</v>
      </c>
      <c r="E46" s="13" t="s">
        <v>499</v>
      </c>
      <c r="F46" s="13">
        <v>2022</v>
      </c>
      <c r="G46" s="13" t="s">
        <v>182</v>
      </c>
      <c r="H46" s="13" t="s">
        <v>53</v>
      </c>
      <c r="I46" s="13" t="s">
        <v>33</v>
      </c>
      <c r="J46" s="30"/>
      <c r="K46" s="33" t="s">
        <v>34</v>
      </c>
      <c r="L46" s="33"/>
      <c r="M46" s="33" t="s">
        <v>500</v>
      </c>
      <c r="N46" s="33" t="s">
        <v>501</v>
      </c>
      <c r="O46" s="33" t="s">
        <v>36</v>
      </c>
      <c r="P46" s="33" t="s">
        <v>502</v>
      </c>
      <c r="Q46" s="33" t="s">
        <v>40</v>
      </c>
      <c r="R46" s="33" t="s">
        <v>86</v>
      </c>
      <c r="S46" s="33" t="s">
        <v>95</v>
      </c>
      <c r="T46" s="33" t="s">
        <v>176</v>
      </c>
      <c r="U46" s="33">
        <v>1050952</v>
      </c>
      <c r="V46" s="34" t="s">
        <v>44</v>
      </c>
      <c r="W46" s="7" t="s">
        <v>105</v>
      </c>
      <c r="X46" s="12" t="s">
        <v>503</v>
      </c>
      <c r="Y46" s="12"/>
      <c r="Z46" s="2"/>
      <c r="AS46" s="20"/>
    </row>
    <row r="47" spans="1:45" ht="67.95" customHeight="1">
      <c r="A47" s="13" t="s">
        <v>504</v>
      </c>
      <c r="B47" s="13" t="s">
        <v>505</v>
      </c>
      <c r="C47" s="13" t="s">
        <v>506</v>
      </c>
      <c r="D47" s="13" t="s">
        <v>507</v>
      </c>
      <c r="E47" s="13" t="s">
        <v>508</v>
      </c>
      <c r="F47" s="13">
        <v>2023</v>
      </c>
      <c r="G47" s="13" t="s">
        <v>509</v>
      </c>
      <c r="H47" s="13" t="s">
        <v>53</v>
      </c>
      <c r="I47" s="13" t="s">
        <v>33</v>
      </c>
      <c r="J47" s="30"/>
      <c r="K47" s="33" t="s">
        <v>102</v>
      </c>
      <c r="L47" s="33"/>
      <c r="M47" s="33" t="s">
        <v>510</v>
      </c>
      <c r="N47" s="33" t="s">
        <v>511</v>
      </c>
      <c r="O47" s="33" t="s">
        <v>38</v>
      </c>
      <c r="P47" s="33" t="s">
        <v>512</v>
      </c>
      <c r="Q47" s="33" t="s">
        <v>58</v>
      </c>
      <c r="R47" s="33" t="s">
        <v>41</v>
      </c>
      <c r="S47" s="33" t="s">
        <v>513</v>
      </c>
      <c r="T47" s="33" t="s">
        <v>78</v>
      </c>
      <c r="U47" s="33">
        <v>135107</v>
      </c>
      <c r="V47" s="34" t="s">
        <v>44</v>
      </c>
      <c r="W47" s="7" t="s">
        <v>45</v>
      </c>
      <c r="X47" s="2"/>
      <c r="Y47" s="2"/>
      <c r="Z47" s="2"/>
      <c r="AS47" s="20"/>
    </row>
    <row r="48" spans="1:45" ht="67.95" customHeight="1">
      <c r="A48" s="13" t="s">
        <v>514</v>
      </c>
      <c r="B48" s="13" t="s">
        <v>515</v>
      </c>
      <c r="C48" s="13" t="s">
        <v>516</v>
      </c>
      <c r="D48" s="13" t="s">
        <v>517</v>
      </c>
      <c r="E48" s="13" t="s">
        <v>518</v>
      </c>
      <c r="F48" s="13">
        <v>2019</v>
      </c>
      <c r="G48" s="13" t="s">
        <v>111</v>
      </c>
      <c r="H48" s="13" t="s">
        <v>32</v>
      </c>
      <c r="I48" s="13" t="s">
        <v>33</v>
      </c>
      <c r="J48" s="30"/>
      <c r="K48" s="33" t="s">
        <v>256</v>
      </c>
      <c r="L48" s="33" t="s">
        <v>519</v>
      </c>
      <c r="M48" s="35" t="s">
        <v>520</v>
      </c>
      <c r="N48" s="33"/>
      <c r="O48" s="35" t="s">
        <v>38</v>
      </c>
      <c r="P48" s="33" t="s">
        <v>521</v>
      </c>
      <c r="Q48" s="33" t="s">
        <v>40</v>
      </c>
      <c r="R48" s="33" t="s">
        <v>41</v>
      </c>
      <c r="S48" s="35" t="s">
        <v>95</v>
      </c>
      <c r="T48" s="35" t="s">
        <v>43</v>
      </c>
      <c r="U48" s="35">
        <v>1000</v>
      </c>
      <c r="V48" s="36" t="s">
        <v>44</v>
      </c>
      <c r="W48" s="7" t="s">
        <v>383</v>
      </c>
      <c r="X48" s="2"/>
      <c r="Y48" s="2"/>
      <c r="Z48" s="2" t="s">
        <v>522</v>
      </c>
      <c r="AS48" s="20"/>
    </row>
    <row r="49" spans="1:45" ht="67.95" customHeight="1">
      <c r="A49" s="13" t="s">
        <v>523</v>
      </c>
      <c r="B49" s="13" t="s">
        <v>524</v>
      </c>
      <c r="C49" s="13" t="s">
        <v>525</v>
      </c>
      <c r="D49" s="13" t="s">
        <v>526</v>
      </c>
      <c r="E49" s="13" t="s">
        <v>51</v>
      </c>
      <c r="F49" s="13">
        <v>2019</v>
      </c>
      <c r="G49" s="13" t="s">
        <v>74</v>
      </c>
      <c r="H49" s="13" t="s">
        <v>53</v>
      </c>
      <c r="I49" s="13" t="s">
        <v>33</v>
      </c>
      <c r="J49" s="30"/>
      <c r="K49" s="35" t="s">
        <v>34</v>
      </c>
      <c r="L49" s="33"/>
      <c r="M49" s="33" t="s">
        <v>341</v>
      </c>
      <c r="N49" s="33" t="s">
        <v>76</v>
      </c>
      <c r="O49" s="35" t="s">
        <v>38</v>
      </c>
      <c r="P49" s="33" t="s">
        <v>527</v>
      </c>
      <c r="Q49" s="33" t="s">
        <v>40</v>
      </c>
      <c r="R49" s="33" t="s">
        <v>41</v>
      </c>
      <c r="S49" s="33" t="s">
        <v>95</v>
      </c>
      <c r="T49" s="33" t="s">
        <v>528</v>
      </c>
      <c r="U49" s="33">
        <v>5319</v>
      </c>
      <c r="V49" s="34" t="s">
        <v>44</v>
      </c>
      <c r="W49" s="7" t="s">
        <v>45</v>
      </c>
      <c r="X49" s="2"/>
      <c r="Y49" s="2"/>
      <c r="Z49" s="2"/>
      <c r="AS49" s="20"/>
    </row>
    <row r="50" spans="1:45" ht="67.95" customHeight="1">
      <c r="A50" s="13" t="s">
        <v>529</v>
      </c>
      <c r="B50" s="13" t="s">
        <v>530</v>
      </c>
      <c r="C50" s="13" t="s">
        <v>531</v>
      </c>
      <c r="D50" s="13" t="s">
        <v>532</v>
      </c>
      <c r="E50" s="13" t="s">
        <v>533</v>
      </c>
      <c r="F50" s="13">
        <v>2024</v>
      </c>
      <c r="G50" s="13" t="s">
        <v>534</v>
      </c>
      <c r="H50" s="13" t="s">
        <v>32</v>
      </c>
      <c r="I50" s="13" t="s">
        <v>535</v>
      </c>
      <c r="J50" s="30" t="s">
        <v>536</v>
      </c>
      <c r="K50" s="2"/>
      <c r="L50" s="2"/>
      <c r="M50" s="2"/>
      <c r="N50" s="2"/>
      <c r="O50" s="2"/>
      <c r="P50" s="2"/>
      <c r="Q50" s="2"/>
      <c r="R50" s="2"/>
      <c r="S50" s="2"/>
      <c r="T50" s="2"/>
      <c r="U50" s="2"/>
      <c r="V50" s="2"/>
      <c r="W50" s="2"/>
      <c r="X50" s="2"/>
      <c r="Y50" s="2"/>
      <c r="Z50" s="2"/>
      <c r="AS50" s="20"/>
    </row>
    <row r="51" spans="1:45" ht="67.95" customHeight="1">
      <c r="A51" s="13" t="s">
        <v>537</v>
      </c>
      <c r="B51" s="13" t="s">
        <v>538</v>
      </c>
      <c r="C51" s="13" t="s">
        <v>539</v>
      </c>
      <c r="D51" s="13" t="s">
        <v>540</v>
      </c>
      <c r="E51" s="13" t="s">
        <v>541</v>
      </c>
      <c r="F51" s="13">
        <v>2021</v>
      </c>
      <c r="G51" s="13" t="s">
        <v>542</v>
      </c>
      <c r="H51" s="13" t="s">
        <v>32</v>
      </c>
      <c r="I51" s="13" t="s">
        <v>535</v>
      </c>
      <c r="J51" s="30" t="s">
        <v>543</v>
      </c>
      <c r="K51" s="2"/>
      <c r="L51" s="2"/>
      <c r="M51" s="2"/>
      <c r="N51" s="2"/>
      <c r="O51" s="2"/>
      <c r="P51" s="2"/>
      <c r="Q51" s="2"/>
      <c r="R51" s="2"/>
      <c r="S51" s="2"/>
      <c r="T51" s="2"/>
      <c r="U51" s="2"/>
      <c r="V51" s="2"/>
      <c r="W51" s="2"/>
      <c r="X51" s="2"/>
      <c r="Y51" s="2"/>
      <c r="Z51" s="2"/>
      <c r="AS51" s="20"/>
    </row>
    <row r="52" spans="1:45" ht="67.95" customHeight="1">
      <c r="A52" s="13" t="s">
        <v>544</v>
      </c>
      <c r="B52" s="13" t="s">
        <v>545</v>
      </c>
      <c r="C52" s="13" t="s">
        <v>546</v>
      </c>
      <c r="D52" s="13" t="s">
        <v>547</v>
      </c>
      <c r="E52" s="13" t="s">
        <v>548</v>
      </c>
      <c r="F52" s="13">
        <v>2024</v>
      </c>
      <c r="G52" s="13" t="s">
        <v>549</v>
      </c>
      <c r="H52" s="13" t="s">
        <v>32</v>
      </c>
      <c r="I52" s="13" t="s">
        <v>535</v>
      </c>
      <c r="J52" s="30" t="s">
        <v>536</v>
      </c>
      <c r="K52" s="2"/>
      <c r="L52" s="2"/>
      <c r="M52" s="2"/>
      <c r="N52" s="2"/>
      <c r="O52" s="2"/>
      <c r="P52" s="2"/>
      <c r="Q52" s="2"/>
      <c r="R52" s="2"/>
      <c r="S52" s="2"/>
      <c r="T52" s="2"/>
      <c r="U52" s="2"/>
      <c r="V52" s="2"/>
      <c r="W52" s="2"/>
      <c r="X52" s="2"/>
      <c r="Y52" s="2"/>
      <c r="Z52" s="2"/>
      <c r="AS52" s="20"/>
    </row>
    <row r="53" spans="1:45" ht="67.95" customHeight="1">
      <c r="A53" s="13" t="s">
        <v>550</v>
      </c>
      <c r="B53" s="13" t="s">
        <v>551</v>
      </c>
      <c r="C53" s="13" t="s">
        <v>552</v>
      </c>
      <c r="D53" s="13" t="s">
        <v>553</v>
      </c>
      <c r="E53" s="13" t="s">
        <v>554</v>
      </c>
      <c r="F53" s="13">
        <v>2024</v>
      </c>
      <c r="G53" s="13" t="s">
        <v>555</v>
      </c>
      <c r="H53" s="13" t="s">
        <v>32</v>
      </c>
      <c r="I53" s="13" t="s">
        <v>535</v>
      </c>
      <c r="J53" s="30" t="s">
        <v>536</v>
      </c>
      <c r="K53" s="2"/>
      <c r="L53" s="2"/>
      <c r="M53" s="2"/>
      <c r="N53" s="2"/>
      <c r="O53" s="2"/>
      <c r="P53" s="2"/>
      <c r="Q53" s="2"/>
      <c r="R53" s="2"/>
      <c r="S53" s="2"/>
      <c r="T53" s="2"/>
      <c r="U53" s="2"/>
      <c r="V53" s="2"/>
      <c r="W53" s="2"/>
      <c r="X53" s="2"/>
      <c r="Y53" s="2"/>
      <c r="Z53" s="2"/>
      <c r="AS53" s="20"/>
    </row>
    <row r="54" spans="1:45" ht="67.95" customHeight="1">
      <c r="A54" s="13" t="s">
        <v>556</v>
      </c>
      <c r="B54" s="13" t="s">
        <v>557</v>
      </c>
      <c r="C54" s="13" t="s">
        <v>558</v>
      </c>
      <c r="D54" s="13" t="s">
        <v>559</v>
      </c>
      <c r="E54" s="13" t="s">
        <v>560</v>
      </c>
      <c r="F54" s="13">
        <v>2024</v>
      </c>
      <c r="G54" s="13" t="s">
        <v>561</v>
      </c>
      <c r="H54" s="13" t="s">
        <v>32</v>
      </c>
      <c r="I54" s="13" t="s">
        <v>535</v>
      </c>
      <c r="J54" s="30" t="s">
        <v>536</v>
      </c>
      <c r="K54" s="2"/>
      <c r="L54" s="2"/>
      <c r="M54" s="2"/>
      <c r="N54" s="2"/>
      <c r="O54" s="2"/>
      <c r="P54" s="2"/>
      <c r="Q54" s="2"/>
      <c r="R54" s="2"/>
      <c r="S54" s="2"/>
      <c r="T54" s="2"/>
      <c r="U54" s="2"/>
      <c r="V54" s="2"/>
      <c r="W54" s="2"/>
      <c r="X54" s="2"/>
      <c r="Y54" s="2"/>
      <c r="Z54" s="2"/>
      <c r="AS54" s="20"/>
    </row>
    <row r="55" spans="1:45" ht="67.95" customHeight="1">
      <c r="A55" s="13" t="s">
        <v>562</v>
      </c>
      <c r="B55" s="13" t="s">
        <v>563</v>
      </c>
      <c r="C55" s="13" t="s">
        <v>564</v>
      </c>
      <c r="D55" s="13" t="s">
        <v>565</v>
      </c>
      <c r="E55" s="13" t="s">
        <v>51</v>
      </c>
      <c r="F55" s="13">
        <v>2017</v>
      </c>
      <c r="G55" s="13" t="s">
        <v>566</v>
      </c>
      <c r="H55" s="13" t="s">
        <v>136</v>
      </c>
      <c r="I55" s="13" t="s">
        <v>535</v>
      </c>
      <c r="J55" s="30" t="s">
        <v>567</v>
      </c>
      <c r="K55" s="2"/>
      <c r="L55" s="2"/>
      <c r="M55" s="2"/>
      <c r="N55" s="2"/>
      <c r="O55" s="2"/>
      <c r="P55" s="2"/>
      <c r="Q55" s="2"/>
      <c r="R55" s="2"/>
      <c r="S55" s="2"/>
      <c r="T55" s="2"/>
      <c r="U55" s="2"/>
      <c r="V55" s="2"/>
      <c r="W55" s="2"/>
      <c r="X55" s="2"/>
      <c r="Y55" s="2"/>
      <c r="Z55" s="2"/>
      <c r="AS55" s="20"/>
    </row>
    <row r="56" spans="1:45" ht="67.95" customHeight="1">
      <c r="A56" s="13" t="s">
        <v>568</v>
      </c>
      <c r="B56" s="13" t="s">
        <v>569</v>
      </c>
      <c r="C56" s="13" t="s">
        <v>570</v>
      </c>
      <c r="D56" s="13" t="s">
        <v>571</v>
      </c>
      <c r="E56" s="13" t="s">
        <v>572</v>
      </c>
      <c r="F56" s="13">
        <v>2024</v>
      </c>
      <c r="G56" s="13" t="s">
        <v>555</v>
      </c>
      <c r="H56" s="13" t="s">
        <v>32</v>
      </c>
      <c r="I56" s="13" t="s">
        <v>535</v>
      </c>
      <c r="J56" s="30" t="s">
        <v>536</v>
      </c>
      <c r="K56" s="2"/>
      <c r="L56" s="2"/>
      <c r="M56" s="2"/>
      <c r="N56" s="2"/>
      <c r="O56" s="2"/>
      <c r="P56" s="2"/>
      <c r="Q56" s="2"/>
      <c r="R56" s="2"/>
      <c r="S56" s="2"/>
      <c r="T56" s="2"/>
      <c r="U56" s="2"/>
      <c r="V56" s="2"/>
      <c r="W56" s="2"/>
      <c r="X56" s="2"/>
      <c r="Y56" s="2"/>
      <c r="Z56" s="2"/>
      <c r="AS56" s="20"/>
    </row>
    <row r="57" spans="1:45" ht="67.95" customHeight="1">
      <c r="A57" s="13" t="s">
        <v>573</v>
      </c>
      <c r="B57" s="13" t="s">
        <v>574</v>
      </c>
      <c r="C57" s="13" t="s">
        <v>575</v>
      </c>
      <c r="D57" s="13" t="s">
        <v>576</v>
      </c>
      <c r="E57" s="13" t="s">
        <v>577</v>
      </c>
      <c r="F57" s="13">
        <v>2024</v>
      </c>
      <c r="G57" s="13" t="s">
        <v>578</v>
      </c>
      <c r="H57" s="13" t="s">
        <v>32</v>
      </c>
      <c r="I57" s="13" t="s">
        <v>535</v>
      </c>
      <c r="J57" s="30" t="s">
        <v>579</v>
      </c>
      <c r="K57" s="2"/>
      <c r="L57" s="2"/>
      <c r="M57" s="2"/>
      <c r="N57" s="2"/>
      <c r="O57" s="2"/>
      <c r="P57" s="2"/>
      <c r="Q57" s="2"/>
      <c r="R57" s="2"/>
      <c r="S57" s="2"/>
      <c r="T57" s="2"/>
      <c r="U57" s="2"/>
      <c r="V57" s="2"/>
      <c r="W57" s="2"/>
      <c r="X57" s="2"/>
      <c r="Y57" s="2"/>
      <c r="Z57" s="2"/>
      <c r="AS57" s="20"/>
    </row>
    <row r="58" spans="1:45" ht="67.95" customHeight="1">
      <c r="A58" s="13" t="s">
        <v>580</v>
      </c>
      <c r="B58" s="13" t="s">
        <v>581</v>
      </c>
      <c r="C58" s="13" t="s">
        <v>582</v>
      </c>
      <c r="D58" s="13" t="s">
        <v>583</v>
      </c>
      <c r="E58" s="13" t="s">
        <v>584</v>
      </c>
      <c r="F58" s="13">
        <v>2024</v>
      </c>
      <c r="G58" s="13" t="s">
        <v>585</v>
      </c>
      <c r="H58" s="13" t="s">
        <v>32</v>
      </c>
      <c r="I58" s="13" t="s">
        <v>535</v>
      </c>
      <c r="J58" s="30" t="s">
        <v>567</v>
      </c>
      <c r="K58" s="2"/>
      <c r="L58" s="2"/>
      <c r="M58" s="2"/>
      <c r="N58" s="2"/>
      <c r="O58" s="2"/>
      <c r="P58" s="2"/>
      <c r="Q58" s="2"/>
      <c r="R58" s="2"/>
      <c r="S58" s="2"/>
      <c r="T58" s="2"/>
      <c r="U58" s="2"/>
      <c r="V58" s="2"/>
      <c r="W58" s="2"/>
      <c r="X58" s="2"/>
      <c r="Y58" s="2"/>
      <c r="Z58" s="2"/>
      <c r="AS58" s="20"/>
    </row>
    <row r="59" spans="1:45" ht="67.95" customHeight="1">
      <c r="A59" s="13" t="s">
        <v>586</v>
      </c>
      <c r="B59" s="13" t="s">
        <v>587</v>
      </c>
      <c r="C59" s="13" t="s">
        <v>588</v>
      </c>
      <c r="D59" s="13" t="s">
        <v>589</v>
      </c>
      <c r="E59" s="13" t="s">
        <v>590</v>
      </c>
      <c r="F59" s="13">
        <v>2024</v>
      </c>
      <c r="G59" s="13" t="s">
        <v>591</v>
      </c>
      <c r="H59" s="13" t="s">
        <v>32</v>
      </c>
      <c r="I59" s="13" t="s">
        <v>535</v>
      </c>
      <c r="J59" s="30" t="s">
        <v>567</v>
      </c>
      <c r="K59" s="2"/>
      <c r="L59" s="2"/>
      <c r="M59" s="2"/>
      <c r="N59" s="2"/>
      <c r="O59" s="2"/>
      <c r="P59" s="2"/>
      <c r="Q59" s="2"/>
      <c r="R59" s="2"/>
      <c r="S59" s="2"/>
      <c r="T59" s="2"/>
      <c r="U59" s="2"/>
      <c r="V59" s="2"/>
      <c r="W59" s="2"/>
      <c r="X59" s="2"/>
      <c r="Y59" s="2"/>
      <c r="Z59" s="2"/>
      <c r="AS59" s="20"/>
    </row>
    <row r="60" spans="1:45" ht="67.95" customHeight="1">
      <c r="A60" s="13" t="s">
        <v>592</v>
      </c>
      <c r="B60" s="13" t="s">
        <v>593</v>
      </c>
      <c r="C60" s="13" t="s">
        <v>594</v>
      </c>
      <c r="D60" s="13" t="s">
        <v>595</v>
      </c>
      <c r="E60" s="13" t="s">
        <v>596</v>
      </c>
      <c r="F60" s="13">
        <v>2024</v>
      </c>
      <c r="G60" s="13" t="s">
        <v>597</v>
      </c>
      <c r="H60" s="13" t="s">
        <v>32</v>
      </c>
      <c r="I60" s="13" t="s">
        <v>535</v>
      </c>
      <c r="J60" s="30" t="s">
        <v>536</v>
      </c>
      <c r="K60" s="2"/>
      <c r="L60" s="2"/>
      <c r="M60" s="2"/>
      <c r="N60" s="2"/>
      <c r="O60" s="2"/>
      <c r="P60" s="2"/>
      <c r="Q60" s="2"/>
      <c r="R60" s="2"/>
      <c r="S60" s="2"/>
      <c r="T60" s="2"/>
      <c r="U60" s="2"/>
      <c r="V60" s="2"/>
      <c r="W60" s="2"/>
      <c r="X60" s="2"/>
      <c r="Y60" s="2"/>
      <c r="Z60" s="2"/>
      <c r="AS60" s="20"/>
    </row>
    <row r="61" spans="1:45" ht="67.95" customHeight="1">
      <c r="A61" s="13" t="s">
        <v>598</v>
      </c>
      <c r="B61" s="13" t="s">
        <v>599</v>
      </c>
      <c r="C61" s="13" t="s">
        <v>600</v>
      </c>
      <c r="D61" s="13" t="s">
        <v>601</v>
      </c>
      <c r="E61" s="13" t="s">
        <v>602</v>
      </c>
      <c r="F61" s="13">
        <v>2024</v>
      </c>
      <c r="G61" s="13" t="s">
        <v>603</v>
      </c>
      <c r="H61" s="13" t="s">
        <v>32</v>
      </c>
      <c r="I61" s="13" t="s">
        <v>535</v>
      </c>
      <c r="J61" s="30" t="s">
        <v>536</v>
      </c>
      <c r="K61" s="2"/>
      <c r="L61" s="2"/>
      <c r="M61" s="2"/>
      <c r="N61" s="2"/>
      <c r="O61" s="2"/>
      <c r="P61" s="2"/>
      <c r="Q61" s="2"/>
      <c r="R61" s="2"/>
      <c r="S61" s="2"/>
      <c r="T61" s="2"/>
      <c r="U61" s="2"/>
      <c r="V61" s="2"/>
      <c r="W61" s="2"/>
      <c r="X61" s="2"/>
      <c r="Y61" s="2"/>
      <c r="Z61" s="2"/>
      <c r="AS61" s="20"/>
    </row>
    <row r="62" spans="1:45" ht="67.95" customHeight="1">
      <c r="A62" s="13" t="s">
        <v>604</v>
      </c>
      <c r="B62" s="13" t="s">
        <v>605</v>
      </c>
      <c r="C62" s="13" t="s">
        <v>606</v>
      </c>
      <c r="D62" s="13" t="s">
        <v>607</v>
      </c>
      <c r="E62" s="13" t="s">
        <v>608</v>
      </c>
      <c r="F62" s="13">
        <v>2024</v>
      </c>
      <c r="G62" s="13" t="s">
        <v>609</v>
      </c>
      <c r="H62" s="13" t="s">
        <v>32</v>
      </c>
      <c r="I62" s="13" t="s">
        <v>535</v>
      </c>
      <c r="J62" s="30" t="s">
        <v>536</v>
      </c>
      <c r="K62" s="2"/>
      <c r="L62" s="2"/>
      <c r="M62" s="2"/>
      <c r="N62" s="2"/>
      <c r="O62" s="2"/>
      <c r="P62" s="2"/>
      <c r="Q62" s="2"/>
      <c r="R62" s="2"/>
      <c r="S62" s="2"/>
      <c r="T62" s="2"/>
      <c r="U62" s="2"/>
      <c r="V62" s="2"/>
      <c r="W62" s="2"/>
      <c r="X62" s="2"/>
      <c r="Y62" s="2"/>
      <c r="Z62" s="2"/>
      <c r="AS62" s="20"/>
    </row>
    <row r="63" spans="1:45" ht="67.95" customHeight="1">
      <c r="A63" s="13" t="s">
        <v>610</v>
      </c>
      <c r="B63" s="13" t="s">
        <v>611</v>
      </c>
      <c r="C63" s="13" t="s">
        <v>612</v>
      </c>
      <c r="D63" s="13" t="s">
        <v>613</v>
      </c>
      <c r="E63" s="13" t="s">
        <v>614</v>
      </c>
      <c r="F63" s="13">
        <v>2024</v>
      </c>
      <c r="G63" s="13" t="s">
        <v>615</v>
      </c>
      <c r="H63" s="13" t="s">
        <v>32</v>
      </c>
      <c r="I63" s="13" t="s">
        <v>535</v>
      </c>
      <c r="J63" s="30" t="s">
        <v>536</v>
      </c>
      <c r="K63" s="2"/>
      <c r="L63" s="2"/>
      <c r="M63" s="2"/>
      <c r="N63" s="2"/>
      <c r="O63" s="2"/>
      <c r="P63" s="2"/>
      <c r="Q63" s="2"/>
      <c r="R63" s="2"/>
      <c r="S63" s="2"/>
      <c r="T63" s="2"/>
      <c r="U63" s="2"/>
      <c r="V63" s="2"/>
      <c r="W63" s="2"/>
      <c r="X63" s="2"/>
      <c r="Y63" s="2"/>
      <c r="Z63" s="2"/>
      <c r="AS63" s="20"/>
    </row>
    <row r="64" spans="1:45" ht="67.95" customHeight="1">
      <c r="A64" s="13" t="s">
        <v>616</v>
      </c>
      <c r="B64" s="13" t="s">
        <v>617</v>
      </c>
      <c r="C64" s="13" t="s">
        <v>618</v>
      </c>
      <c r="D64" s="13" t="s">
        <v>619</v>
      </c>
      <c r="E64" s="13" t="s">
        <v>620</v>
      </c>
      <c r="F64" s="13">
        <v>2018</v>
      </c>
      <c r="G64" s="13" t="s">
        <v>621</v>
      </c>
      <c r="H64" s="13" t="s">
        <v>32</v>
      </c>
      <c r="I64" s="13" t="s">
        <v>535</v>
      </c>
      <c r="J64" s="30" t="s">
        <v>543</v>
      </c>
      <c r="K64" s="2"/>
      <c r="L64" s="2"/>
      <c r="M64" s="2"/>
      <c r="N64" s="2"/>
      <c r="O64" s="2"/>
      <c r="P64" s="2"/>
      <c r="Q64" s="2"/>
      <c r="R64" s="2"/>
      <c r="S64" s="2"/>
      <c r="T64" s="2"/>
      <c r="U64" s="2"/>
      <c r="V64" s="2"/>
      <c r="W64" s="2"/>
      <c r="X64" s="2"/>
      <c r="Y64" s="2"/>
      <c r="Z64" s="2"/>
      <c r="AS64" s="20"/>
    </row>
    <row r="65" spans="1:45" ht="67.95" customHeight="1">
      <c r="A65" s="13" t="s">
        <v>622</v>
      </c>
      <c r="B65" s="13" t="s">
        <v>623</v>
      </c>
      <c r="C65" s="13" t="s">
        <v>624</v>
      </c>
      <c r="D65" s="13" t="s">
        <v>625</v>
      </c>
      <c r="E65" s="13" t="s">
        <v>626</v>
      </c>
      <c r="F65" s="13">
        <v>2021</v>
      </c>
      <c r="G65" s="13" t="s">
        <v>627</v>
      </c>
      <c r="H65" s="13" t="s">
        <v>32</v>
      </c>
      <c r="I65" s="13" t="s">
        <v>535</v>
      </c>
      <c r="J65" s="30" t="s">
        <v>567</v>
      </c>
      <c r="K65" s="2"/>
      <c r="L65" s="2"/>
      <c r="M65" s="2"/>
      <c r="N65" s="2"/>
      <c r="O65" s="2"/>
      <c r="P65" s="2"/>
      <c r="Q65" s="2"/>
      <c r="R65" s="2"/>
      <c r="S65" s="2"/>
      <c r="T65" s="2"/>
      <c r="U65" s="2"/>
      <c r="V65" s="2"/>
      <c r="W65" s="2"/>
      <c r="X65" s="2"/>
      <c r="Y65" s="2"/>
      <c r="Z65" s="2"/>
      <c r="AS65" s="20"/>
    </row>
    <row r="66" spans="1:45" ht="67.95" customHeight="1">
      <c r="A66" s="13" t="s">
        <v>628</v>
      </c>
      <c r="B66" s="13" t="s">
        <v>629</v>
      </c>
      <c r="C66" s="13" t="s">
        <v>630</v>
      </c>
      <c r="D66" s="13" t="s">
        <v>631</v>
      </c>
      <c r="E66" s="13" t="s">
        <v>632</v>
      </c>
      <c r="F66" s="13">
        <v>2018</v>
      </c>
      <c r="G66" s="13" t="s">
        <v>633</v>
      </c>
      <c r="H66" s="13" t="s">
        <v>32</v>
      </c>
      <c r="I66" s="13" t="s">
        <v>535</v>
      </c>
      <c r="J66" s="30" t="s">
        <v>567</v>
      </c>
      <c r="K66" s="2"/>
      <c r="L66" s="2"/>
      <c r="M66" s="2"/>
      <c r="N66" s="2"/>
      <c r="O66" s="2"/>
      <c r="P66" s="2"/>
      <c r="Q66" s="2"/>
      <c r="R66" s="2"/>
      <c r="S66" s="2"/>
      <c r="T66" s="2"/>
      <c r="U66" s="2"/>
      <c r="V66" s="2"/>
      <c r="W66" s="2"/>
      <c r="X66" s="2"/>
      <c r="Y66" s="2"/>
      <c r="Z66" s="2"/>
      <c r="AS66" s="20"/>
    </row>
    <row r="67" spans="1:45" ht="67.95" customHeight="1">
      <c r="A67" s="13" t="s">
        <v>634</v>
      </c>
      <c r="B67" s="13" t="s">
        <v>635</v>
      </c>
      <c r="C67" s="13" t="s">
        <v>636</v>
      </c>
      <c r="D67" s="13" t="s">
        <v>637</v>
      </c>
      <c r="E67" s="13" t="s">
        <v>638</v>
      </c>
      <c r="F67" s="13">
        <v>2024</v>
      </c>
      <c r="G67" s="13" t="s">
        <v>639</v>
      </c>
      <c r="H67" s="13" t="s">
        <v>32</v>
      </c>
      <c r="I67" s="13" t="s">
        <v>535</v>
      </c>
      <c r="J67" s="30" t="s">
        <v>536</v>
      </c>
      <c r="K67" s="2"/>
      <c r="L67" s="2"/>
      <c r="M67" s="2"/>
      <c r="N67" s="2"/>
      <c r="O67" s="2"/>
      <c r="P67" s="2"/>
      <c r="Q67" s="2"/>
      <c r="R67" s="2"/>
      <c r="S67" s="2"/>
      <c r="T67" s="2"/>
      <c r="U67" s="2"/>
      <c r="V67" s="2"/>
      <c r="W67" s="2"/>
      <c r="X67" s="2"/>
      <c r="Y67" s="2"/>
      <c r="Z67" s="2"/>
      <c r="AS67" s="20"/>
    </row>
    <row r="68" spans="1:45" ht="67.95" customHeight="1">
      <c r="A68" s="13" t="s">
        <v>640</v>
      </c>
      <c r="B68" s="13" t="s">
        <v>641</v>
      </c>
      <c r="C68" s="13" t="s">
        <v>642</v>
      </c>
      <c r="D68" s="13" t="s">
        <v>643</v>
      </c>
      <c r="E68" s="13" t="s">
        <v>644</v>
      </c>
      <c r="F68" s="13">
        <v>2024</v>
      </c>
      <c r="G68" s="13" t="s">
        <v>645</v>
      </c>
      <c r="H68" s="13" t="s">
        <v>32</v>
      </c>
      <c r="I68" s="13" t="s">
        <v>535</v>
      </c>
      <c r="J68" s="30" t="s">
        <v>646</v>
      </c>
      <c r="K68" s="2"/>
      <c r="L68" s="2"/>
      <c r="M68" s="2"/>
      <c r="N68" s="2"/>
      <c r="O68" s="2"/>
      <c r="P68" s="2"/>
      <c r="Q68" s="2"/>
      <c r="R68" s="2"/>
      <c r="S68" s="2"/>
      <c r="T68" s="2"/>
      <c r="U68" s="2"/>
      <c r="V68" s="2"/>
      <c r="W68" s="2"/>
      <c r="X68" s="2"/>
      <c r="Y68" s="2"/>
      <c r="Z68" s="2"/>
      <c r="AS68" s="20"/>
    </row>
    <row r="69" spans="1:45" ht="67.95" customHeight="1">
      <c r="A69" s="13" t="s">
        <v>647</v>
      </c>
      <c r="B69" s="13" t="s">
        <v>648</v>
      </c>
      <c r="C69" s="13" t="s">
        <v>649</v>
      </c>
      <c r="D69" s="13" t="s">
        <v>650</v>
      </c>
      <c r="E69" s="13" t="s">
        <v>651</v>
      </c>
      <c r="F69" s="13">
        <v>2024</v>
      </c>
      <c r="G69" s="13" t="s">
        <v>615</v>
      </c>
      <c r="H69" s="13" t="s">
        <v>32</v>
      </c>
      <c r="I69" s="13" t="s">
        <v>535</v>
      </c>
      <c r="J69" s="30" t="s">
        <v>646</v>
      </c>
      <c r="K69" s="2"/>
      <c r="L69" s="2"/>
      <c r="M69" s="2"/>
      <c r="N69" s="2"/>
      <c r="O69" s="2"/>
      <c r="P69" s="2"/>
      <c r="Q69" s="2"/>
      <c r="R69" s="2"/>
      <c r="S69" s="2"/>
      <c r="T69" s="2"/>
      <c r="U69" s="2"/>
      <c r="V69" s="2"/>
      <c r="W69" s="2"/>
      <c r="X69" s="2"/>
      <c r="Y69" s="2"/>
      <c r="Z69" s="2"/>
      <c r="AS69" s="20"/>
    </row>
    <row r="70" spans="1:45" ht="67.95" customHeight="1">
      <c r="A70" s="13" t="s">
        <v>652</v>
      </c>
      <c r="B70" s="13" t="s">
        <v>653</v>
      </c>
      <c r="C70" s="13" t="s">
        <v>654</v>
      </c>
      <c r="D70" s="13" t="s">
        <v>655</v>
      </c>
      <c r="E70" s="13" t="s">
        <v>656</v>
      </c>
      <c r="F70" s="13">
        <v>2024</v>
      </c>
      <c r="G70" s="13" t="s">
        <v>657</v>
      </c>
      <c r="H70" s="13" t="s">
        <v>32</v>
      </c>
      <c r="I70" s="13" t="s">
        <v>535</v>
      </c>
      <c r="J70" s="30" t="s">
        <v>658</v>
      </c>
      <c r="K70" s="2"/>
      <c r="L70" s="2"/>
      <c r="M70" s="2"/>
      <c r="N70" s="2"/>
      <c r="O70" s="2"/>
      <c r="P70" s="2"/>
      <c r="Q70" s="2"/>
      <c r="R70" s="2"/>
      <c r="S70" s="2"/>
      <c r="T70" s="2"/>
      <c r="U70" s="2"/>
      <c r="V70" s="2"/>
      <c r="W70" s="2"/>
      <c r="X70" s="2"/>
      <c r="Y70" s="2"/>
      <c r="Z70" s="2"/>
      <c r="AS70" s="20"/>
    </row>
    <row r="71" spans="1:45" ht="67.95" customHeight="1">
      <c r="A71" s="13" t="s">
        <v>659</v>
      </c>
      <c r="B71" s="13" t="s">
        <v>660</v>
      </c>
      <c r="C71" s="13" t="s">
        <v>661</v>
      </c>
      <c r="D71" s="13" t="s">
        <v>662</v>
      </c>
      <c r="E71" s="13" t="s">
        <v>663</v>
      </c>
      <c r="F71" s="13">
        <v>2021</v>
      </c>
      <c r="G71" s="13" t="s">
        <v>664</v>
      </c>
      <c r="H71" s="13" t="s">
        <v>32</v>
      </c>
      <c r="I71" s="13" t="s">
        <v>535</v>
      </c>
      <c r="J71" s="30" t="s">
        <v>536</v>
      </c>
      <c r="K71" s="2"/>
      <c r="L71" s="2"/>
      <c r="M71" s="2"/>
      <c r="N71" s="2"/>
      <c r="O71" s="2"/>
      <c r="P71" s="2"/>
      <c r="Q71" s="2"/>
      <c r="R71" s="2"/>
      <c r="S71" s="2"/>
      <c r="T71" s="2"/>
      <c r="U71" s="2"/>
      <c r="V71" s="2"/>
      <c r="W71" s="2"/>
      <c r="X71" s="2"/>
      <c r="Y71" s="2"/>
      <c r="Z71" s="2"/>
      <c r="AS71" s="20"/>
    </row>
    <row r="72" spans="1:45" ht="67.95" customHeight="1">
      <c r="A72" s="13" t="s">
        <v>665</v>
      </c>
      <c r="B72" s="13" t="s">
        <v>666</v>
      </c>
      <c r="C72" s="13" t="s">
        <v>667</v>
      </c>
      <c r="D72" s="13" t="s">
        <v>668</v>
      </c>
      <c r="E72" s="13" t="s">
        <v>669</v>
      </c>
      <c r="F72" s="13">
        <v>2024</v>
      </c>
      <c r="G72" s="13" t="s">
        <v>670</v>
      </c>
      <c r="H72" s="13" t="s">
        <v>32</v>
      </c>
      <c r="I72" s="13" t="s">
        <v>535</v>
      </c>
      <c r="J72" s="30" t="s">
        <v>536</v>
      </c>
      <c r="K72" s="2"/>
      <c r="L72" s="2"/>
      <c r="M72" s="2"/>
      <c r="N72" s="2"/>
      <c r="O72" s="2"/>
      <c r="P72" s="2"/>
      <c r="Q72" s="2"/>
      <c r="R72" s="2"/>
      <c r="S72" s="2"/>
      <c r="T72" s="2"/>
      <c r="U72" s="2"/>
      <c r="V72" s="2"/>
      <c r="W72" s="2"/>
      <c r="X72" s="2"/>
      <c r="Y72" s="2"/>
      <c r="Z72" s="2"/>
      <c r="AS72" s="20"/>
    </row>
    <row r="73" spans="1:45" ht="67.95" customHeight="1">
      <c r="A73" s="13" t="s">
        <v>671</v>
      </c>
      <c r="B73" s="13" t="s">
        <v>672</v>
      </c>
      <c r="C73" s="13" t="s">
        <v>673</v>
      </c>
      <c r="D73" s="13" t="s">
        <v>674</v>
      </c>
      <c r="E73" s="13" t="s">
        <v>675</v>
      </c>
      <c r="F73" s="13">
        <v>2024</v>
      </c>
      <c r="G73" s="13" t="s">
        <v>676</v>
      </c>
      <c r="H73" s="13" t="s">
        <v>32</v>
      </c>
      <c r="I73" s="13" t="s">
        <v>535</v>
      </c>
      <c r="J73" s="30" t="s">
        <v>536</v>
      </c>
      <c r="K73" s="2"/>
      <c r="L73" s="2"/>
      <c r="M73" s="2"/>
      <c r="N73" s="2"/>
      <c r="O73" s="2"/>
      <c r="P73" s="2"/>
      <c r="Q73" s="2"/>
      <c r="R73" s="2"/>
      <c r="S73" s="2"/>
      <c r="T73" s="2"/>
      <c r="U73" s="2"/>
      <c r="V73" s="2"/>
      <c r="W73" s="2"/>
      <c r="X73" s="2"/>
      <c r="Y73" s="2"/>
      <c r="Z73" s="2"/>
      <c r="AS73" s="20"/>
    </row>
    <row r="74" spans="1:45" ht="67.95" customHeight="1">
      <c r="A74" s="13" t="s">
        <v>677</v>
      </c>
      <c r="B74" s="13" t="s">
        <v>678</v>
      </c>
      <c r="C74" s="13" t="s">
        <v>679</v>
      </c>
      <c r="D74" s="13" t="s">
        <v>680</v>
      </c>
      <c r="E74" s="13" t="s">
        <v>681</v>
      </c>
      <c r="F74" s="13">
        <v>2024</v>
      </c>
      <c r="G74" s="13" t="s">
        <v>682</v>
      </c>
      <c r="H74" s="13" t="s">
        <v>32</v>
      </c>
      <c r="I74" s="13" t="s">
        <v>535</v>
      </c>
      <c r="J74" s="30" t="s">
        <v>536</v>
      </c>
      <c r="K74" s="2"/>
      <c r="L74" s="2"/>
      <c r="M74" s="2"/>
      <c r="N74" s="2"/>
      <c r="O74" s="2"/>
      <c r="P74" s="2"/>
      <c r="Q74" s="2"/>
      <c r="R74" s="2"/>
      <c r="S74" s="2"/>
      <c r="T74" s="2"/>
      <c r="U74" s="2"/>
      <c r="V74" s="2"/>
      <c r="W74" s="2"/>
      <c r="X74" s="2"/>
      <c r="Y74" s="2"/>
      <c r="Z74" s="2"/>
      <c r="AS74" s="20"/>
    </row>
    <row r="75" spans="1:45" ht="67.95" customHeight="1">
      <c r="A75" s="13" t="s">
        <v>683</v>
      </c>
      <c r="B75" s="13" t="s">
        <v>684</v>
      </c>
      <c r="C75" s="13" t="s">
        <v>685</v>
      </c>
      <c r="D75" s="13" t="s">
        <v>686</v>
      </c>
      <c r="E75" s="13" t="s">
        <v>687</v>
      </c>
      <c r="F75" s="13">
        <v>2024</v>
      </c>
      <c r="G75" s="13" t="s">
        <v>688</v>
      </c>
      <c r="H75" s="13" t="s">
        <v>32</v>
      </c>
      <c r="I75" s="13" t="s">
        <v>535</v>
      </c>
      <c r="J75" s="30" t="s">
        <v>646</v>
      </c>
      <c r="K75" s="2"/>
      <c r="L75" s="2"/>
      <c r="M75" s="2"/>
      <c r="N75" s="2"/>
      <c r="O75" s="2"/>
      <c r="P75" s="2"/>
      <c r="Q75" s="2"/>
      <c r="R75" s="2"/>
      <c r="S75" s="2"/>
      <c r="T75" s="2"/>
      <c r="U75" s="2"/>
      <c r="V75" s="2"/>
      <c r="W75" s="2"/>
      <c r="X75" s="2"/>
      <c r="Y75" s="2"/>
      <c r="Z75" s="2"/>
      <c r="AS75" s="20"/>
    </row>
    <row r="76" spans="1:45" ht="67.95" customHeight="1">
      <c r="A76" s="13" t="s">
        <v>689</v>
      </c>
      <c r="B76" s="13" t="s">
        <v>690</v>
      </c>
      <c r="C76" s="13" t="s">
        <v>691</v>
      </c>
      <c r="D76" s="13" t="s">
        <v>692</v>
      </c>
      <c r="E76" s="13" t="s">
        <v>693</v>
      </c>
      <c r="F76" s="13">
        <v>2024</v>
      </c>
      <c r="G76" s="13" t="s">
        <v>694</v>
      </c>
      <c r="H76" s="13" t="s">
        <v>32</v>
      </c>
      <c r="I76" s="13" t="s">
        <v>535</v>
      </c>
      <c r="J76" s="30" t="s">
        <v>536</v>
      </c>
      <c r="K76" s="2"/>
      <c r="L76" s="2"/>
      <c r="M76" s="2"/>
      <c r="N76" s="2"/>
      <c r="O76" s="2"/>
      <c r="P76" s="2"/>
      <c r="Q76" s="2"/>
      <c r="R76" s="2"/>
      <c r="S76" s="2"/>
      <c r="T76" s="2"/>
      <c r="U76" s="2"/>
      <c r="V76" s="2"/>
      <c r="W76" s="2"/>
      <c r="X76" s="2"/>
      <c r="Y76" s="2"/>
      <c r="Z76" s="2"/>
      <c r="AS76" s="20"/>
    </row>
    <row r="77" spans="1:45" ht="67.95" customHeight="1">
      <c r="A77" s="13" t="s">
        <v>695</v>
      </c>
      <c r="B77" s="13" t="s">
        <v>696</v>
      </c>
      <c r="C77" s="13" t="s">
        <v>697</v>
      </c>
      <c r="D77" s="13" t="s">
        <v>698</v>
      </c>
      <c r="E77" s="13" t="s">
        <v>699</v>
      </c>
      <c r="F77" s="13">
        <v>2024</v>
      </c>
      <c r="G77" s="13" t="s">
        <v>700</v>
      </c>
      <c r="H77" s="13" t="s">
        <v>32</v>
      </c>
      <c r="I77" s="13" t="s">
        <v>535</v>
      </c>
      <c r="J77" s="30" t="s">
        <v>536</v>
      </c>
      <c r="K77" s="2"/>
      <c r="L77" s="2"/>
      <c r="M77" s="2"/>
      <c r="N77" s="2"/>
      <c r="O77" s="2"/>
      <c r="P77" s="2"/>
      <c r="Q77" s="2"/>
      <c r="R77" s="2"/>
      <c r="S77" s="2"/>
      <c r="T77" s="2"/>
      <c r="U77" s="2"/>
      <c r="V77" s="2"/>
      <c r="W77" s="2"/>
      <c r="X77" s="2"/>
      <c r="Y77" s="2"/>
      <c r="Z77" s="2"/>
      <c r="AS77" s="20"/>
    </row>
    <row r="78" spans="1:45" ht="67.95" customHeight="1">
      <c r="A78" s="13" t="s">
        <v>701</v>
      </c>
      <c r="B78" s="13" t="s">
        <v>702</v>
      </c>
      <c r="C78" s="13" t="s">
        <v>703</v>
      </c>
      <c r="D78" s="13" t="s">
        <v>704</v>
      </c>
      <c r="E78" s="13" t="s">
        <v>705</v>
      </c>
      <c r="F78" s="13">
        <v>2024</v>
      </c>
      <c r="G78" s="13" t="s">
        <v>706</v>
      </c>
      <c r="H78" s="13" t="s">
        <v>32</v>
      </c>
      <c r="I78" s="13" t="s">
        <v>535</v>
      </c>
      <c r="J78" s="30" t="s">
        <v>567</v>
      </c>
      <c r="K78" s="2"/>
      <c r="L78" s="2"/>
      <c r="M78" s="2"/>
      <c r="N78" s="2"/>
      <c r="O78" s="2"/>
      <c r="P78" s="2"/>
      <c r="Q78" s="2"/>
      <c r="R78" s="2"/>
      <c r="S78" s="2"/>
      <c r="T78" s="2"/>
      <c r="U78" s="2"/>
      <c r="V78" s="2"/>
      <c r="W78" s="2"/>
      <c r="X78" s="2"/>
      <c r="Y78" s="2"/>
      <c r="Z78" s="2"/>
      <c r="AS78" s="20"/>
    </row>
    <row r="79" spans="1:45" ht="67.95" customHeight="1">
      <c r="A79" s="13" t="s">
        <v>707</v>
      </c>
      <c r="B79" s="13" t="s">
        <v>708</v>
      </c>
      <c r="C79" s="13" t="s">
        <v>709</v>
      </c>
      <c r="D79" s="13" t="s">
        <v>710</v>
      </c>
      <c r="E79" s="13" t="s">
        <v>711</v>
      </c>
      <c r="F79" s="13">
        <v>2024</v>
      </c>
      <c r="G79" s="13" t="s">
        <v>555</v>
      </c>
      <c r="H79" s="13" t="s">
        <v>32</v>
      </c>
      <c r="I79" s="13" t="s">
        <v>535</v>
      </c>
      <c r="J79" s="30" t="s">
        <v>567</v>
      </c>
      <c r="K79" s="2"/>
      <c r="L79" s="2"/>
      <c r="M79" s="2"/>
      <c r="N79" s="2"/>
      <c r="O79" s="2"/>
      <c r="P79" s="2"/>
      <c r="Q79" s="2"/>
      <c r="R79" s="2"/>
      <c r="S79" s="2"/>
      <c r="T79" s="2"/>
      <c r="U79" s="2"/>
      <c r="V79" s="2"/>
      <c r="W79" s="2"/>
      <c r="X79" s="2"/>
      <c r="Y79" s="2"/>
      <c r="Z79" s="2"/>
      <c r="AS79" s="20"/>
    </row>
    <row r="80" spans="1:45" ht="67.95" customHeight="1">
      <c r="A80" s="13" t="s">
        <v>712</v>
      </c>
      <c r="B80" s="13" t="s">
        <v>713</v>
      </c>
      <c r="C80" s="13" t="s">
        <v>714</v>
      </c>
      <c r="D80" s="13" t="s">
        <v>715</v>
      </c>
      <c r="E80" s="13" t="s">
        <v>716</v>
      </c>
      <c r="F80" s="13">
        <v>2024</v>
      </c>
      <c r="G80" s="13" t="s">
        <v>682</v>
      </c>
      <c r="H80" s="13" t="s">
        <v>32</v>
      </c>
      <c r="I80" s="13" t="s">
        <v>535</v>
      </c>
      <c r="J80" s="30" t="s">
        <v>536</v>
      </c>
      <c r="K80" s="2"/>
      <c r="L80" s="2"/>
      <c r="M80" s="2"/>
      <c r="N80" s="2"/>
      <c r="O80" s="2"/>
      <c r="P80" s="2"/>
      <c r="Q80" s="2"/>
      <c r="R80" s="2"/>
      <c r="S80" s="2"/>
      <c r="T80" s="2"/>
      <c r="U80" s="2"/>
      <c r="V80" s="2"/>
      <c r="W80" s="2"/>
      <c r="X80" s="2"/>
      <c r="Y80" s="2"/>
      <c r="Z80" s="2"/>
      <c r="AS80" s="20"/>
    </row>
    <row r="81" spans="1:45" ht="67.95" customHeight="1">
      <c r="A81" s="13" t="s">
        <v>717</v>
      </c>
      <c r="B81" s="13" t="s">
        <v>718</v>
      </c>
      <c r="C81" s="13" t="s">
        <v>719</v>
      </c>
      <c r="D81" s="13" t="s">
        <v>720</v>
      </c>
      <c r="E81" s="13" t="s">
        <v>721</v>
      </c>
      <c r="F81" s="13">
        <v>2024</v>
      </c>
      <c r="G81" s="13" t="s">
        <v>722</v>
      </c>
      <c r="H81" s="13" t="s">
        <v>32</v>
      </c>
      <c r="I81" s="13" t="s">
        <v>535</v>
      </c>
      <c r="J81" s="30" t="s">
        <v>536</v>
      </c>
      <c r="K81" s="2"/>
      <c r="L81" s="2"/>
      <c r="M81" s="2"/>
      <c r="N81" s="2"/>
      <c r="O81" s="2"/>
      <c r="P81" s="2"/>
      <c r="Q81" s="2"/>
      <c r="R81" s="2"/>
      <c r="S81" s="2"/>
      <c r="T81" s="2"/>
      <c r="U81" s="2"/>
      <c r="V81" s="2"/>
      <c r="W81" s="2"/>
      <c r="X81" s="2"/>
      <c r="Y81" s="2"/>
      <c r="Z81" s="2"/>
      <c r="AS81" s="20"/>
    </row>
    <row r="82" spans="1:45" ht="67.95" customHeight="1">
      <c r="A82" s="13" t="s">
        <v>723</v>
      </c>
      <c r="B82" s="13" t="s">
        <v>724</v>
      </c>
      <c r="C82" s="13" t="s">
        <v>725</v>
      </c>
      <c r="D82" s="13" t="s">
        <v>726</v>
      </c>
      <c r="E82" s="13" t="s">
        <v>727</v>
      </c>
      <c r="F82" s="13">
        <v>2024</v>
      </c>
      <c r="G82" s="13" t="s">
        <v>728</v>
      </c>
      <c r="H82" s="13" t="s">
        <v>32</v>
      </c>
      <c r="I82" s="13" t="s">
        <v>535</v>
      </c>
      <c r="J82" s="30" t="s">
        <v>536</v>
      </c>
      <c r="K82" s="2"/>
      <c r="L82" s="2"/>
      <c r="M82" s="2"/>
      <c r="N82" s="2"/>
      <c r="O82" s="2"/>
      <c r="P82" s="2"/>
      <c r="Q82" s="2"/>
      <c r="R82" s="2"/>
      <c r="S82" s="2"/>
      <c r="T82" s="2"/>
      <c r="U82" s="2"/>
      <c r="V82" s="2"/>
      <c r="W82" s="2"/>
      <c r="X82" s="2"/>
      <c r="Y82" s="2"/>
      <c r="Z82" s="2"/>
      <c r="AS82" s="20"/>
    </row>
    <row r="83" spans="1:45" ht="67.95" customHeight="1">
      <c r="A83" s="13" t="s">
        <v>729</v>
      </c>
      <c r="B83" s="13" t="s">
        <v>730</v>
      </c>
      <c r="C83" s="13" t="s">
        <v>731</v>
      </c>
      <c r="D83" s="13" t="s">
        <v>732</v>
      </c>
      <c r="E83" s="13" t="s">
        <v>733</v>
      </c>
      <c r="F83" s="13">
        <v>2024</v>
      </c>
      <c r="G83" s="13" t="s">
        <v>670</v>
      </c>
      <c r="H83" s="13" t="s">
        <v>32</v>
      </c>
      <c r="I83" s="13" t="s">
        <v>535</v>
      </c>
      <c r="J83" s="30" t="s">
        <v>567</v>
      </c>
      <c r="K83" s="2"/>
      <c r="L83" s="2"/>
      <c r="M83" s="2"/>
      <c r="N83" s="2"/>
      <c r="O83" s="2"/>
      <c r="P83" s="2"/>
      <c r="Q83" s="2"/>
      <c r="R83" s="2"/>
      <c r="S83" s="2"/>
      <c r="T83" s="2"/>
      <c r="U83" s="2"/>
      <c r="V83" s="2"/>
      <c r="W83" s="2"/>
      <c r="X83" s="2"/>
      <c r="Y83" s="2"/>
      <c r="Z83" s="2"/>
      <c r="AS83" s="20"/>
    </row>
    <row r="84" spans="1:45" ht="67.95" customHeight="1">
      <c r="A84" s="13" t="s">
        <v>734</v>
      </c>
      <c r="B84" s="13" t="s">
        <v>735</v>
      </c>
      <c r="C84" s="13" t="s">
        <v>736</v>
      </c>
      <c r="D84" s="13" t="s">
        <v>737</v>
      </c>
      <c r="E84" s="13" t="s">
        <v>738</v>
      </c>
      <c r="F84" s="13">
        <v>2022</v>
      </c>
      <c r="G84" s="13" t="s">
        <v>739</v>
      </c>
      <c r="H84" s="13" t="s">
        <v>32</v>
      </c>
      <c r="I84" s="13" t="s">
        <v>535</v>
      </c>
      <c r="J84" s="30" t="s">
        <v>658</v>
      </c>
      <c r="K84" s="2"/>
      <c r="L84" s="2"/>
      <c r="M84" s="2"/>
      <c r="N84" s="2"/>
      <c r="O84" s="2"/>
      <c r="P84" s="2"/>
      <c r="Q84" s="2"/>
      <c r="R84" s="2"/>
      <c r="S84" s="2"/>
      <c r="T84" s="2"/>
      <c r="U84" s="2"/>
      <c r="V84" s="2"/>
      <c r="W84" s="2"/>
      <c r="X84" s="2"/>
      <c r="Y84" s="2"/>
      <c r="Z84" s="2"/>
      <c r="AS84" s="20"/>
    </row>
    <row r="85" spans="1:45" ht="67.95" customHeight="1">
      <c r="A85" s="13" t="s">
        <v>740</v>
      </c>
      <c r="B85" s="13" t="s">
        <v>741</v>
      </c>
      <c r="C85" s="13" t="s">
        <v>742</v>
      </c>
      <c r="D85" s="13" t="s">
        <v>743</v>
      </c>
      <c r="E85" s="13" t="s">
        <v>744</v>
      </c>
      <c r="F85" s="13">
        <v>2024</v>
      </c>
      <c r="G85" s="13" t="s">
        <v>688</v>
      </c>
      <c r="H85" s="13" t="s">
        <v>32</v>
      </c>
      <c r="I85" s="13" t="s">
        <v>535</v>
      </c>
      <c r="J85" s="30" t="s">
        <v>646</v>
      </c>
      <c r="K85" s="2"/>
      <c r="L85" s="2"/>
      <c r="M85" s="2"/>
      <c r="N85" s="2"/>
      <c r="O85" s="2"/>
      <c r="P85" s="2"/>
      <c r="Q85" s="2"/>
      <c r="R85" s="2"/>
      <c r="S85" s="2"/>
      <c r="T85" s="2"/>
      <c r="U85" s="2"/>
      <c r="V85" s="2"/>
      <c r="W85" s="2"/>
      <c r="X85" s="2"/>
      <c r="Y85" s="2"/>
      <c r="Z85" s="2"/>
      <c r="AS85" s="20"/>
    </row>
    <row r="86" spans="1:45" ht="67.95" customHeight="1">
      <c r="A86" s="13" t="s">
        <v>745</v>
      </c>
      <c r="B86" s="13" t="s">
        <v>746</v>
      </c>
      <c r="C86" s="13" t="s">
        <v>747</v>
      </c>
      <c r="D86" s="13" t="s">
        <v>748</v>
      </c>
      <c r="E86" s="13" t="s">
        <v>749</v>
      </c>
      <c r="F86" s="13">
        <v>2024</v>
      </c>
      <c r="G86" s="13" t="s">
        <v>750</v>
      </c>
      <c r="H86" s="13" t="s">
        <v>32</v>
      </c>
      <c r="I86" s="13" t="s">
        <v>535</v>
      </c>
      <c r="J86" s="30" t="s">
        <v>646</v>
      </c>
      <c r="K86" s="2"/>
      <c r="L86" s="2"/>
      <c r="M86" s="2"/>
      <c r="N86" s="2"/>
      <c r="O86" s="2"/>
      <c r="P86" s="2"/>
      <c r="Q86" s="2"/>
      <c r="R86" s="2"/>
      <c r="S86" s="2"/>
      <c r="T86" s="2"/>
      <c r="U86" s="2"/>
      <c r="V86" s="2"/>
      <c r="W86" s="2"/>
      <c r="X86" s="2"/>
      <c r="Y86" s="2"/>
      <c r="Z86" s="2"/>
      <c r="AS86" s="20"/>
    </row>
    <row r="87" spans="1:45" ht="67.95" customHeight="1">
      <c r="A87" s="13" t="s">
        <v>751</v>
      </c>
      <c r="B87" s="13" t="s">
        <v>752</v>
      </c>
      <c r="C87" s="13" t="s">
        <v>753</v>
      </c>
      <c r="D87" s="13" t="s">
        <v>754</v>
      </c>
      <c r="E87" s="13" t="s">
        <v>755</v>
      </c>
      <c r="F87" s="13">
        <v>2024</v>
      </c>
      <c r="G87" s="13" t="s">
        <v>756</v>
      </c>
      <c r="H87" s="13" t="s">
        <v>32</v>
      </c>
      <c r="I87" s="13" t="s">
        <v>535</v>
      </c>
      <c r="J87" s="30" t="s">
        <v>536</v>
      </c>
      <c r="K87" s="2"/>
      <c r="L87" s="2"/>
      <c r="M87" s="2"/>
      <c r="N87" s="2"/>
      <c r="O87" s="2"/>
      <c r="P87" s="2"/>
      <c r="Q87" s="2"/>
      <c r="R87" s="2"/>
      <c r="S87" s="2"/>
      <c r="T87" s="2"/>
      <c r="U87" s="2"/>
      <c r="V87" s="2"/>
      <c r="W87" s="2"/>
      <c r="X87" s="2"/>
      <c r="Y87" s="2"/>
      <c r="Z87" s="2"/>
      <c r="AS87" s="20"/>
    </row>
    <row r="88" spans="1:45" ht="67.95" customHeight="1">
      <c r="A88" s="13" t="s">
        <v>757</v>
      </c>
      <c r="B88" s="13" t="s">
        <v>758</v>
      </c>
      <c r="C88" s="13" t="s">
        <v>759</v>
      </c>
      <c r="D88" s="13" t="s">
        <v>760</v>
      </c>
      <c r="E88" s="13" t="s">
        <v>761</v>
      </c>
      <c r="F88" s="13">
        <v>2023</v>
      </c>
      <c r="G88" s="13" t="s">
        <v>603</v>
      </c>
      <c r="H88" s="13" t="s">
        <v>32</v>
      </c>
      <c r="I88" s="13" t="s">
        <v>762</v>
      </c>
      <c r="J88" s="30" t="s">
        <v>536</v>
      </c>
      <c r="K88" s="2"/>
      <c r="L88" s="2"/>
      <c r="M88" s="2"/>
      <c r="N88" s="2"/>
      <c r="O88" s="2"/>
      <c r="P88" s="2"/>
      <c r="Q88" s="2"/>
      <c r="R88" s="2"/>
      <c r="S88" s="2"/>
      <c r="T88" s="2"/>
      <c r="U88" s="2"/>
      <c r="V88" s="2"/>
      <c r="W88" s="2"/>
      <c r="X88" s="2"/>
      <c r="Y88" s="2"/>
      <c r="Z88" s="2"/>
      <c r="AS88" s="20"/>
    </row>
    <row r="89" spans="1:45" ht="67.95" customHeight="1">
      <c r="A89" s="13" t="s">
        <v>763</v>
      </c>
      <c r="B89" s="13" t="s">
        <v>764</v>
      </c>
      <c r="C89" s="13" t="s">
        <v>765</v>
      </c>
      <c r="D89" s="13" t="s">
        <v>766</v>
      </c>
      <c r="E89" s="13" t="s">
        <v>767</v>
      </c>
      <c r="F89" s="13">
        <v>2021</v>
      </c>
      <c r="G89" s="13" t="s">
        <v>768</v>
      </c>
      <c r="H89" s="13" t="s">
        <v>32</v>
      </c>
      <c r="I89" s="13" t="s">
        <v>762</v>
      </c>
      <c r="J89" s="30" t="s">
        <v>646</v>
      </c>
      <c r="K89" s="2"/>
      <c r="L89" s="2"/>
      <c r="M89" s="2"/>
      <c r="N89" s="2"/>
      <c r="O89" s="2"/>
      <c r="P89" s="2"/>
      <c r="Q89" s="2"/>
      <c r="R89" s="2"/>
      <c r="S89" s="2"/>
      <c r="T89" s="2"/>
      <c r="U89" s="2"/>
      <c r="V89" s="2"/>
      <c r="W89" s="2"/>
      <c r="X89" s="2"/>
      <c r="Y89" s="2"/>
      <c r="Z89" s="2"/>
      <c r="AS89" s="20"/>
    </row>
    <row r="90" spans="1:45" ht="67.95" customHeight="1">
      <c r="A90" s="13" t="s">
        <v>769</v>
      </c>
      <c r="B90" s="13" t="s">
        <v>770</v>
      </c>
      <c r="C90" s="13" t="s">
        <v>771</v>
      </c>
      <c r="D90" s="13" t="s">
        <v>772</v>
      </c>
      <c r="E90" s="13" t="s">
        <v>51</v>
      </c>
      <c r="F90" s="13">
        <v>2016</v>
      </c>
      <c r="G90" s="13" t="s">
        <v>773</v>
      </c>
      <c r="H90" s="13" t="s">
        <v>53</v>
      </c>
      <c r="I90" s="13" t="s">
        <v>762</v>
      </c>
      <c r="J90" s="30" t="s">
        <v>536</v>
      </c>
      <c r="K90" s="2"/>
      <c r="L90" s="2"/>
      <c r="M90" s="2"/>
      <c r="N90" s="2"/>
      <c r="O90" s="2"/>
      <c r="P90" s="2"/>
      <c r="Q90" s="2"/>
      <c r="R90" s="2"/>
      <c r="S90" s="2"/>
      <c r="T90" s="2"/>
      <c r="U90" s="2"/>
      <c r="V90" s="2"/>
      <c r="W90" s="2"/>
      <c r="X90" s="2"/>
      <c r="Y90" s="2"/>
      <c r="Z90" s="2"/>
      <c r="AS90" s="20"/>
    </row>
    <row r="91" spans="1:45" ht="67.95" customHeight="1">
      <c r="A91" s="13" t="s">
        <v>774</v>
      </c>
      <c r="B91" s="13" t="s">
        <v>51</v>
      </c>
      <c r="C91" s="13" t="s">
        <v>51</v>
      </c>
      <c r="D91" s="13" t="s">
        <v>775</v>
      </c>
      <c r="E91" s="13" t="s">
        <v>51</v>
      </c>
      <c r="F91" s="13">
        <v>2019</v>
      </c>
      <c r="G91" s="13" t="s">
        <v>776</v>
      </c>
      <c r="H91" s="13" t="s">
        <v>32</v>
      </c>
      <c r="I91" s="13" t="s">
        <v>762</v>
      </c>
      <c r="J91" s="30" t="s">
        <v>658</v>
      </c>
      <c r="K91" s="2"/>
      <c r="L91" s="2"/>
      <c r="M91" s="2"/>
      <c r="N91" s="2"/>
      <c r="O91" s="2"/>
      <c r="P91" s="2"/>
      <c r="Q91" s="2"/>
      <c r="R91" s="2"/>
      <c r="S91" s="2"/>
      <c r="T91" s="2"/>
      <c r="U91" s="2"/>
      <c r="V91" s="2"/>
      <c r="W91" s="2"/>
      <c r="X91" s="2"/>
      <c r="Y91" s="2"/>
      <c r="Z91" s="2"/>
      <c r="AS91" s="20"/>
    </row>
    <row r="92" spans="1:45" ht="67.95" customHeight="1">
      <c r="A92" s="13" t="s">
        <v>777</v>
      </c>
      <c r="B92" s="13" t="s">
        <v>51</v>
      </c>
      <c r="C92" s="13" t="s">
        <v>51</v>
      </c>
      <c r="D92" s="13" t="s">
        <v>778</v>
      </c>
      <c r="E92" s="13" t="s">
        <v>779</v>
      </c>
      <c r="F92" s="13">
        <v>2017</v>
      </c>
      <c r="G92" s="13" t="s">
        <v>780</v>
      </c>
      <c r="H92" s="13" t="s">
        <v>32</v>
      </c>
      <c r="I92" s="13" t="s">
        <v>762</v>
      </c>
      <c r="J92" s="30" t="s">
        <v>658</v>
      </c>
      <c r="K92" s="2"/>
      <c r="L92" s="2"/>
      <c r="M92" s="2"/>
      <c r="N92" s="2"/>
      <c r="O92" s="2"/>
      <c r="P92" s="2"/>
      <c r="Q92" s="2"/>
      <c r="R92" s="2"/>
      <c r="S92" s="2"/>
      <c r="T92" s="2"/>
      <c r="U92" s="2"/>
      <c r="V92" s="2"/>
      <c r="W92" s="2"/>
      <c r="X92" s="2"/>
      <c r="Y92" s="2"/>
      <c r="Z92" s="2"/>
      <c r="AS92" s="20"/>
    </row>
    <row r="93" spans="1:45" ht="67.95" customHeight="1">
      <c r="A93" s="13" t="s">
        <v>781</v>
      </c>
      <c r="B93" s="13" t="s">
        <v>51</v>
      </c>
      <c r="C93" s="13" t="s">
        <v>51</v>
      </c>
      <c r="D93" s="13" t="s">
        <v>782</v>
      </c>
      <c r="E93" s="13" t="s">
        <v>783</v>
      </c>
      <c r="F93" s="13">
        <v>2018</v>
      </c>
      <c r="G93" s="13" t="s">
        <v>780</v>
      </c>
      <c r="H93" s="13" t="s">
        <v>32</v>
      </c>
      <c r="I93" s="13" t="s">
        <v>762</v>
      </c>
      <c r="J93" s="30" t="s">
        <v>658</v>
      </c>
      <c r="K93" s="2"/>
      <c r="L93" s="2"/>
      <c r="M93" s="2"/>
      <c r="N93" s="2"/>
      <c r="O93" s="2"/>
      <c r="P93" s="2"/>
      <c r="Q93" s="2"/>
      <c r="R93" s="2"/>
      <c r="S93" s="2"/>
      <c r="T93" s="2"/>
      <c r="U93" s="2"/>
      <c r="V93" s="2"/>
      <c r="W93" s="2"/>
      <c r="X93" s="2"/>
      <c r="Y93" s="2"/>
      <c r="Z93" s="2"/>
      <c r="AS93" s="20"/>
    </row>
    <row r="94" spans="1:45" ht="67.95" customHeight="1">
      <c r="A94" s="13" t="s">
        <v>784</v>
      </c>
      <c r="B94" s="13" t="s">
        <v>51</v>
      </c>
      <c r="C94" s="13" t="s">
        <v>51</v>
      </c>
      <c r="D94" s="13" t="s">
        <v>785</v>
      </c>
      <c r="E94" s="13" t="s">
        <v>786</v>
      </c>
      <c r="F94" s="13">
        <v>2019</v>
      </c>
      <c r="G94" s="13" t="s">
        <v>780</v>
      </c>
      <c r="H94" s="13" t="s">
        <v>32</v>
      </c>
      <c r="I94" s="13" t="s">
        <v>762</v>
      </c>
      <c r="J94" s="30" t="s">
        <v>658</v>
      </c>
      <c r="K94" s="2"/>
      <c r="L94" s="2"/>
      <c r="M94" s="2"/>
      <c r="N94" s="2"/>
      <c r="O94" s="2"/>
      <c r="P94" s="2"/>
      <c r="Q94" s="2"/>
      <c r="R94" s="2"/>
      <c r="S94" s="2"/>
      <c r="T94" s="2"/>
      <c r="U94" s="2"/>
      <c r="V94" s="2"/>
      <c r="W94" s="2"/>
      <c r="X94" s="2"/>
      <c r="Y94" s="2"/>
      <c r="Z94" s="2"/>
      <c r="AS94" s="20"/>
    </row>
    <row r="95" spans="1:45" ht="67.95" customHeight="1">
      <c r="A95" s="13" t="s">
        <v>787</v>
      </c>
      <c r="B95" s="13" t="s">
        <v>51</v>
      </c>
      <c r="C95" s="13" t="s">
        <v>51</v>
      </c>
      <c r="D95" s="13" t="s">
        <v>788</v>
      </c>
      <c r="E95" s="13" t="s">
        <v>789</v>
      </c>
      <c r="F95" s="13">
        <v>2022</v>
      </c>
      <c r="G95" s="13" t="s">
        <v>780</v>
      </c>
      <c r="H95" s="13" t="s">
        <v>32</v>
      </c>
      <c r="I95" s="13" t="s">
        <v>762</v>
      </c>
      <c r="J95" s="30" t="s">
        <v>658</v>
      </c>
      <c r="K95" s="2"/>
      <c r="L95" s="2"/>
      <c r="M95" s="2"/>
      <c r="N95" s="2"/>
      <c r="O95" s="2"/>
      <c r="P95" s="2"/>
      <c r="Q95" s="2"/>
      <c r="R95" s="2"/>
      <c r="S95" s="2"/>
      <c r="T95" s="2"/>
      <c r="U95" s="2"/>
      <c r="V95" s="2"/>
      <c r="W95" s="2"/>
      <c r="X95" s="2"/>
      <c r="Y95" s="2"/>
      <c r="Z95" s="2"/>
      <c r="AS95" s="20"/>
    </row>
    <row r="96" spans="1:45" ht="67.95" customHeight="1">
      <c r="A96" s="13" t="s">
        <v>790</v>
      </c>
      <c r="B96" s="13" t="s">
        <v>51</v>
      </c>
      <c r="C96" s="13" t="s">
        <v>51</v>
      </c>
      <c r="D96" s="13" t="s">
        <v>791</v>
      </c>
      <c r="E96" s="13" t="s">
        <v>51</v>
      </c>
      <c r="F96" s="13">
        <v>2021</v>
      </c>
      <c r="G96" s="13" t="s">
        <v>792</v>
      </c>
      <c r="H96" s="13" t="s">
        <v>32</v>
      </c>
      <c r="I96" s="13" t="s">
        <v>762</v>
      </c>
      <c r="J96" s="30" t="s">
        <v>658</v>
      </c>
      <c r="K96" s="2"/>
      <c r="L96" s="2"/>
      <c r="M96" s="2"/>
      <c r="N96" s="2"/>
      <c r="O96" s="2"/>
      <c r="P96" s="2"/>
      <c r="Q96" s="2"/>
      <c r="R96" s="2"/>
      <c r="S96" s="2"/>
      <c r="T96" s="2"/>
      <c r="U96" s="2"/>
      <c r="V96" s="2"/>
      <c r="W96" s="2"/>
      <c r="X96" s="2"/>
      <c r="Y96" s="2"/>
      <c r="Z96" s="2"/>
      <c r="AS96" s="20"/>
    </row>
    <row r="97" spans="1:45" ht="67.95" customHeight="1">
      <c r="A97" s="13" t="s">
        <v>793</v>
      </c>
      <c r="B97" s="13" t="s">
        <v>51</v>
      </c>
      <c r="C97" s="13" t="s">
        <v>51</v>
      </c>
      <c r="D97" s="13" t="s">
        <v>794</v>
      </c>
      <c r="E97" s="13" t="s">
        <v>51</v>
      </c>
      <c r="F97" s="13">
        <v>2017</v>
      </c>
      <c r="G97" s="13" t="s">
        <v>795</v>
      </c>
      <c r="H97" s="13" t="s">
        <v>32</v>
      </c>
      <c r="I97" s="13" t="s">
        <v>762</v>
      </c>
      <c r="J97" s="30" t="s">
        <v>658</v>
      </c>
      <c r="K97" s="2"/>
      <c r="L97" s="2"/>
      <c r="M97" s="2"/>
      <c r="N97" s="2"/>
      <c r="O97" s="2"/>
      <c r="P97" s="2"/>
      <c r="Q97" s="2"/>
      <c r="R97" s="2"/>
      <c r="S97" s="2"/>
      <c r="T97" s="2"/>
      <c r="U97" s="2"/>
      <c r="V97" s="2"/>
      <c r="W97" s="2"/>
      <c r="X97" s="2"/>
      <c r="Y97" s="2"/>
      <c r="Z97" s="2"/>
      <c r="AS97" s="20"/>
    </row>
    <row r="98" spans="1:45" ht="67.95" customHeight="1">
      <c r="A98" s="13" t="s">
        <v>796</v>
      </c>
      <c r="B98" s="13" t="s">
        <v>51</v>
      </c>
      <c r="C98" s="13" t="s">
        <v>51</v>
      </c>
      <c r="D98" s="13" t="s">
        <v>797</v>
      </c>
      <c r="E98" s="13" t="s">
        <v>51</v>
      </c>
      <c r="F98" s="13">
        <v>2024</v>
      </c>
      <c r="G98" s="13" t="s">
        <v>795</v>
      </c>
      <c r="H98" s="13" t="s">
        <v>32</v>
      </c>
      <c r="I98" s="13" t="s">
        <v>762</v>
      </c>
      <c r="J98" s="30" t="s">
        <v>658</v>
      </c>
      <c r="K98" s="2"/>
      <c r="L98" s="2"/>
      <c r="M98" s="2"/>
      <c r="N98" s="2"/>
      <c r="O98" s="2"/>
      <c r="P98" s="2"/>
      <c r="Q98" s="2"/>
      <c r="R98" s="2"/>
      <c r="S98" s="2"/>
      <c r="T98" s="2"/>
      <c r="U98" s="2"/>
      <c r="V98" s="2"/>
      <c r="W98" s="2"/>
      <c r="X98" s="2"/>
      <c r="Y98" s="2"/>
      <c r="Z98" s="2"/>
      <c r="AS98" s="20"/>
    </row>
    <row r="99" spans="1:45" ht="67.95" customHeight="1">
      <c r="A99" s="13" t="s">
        <v>798</v>
      </c>
      <c r="B99" s="13" t="s">
        <v>799</v>
      </c>
      <c r="C99" s="13" t="s">
        <v>800</v>
      </c>
      <c r="D99" s="13" t="s">
        <v>801</v>
      </c>
      <c r="E99" s="13" t="s">
        <v>802</v>
      </c>
      <c r="F99" s="13">
        <v>2021</v>
      </c>
      <c r="G99" s="13" t="s">
        <v>555</v>
      </c>
      <c r="H99" s="13" t="s">
        <v>53</v>
      </c>
      <c r="I99" s="13" t="s">
        <v>762</v>
      </c>
      <c r="J99" s="30" t="s">
        <v>536</v>
      </c>
      <c r="K99" s="2"/>
      <c r="L99" s="2"/>
      <c r="M99" s="2"/>
      <c r="N99" s="2"/>
      <c r="O99" s="2"/>
      <c r="P99" s="2"/>
      <c r="Q99" s="2"/>
      <c r="R99" s="2"/>
      <c r="S99" s="2"/>
      <c r="T99" s="2"/>
      <c r="U99" s="2"/>
      <c r="V99" s="2"/>
      <c r="W99" s="2"/>
      <c r="X99" s="2"/>
      <c r="Y99" s="2"/>
      <c r="Z99" s="2"/>
      <c r="AS99" s="20"/>
    </row>
    <row r="100" spans="1:45" ht="67.95" customHeight="1">
      <c r="A100" s="13" t="s">
        <v>803</v>
      </c>
      <c r="B100" s="13" t="s">
        <v>804</v>
      </c>
      <c r="C100" s="13" t="s">
        <v>805</v>
      </c>
      <c r="D100" s="13" t="s">
        <v>806</v>
      </c>
      <c r="E100" s="13" t="s">
        <v>807</v>
      </c>
      <c r="F100" s="13">
        <v>2025</v>
      </c>
      <c r="G100" s="13" t="s">
        <v>688</v>
      </c>
      <c r="H100" s="13" t="s">
        <v>32</v>
      </c>
      <c r="I100" s="13" t="s">
        <v>762</v>
      </c>
      <c r="J100" s="30" t="s">
        <v>536</v>
      </c>
      <c r="K100" s="2"/>
      <c r="L100" s="2"/>
      <c r="M100" s="2"/>
      <c r="N100" s="2"/>
      <c r="O100" s="2"/>
      <c r="P100" s="2"/>
      <c r="Q100" s="2"/>
      <c r="R100" s="2"/>
      <c r="S100" s="2"/>
      <c r="T100" s="2"/>
      <c r="U100" s="2"/>
      <c r="V100" s="2"/>
      <c r="W100" s="2"/>
      <c r="X100" s="2"/>
      <c r="Y100" s="2"/>
      <c r="Z100" s="2"/>
      <c r="AS100" s="20"/>
    </row>
    <row r="101" spans="1:45" ht="67.95" customHeight="1">
      <c r="A101" s="13" t="s">
        <v>808</v>
      </c>
      <c r="B101" s="13" t="s">
        <v>809</v>
      </c>
      <c r="C101" s="13" t="s">
        <v>810</v>
      </c>
      <c r="D101" s="13" t="s">
        <v>811</v>
      </c>
      <c r="E101" s="13" t="s">
        <v>812</v>
      </c>
      <c r="F101" s="13">
        <v>2020</v>
      </c>
      <c r="G101" s="13" t="s">
        <v>813</v>
      </c>
      <c r="H101" s="13" t="s">
        <v>32</v>
      </c>
      <c r="I101" s="13" t="s">
        <v>762</v>
      </c>
      <c r="J101" s="30" t="s">
        <v>646</v>
      </c>
      <c r="K101" s="2"/>
      <c r="L101" s="2"/>
      <c r="M101" s="2"/>
      <c r="N101" s="2"/>
      <c r="O101" s="2"/>
      <c r="P101" s="2"/>
      <c r="Q101" s="2"/>
      <c r="R101" s="2"/>
      <c r="S101" s="2"/>
      <c r="T101" s="2"/>
      <c r="U101" s="2"/>
      <c r="V101" s="2"/>
      <c r="W101" s="2"/>
      <c r="X101" s="2"/>
      <c r="Y101" s="2"/>
      <c r="Z101" s="2"/>
      <c r="AS101" s="20"/>
    </row>
    <row r="102" spans="1:45" ht="67.95" customHeight="1">
      <c r="A102" s="13" t="s">
        <v>814</v>
      </c>
      <c r="B102" s="13" t="s">
        <v>815</v>
      </c>
      <c r="C102" s="13" t="s">
        <v>816</v>
      </c>
      <c r="D102" s="13" t="s">
        <v>817</v>
      </c>
      <c r="E102" s="13" t="s">
        <v>51</v>
      </c>
      <c r="F102" s="13">
        <v>2025</v>
      </c>
      <c r="G102" s="13" t="s">
        <v>818</v>
      </c>
      <c r="H102" s="13" t="s">
        <v>32</v>
      </c>
      <c r="I102" s="13" t="s">
        <v>762</v>
      </c>
      <c r="J102" s="30" t="s">
        <v>536</v>
      </c>
      <c r="K102" s="2"/>
      <c r="L102" s="2"/>
      <c r="M102" s="2"/>
      <c r="N102" s="2"/>
      <c r="O102" s="2"/>
      <c r="P102" s="2"/>
      <c r="Q102" s="2"/>
      <c r="R102" s="2"/>
      <c r="S102" s="2"/>
      <c r="T102" s="2"/>
      <c r="U102" s="2"/>
      <c r="V102" s="2"/>
      <c r="W102" s="2"/>
      <c r="X102" s="2"/>
      <c r="Y102" s="2"/>
      <c r="Z102" s="2"/>
      <c r="AS102" s="20"/>
    </row>
    <row r="103" spans="1:45" ht="67.95" customHeight="1">
      <c r="A103" s="13" t="s">
        <v>819</v>
      </c>
      <c r="B103" s="13" t="s">
        <v>820</v>
      </c>
      <c r="C103" s="13" t="s">
        <v>821</v>
      </c>
      <c r="D103" s="13" t="s">
        <v>822</v>
      </c>
      <c r="E103" s="13" t="s">
        <v>823</v>
      </c>
      <c r="F103" s="13">
        <v>2023</v>
      </c>
      <c r="G103" s="13" t="s">
        <v>824</v>
      </c>
      <c r="H103" s="13" t="s">
        <v>32</v>
      </c>
      <c r="I103" s="13" t="s">
        <v>762</v>
      </c>
      <c r="J103" s="30" t="s">
        <v>567</v>
      </c>
      <c r="K103" s="2"/>
      <c r="L103" s="2"/>
      <c r="M103" s="2"/>
      <c r="N103" s="2"/>
      <c r="O103" s="2"/>
      <c r="P103" s="2"/>
      <c r="Q103" s="2"/>
      <c r="R103" s="2"/>
      <c r="S103" s="2"/>
      <c r="T103" s="2"/>
      <c r="U103" s="2"/>
      <c r="V103" s="2"/>
      <c r="W103" s="2"/>
      <c r="X103" s="2"/>
      <c r="Y103" s="2"/>
      <c r="Z103" s="2"/>
      <c r="AS103" s="20"/>
    </row>
    <row r="104" spans="1:45" ht="67.95" customHeight="1">
      <c r="A104" s="13" t="s">
        <v>825</v>
      </c>
      <c r="B104" s="13" t="s">
        <v>826</v>
      </c>
      <c r="C104" s="13" t="s">
        <v>827</v>
      </c>
      <c r="D104" s="13" t="s">
        <v>828</v>
      </c>
      <c r="E104" s="13" t="s">
        <v>829</v>
      </c>
      <c r="F104" s="13">
        <v>2024</v>
      </c>
      <c r="G104" s="13" t="s">
        <v>830</v>
      </c>
      <c r="H104" s="13" t="s">
        <v>32</v>
      </c>
      <c r="I104" s="13" t="s">
        <v>762</v>
      </c>
      <c r="J104" s="30" t="s">
        <v>579</v>
      </c>
      <c r="K104" s="2"/>
      <c r="L104" s="2"/>
      <c r="M104" s="2"/>
      <c r="N104" s="2"/>
      <c r="O104" s="2"/>
      <c r="P104" s="2"/>
      <c r="Q104" s="2"/>
      <c r="R104" s="2"/>
      <c r="S104" s="2"/>
      <c r="T104" s="2"/>
      <c r="U104" s="2"/>
      <c r="V104" s="2"/>
      <c r="W104" s="2"/>
      <c r="X104" s="2"/>
      <c r="Y104" s="2"/>
      <c r="Z104" s="2"/>
      <c r="AS104" s="20"/>
    </row>
    <row r="105" spans="1:45" ht="67.95" customHeight="1">
      <c r="A105" s="13" t="s">
        <v>831</v>
      </c>
      <c r="B105" s="13" t="s">
        <v>832</v>
      </c>
      <c r="C105" s="13" t="s">
        <v>833</v>
      </c>
      <c r="D105" s="13" t="s">
        <v>834</v>
      </c>
      <c r="E105" s="13" t="s">
        <v>835</v>
      </c>
      <c r="F105" s="13">
        <v>2016</v>
      </c>
      <c r="G105" s="13" t="s">
        <v>836</v>
      </c>
      <c r="H105" s="13" t="s">
        <v>53</v>
      </c>
      <c r="I105" s="13" t="s">
        <v>762</v>
      </c>
      <c r="J105" s="30" t="s">
        <v>536</v>
      </c>
      <c r="K105" s="2"/>
      <c r="L105" s="2"/>
      <c r="M105" s="2"/>
      <c r="N105" s="2"/>
      <c r="O105" s="2"/>
      <c r="P105" s="2"/>
      <c r="Q105" s="2"/>
      <c r="R105" s="2"/>
      <c r="S105" s="2"/>
      <c r="T105" s="2"/>
      <c r="U105" s="2"/>
      <c r="V105" s="2"/>
      <c r="W105" s="2"/>
      <c r="X105" s="2"/>
      <c r="Y105" s="2"/>
      <c r="Z105" s="2"/>
      <c r="AS105" s="20"/>
    </row>
    <row r="106" spans="1:45" ht="67.95" customHeight="1">
      <c r="A106" s="13" t="s">
        <v>837</v>
      </c>
      <c r="B106" s="13" t="s">
        <v>838</v>
      </c>
      <c r="C106" s="13" t="s">
        <v>839</v>
      </c>
      <c r="D106" s="13" t="s">
        <v>840</v>
      </c>
      <c r="E106" s="13" t="s">
        <v>841</v>
      </c>
      <c r="F106" s="13">
        <v>2018</v>
      </c>
      <c r="G106" s="13" t="s">
        <v>842</v>
      </c>
      <c r="H106" s="13" t="s">
        <v>32</v>
      </c>
      <c r="I106" s="13" t="s">
        <v>762</v>
      </c>
      <c r="J106" s="30" t="s">
        <v>543</v>
      </c>
      <c r="K106" s="2"/>
      <c r="L106" s="2"/>
      <c r="M106" s="2"/>
      <c r="N106" s="2"/>
      <c r="O106" s="2"/>
      <c r="P106" s="2"/>
      <c r="Q106" s="2"/>
      <c r="R106" s="2"/>
      <c r="S106" s="2"/>
      <c r="T106" s="2"/>
      <c r="U106" s="2"/>
      <c r="V106" s="2"/>
      <c r="W106" s="2"/>
      <c r="X106" s="2"/>
      <c r="Y106" s="2"/>
      <c r="Z106" s="2"/>
      <c r="AS106" s="20"/>
    </row>
    <row r="107" spans="1:45" ht="67.95" customHeight="1">
      <c r="A107" s="13" t="s">
        <v>843</v>
      </c>
      <c r="B107" s="13" t="s">
        <v>844</v>
      </c>
      <c r="C107" s="13" t="s">
        <v>845</v>
      </c>
      <c r="D107" s="13" t="s">
        <v>846</v>
      </c>
      <c r="E107" s="13" t="s">
        <v>847</v>
      </c>
      <c r="F107" s="13">
        <v>2023</v>
      </c>
      <c r="G107" s="13" t="s">
        <v>848</v>
      </c>
      <c r="H107" s="13" t="s">
        <v>136</v>
      </c>
      <c r="I107" s="13" t="s">
        <v>762</v>
      </c>
      <c r="J107" s="30" t="s">
        <v>579</v>
      </c>
      <c r="K107" s="2"/>
      <c r="L107" s="2"/>
      <c r="M107" s="2"/>
      <c r="N107" s="2"/>
      <c r="O107" s="2"/>
      <c r="P107" s="2"/>
      <c r="Q107" s="2"/>
      <c r="R107" s="2"/>
      <c r="S107" s="2"/>
      <c r="T107" s="2"/>
      <c r="U107" s="2"/>
      <c r="V107" s="2"/>
      <c r="W107" s="2"/>
      <c r="X107" s="2"/>
      <c r="Y107" s="2"/>
      <c r="Z107" s="2"/>
      <c r="AS107" s="20"/>
    </row>
    <row r="108" spans="1:45" ht="67.95" customHeight="1">
      <c r="A108" s="13" t="s">
        <v>849</v>
      </c>
      <c r="B108" s="13" t="s">
        <v>850</v>
      </c>
      <c r="C108" s="13" t="s">
        <v>851</v>
      </c>
      <c r="D108" s="13" t="s">
        <v>852</v>
      </c>
      <c r="E108" s="13" t="s">
        <v>853</v>
      </c>
      <c r="F108" s="13">
        <v>2022</v>
      </c>
      <c r="G108" s="13" t="s">
        <v>854</v>
      </c>
      <c r="H108" s="13" t="s">
        <v>32</v>
      </c>
      <c r="I108" s="13" t="s">
        <v>762</v>
      </c>
      <c r="J108" s="30" t="s">
        <v>567</v>
      </c>
      <c r="K108" s="2"/>
      <c r="L108" s="2"/>
      <c r="M108" s="2"/>
      <c r="N108" s="2"/>
      <c r="O108" s="2"/>
      <c r="P108" s="2"/>
      <c r="Q108" s="2"/>
      <c r="R108" s="2"/>
      <c r="S108" s="2"/>
      <c r="T108" s="2"/>
      <c r="U108" s="2"/>
      <c r="V108" s="2"/>
      <c r="W108" s="2"/>
      <c r="X108" s="2"/>
      <c r="Y108" s="2"/>
      <c r="Z108" s="2"/>
      <c r="AS108" s="20"/>
    </row>
    <row r="109" spans="1:45" ht="67.95" customHeight="1">
      <c r="A109" s="13" t="s">
        <v>855</v>
      </c>
      <c r="B109" s="13" t="s">
        <v>856</v>
      </c>
      <c r="C109" s="13" t="s">
        <v>857</v>
      </c>
      <c r="D109" s="13" t="s">
        <v>858</v>
      </c>
      <c r="E109" s="13" t="s">
        <v>51</v>
      </c>
      <c r="F109" s="13">
        <v>2025</v>
      </c>
      <c r="G109" s="13" t="s">
        <v>670</v>
      </c>
      <c r="H109" s="13" t="s">
        <v>32</v>
      </c>
      <c r="I109" s="13" t="s">
        <v>762</v>
      </c>
      <c r="J109" s="30" t="s">
        <v>536</v>
      </c>
      <c r="K109" s="2"/>
      <c r="L109" s="2"/>
      <c r="M109" s="2"/>
      <c r="N109" s="2"/>
      <c r="O109" s="2"/>
      <c r="P109" s="2"/>
      <c r="Q109" s="2"/>
      <c r="R109" s="2"/>
      <c r="S109" s="2"/>
      <c r="T109" s="2"/>
      <c r="U109" s="2"/>
      <c r="V109" s="2"/>
      <c r="W109" s="2"/>
      <c r="X109" s="2"/>
      <c r="Y109" s="2"/>
      <c r="Z109" s="2"/>
      <c r="AS109" s="20"/>
    </row>
    <row r="110" spans="1:45" ht="67.95" customHeight="1">
      <c r="A110" s="13" t="s">
        <v>859</v>
      </c>
      <c r="B110" s="13" t="s">
        <v>860</v>
      </c>
      <c r="C110" s="13" t="s">
        <v>861</v>
      </c>
      <c r="D110" s="13" t="s">
        <v>862</v>
      </c>
      <c r="E110" s="13" t="s">
        <v>863</v>
      </c>
      <c r="F110" s="13">
        <v>2022</v>
      </c>
      <c r="G110" s="13" t="s">
        <v>864</v>
      </c>
      <c r="H110" s="13" t="s">
        <v>136</v>
      </c>
      <c r="I110" s="13" t="s">
        <v>762</v>
      </c>
      <c r="J110" s="30" t="s">
        <v>567</v>
      </c>
      <c r="K110" s="2"/>
      <c r="L110" s="2"/>
      <c r="M110" s="2"/>
      <c r="N110" s="2"/>
      <c r="O110" s="2"/>
      <c r="P110" s="2"/>
      <c r="Q110" s="2"/>
      <c r="R110" s="2"/>
      <c r="S110" s="2"/>
      <c r="T110" s="2"/>
      <c r="U110" s="2"/>
      <c r="V110" s="2"/>
      <c r="W110" s="2"/>
      <c r="X110" s="2"/>
      <c r="Y110" s="2"/>
      <c r="Z110" s="2"/>
      <c r="AS110" s="20"/>
    </row>
    <row r="111" spans="1:45" ht="67.95" customHeight="1">
      <c r="A111" s="13" t="s">
        <v>865</v>
      </c>
      <c r="B111" s="13" t="s">
        <v>866</v>
      </c>
      <c r="C111" s="13" t="s">
        <v>867</v>
      </c>
      <c r="D111" s="13" t="s">
        <v>868</v>
      </c>
      <c r="E111" s="13" t="s">
        <v>869</v>
      </c>
      <c r="F111" s="13">
        <v>2024</v>
      </c>
      <c r="G111" s="13" t="s">
        <v>870</v>
      </c>
      <c r="H111" s="13" t="s">
        <v>53</v>
      </c>
      <c r="I111" s="13" t="s">
        <v>762</v>
      </c>
      <c r="J111" s="30" t="s">
        <v>567</v>
      </c>
      <c r="K111" s="2"/>
      <c r="L111" s="2"/>
      <c r="M111" s="2"/>
      <c r="N111" s="2"/>
      <c r="O111" s="2"/>
      <c r="P111" s="2"/>
      <c r="Q111" s="2"/>
      <c r="R111" s="2"/>
      <c r="S111" s="2"/>
      <c r="T111" s="2"/>
      <c r="U111" s="2"/>
      <c r="V111" s="2"/>
      <c r="W111" s="2"/>
      <c r="X111" s="2"/>
      <c r="Y111" s="2"/>
      <c r="Z111" s="2"/>
      <c r="AS111" s="20"/>
    </row>
    <row r="112" spans="1:45" ht="67.95" customHeight="1">
      <c r="A112" s="13" t="s">
        <v>871</v>
      </c>
      <c r="B112" s="13" t="s">
        <v>872</v>
      </c>
      <c r="C112" s="13" t="s">
        <v>873</v>
      </c>
      <c r="D112" s="13" t="s">
        <v>874</v>
      </c>
      <c r="E112" s="13" t="s">
        <v>875</v>
      </c>
      <c r="F112" s="13">
        <v>2016</v>
      </c>
      <c r="G112" s="13" t="s">
        <v>101</v>
      </c>
      <c r="H112" s="13" t="s">
        <v>53</v>
      </c>
      <c r="I112" s="13" t="s">
        <v>762</v>
      </c>
      <c r="J112" s="30" t="s">
        <v>536</v>
      </c>
      <c r="K112" s="2"/>
      <c r="L112" s="2"/>
      <c r="M112" s="2"/>
      <c r="N112" s="2"/>
      <c r="O112" s="2"/>
      <c r="P112" s="2"/>
      <c r="Q112" s="2"/>
      <c r="R112" s="2"/>
      <c r="S112" s="2"/>
      <c r="T112" s="2"/>
      <c r="U112" s="2"/>
      <c r="V112" s="2"/>
      <c r="W112" s="2"/>
      <c r="X112" s="2"/>
      <c r="Y112" s="2"/>
      <c r="Z112" s="2"/>
      <c r="AS112" s="20"/>
    </row>
    <row r="113" spans="1:45" ht="67.95" customHeight="1">
      <c r="A113" s="13" t="s">
        <v>876</v>
      </c>
      <c r="B113" s="13" t="s">
        <v>877</v>
      </c>
      <c r="C113" s="13" t="s">
        <v>878</v>
      </c>
      <c r="D113" s="13" t="s">
        <v>879</v>
      </c>
      <c r="E113" s="13" t="s">
        <v>880</v>
      </c>
      <c r="F113" s="13">
        <v>2020</v>
      </c>
      <c r="G113" s="13" t="s">
        <v>881</v>
      </c>
      <c r="H113" s="13" t="s">
        <v>32</v>
      </c>
      <c r="I113" s="13" t="s">
        <v>762</v>
      </c>
      <c r="J113" s="30" t="s">
        <v>882</v>
      </c>
      <c r="K113" s="2"/>
      <c r="L113" s="2"/>
      <c r="M113" s="2"/>
      <c r="N113" s="2"/>
      <c r="O113" s="2"/>
      <c r="P113" s="2"/>
      <c r="Q113" s="2"/>
      <c r="R113" s="2"/>
      <c r="S113" s="2"/>
      <c r="T113" s="2"/>
      <c r="U113" s="2"/>
      <c r="V113" s="2"/>
      <c r="W113" s="2"/>
      <c r="X113" s="2"/>
      <c r="Y113" s="2"/>
      <c r="Z113" s="2"/>
      <c r="AS113" s="20"/>
    </row>
    <row r="114" spans="1:45" ht="67.95" customHeight="1">
      <c r="A114" s="13" t="s">
        <v>883</v>
      </c>
      <c r="B114" s="13" t="s">
        <v>884</v>
      </c>
      <c r="C114" s="13" t="s">
        <v>885</v>
      </c>
      <c r="D114" s="13" t="s">
        <v>886</v>
      </c>
      <c r="E114" s="13" t="s">
        <v>887</v>
      </c>
      <c r="F114" s="13">
        <v>2019</v>
      </c>
      <c r="G114" s="13" t="s">
        <v>888</v>
      </c>
      <c r="H114" s="13" t="s">
        <v>53</v>
      </c>
      <c r="I114" s="13" t="s">
        <v>762</v>
      </c>
      <c r="J114" s="30" t="s">
        <v>646</v>
      </c>
      <c r="K114" s="2"/>
      <c r="L114" s="2"/>
      <c r="M114" s="2"/>
      <c r="N114" s="2"/>
      <c r="O114" s="2"/>
      <c r="P114" s="2"/>
      <c r="Q114" s="2"/>
      <c r="R114" s="2"/>
      <c r="S114" s="2"/>
      <c r="T114" s="2"/>
      <c r="U114" s="2"/>
      <c r="V114" s="2"/>
      <c r="W114" s="2"/>
      <c r="X114" s="2"/>
      <c r="Y114" s="2"/>
      <c r="Z114" s="2"/>
      <c r="AS114" s="20"/>
    </row>
    <row r="115" spans="1:45" ht="67.95" customHeight="1">
      <c r="A115" s="13" t="s">
        <v>889</v>
      </c>
      <c r="B115" s="13" t="s">
        <v>890</v>
      </c>
      <c r="C115" s="13" t="s">
        <v>891</v>
      </c>
      <c r="D115" s="13" t="s">
        <v>892</v>
      </c>
      <c r="E115" s="13" t="s">
        <v>51</v>
      </c>
      <c r="F115" s="13">
        <v>2022</v>
      </c>
      <c r="G115" s="13" t="s">
        <v>31</v>
      </c>
      <c r="H115" s="13" t="s">
        <v>53</v>
      </c>
      <c r="I115" s="13" t="s">
        <v>762</v>
      </c>
      <c r="J115" s="30" t="s">
        <v>536</v>
      </c>
      <c r="K115" s="2"/>
      <c r="L115" s="2"/>
      <c r="M115" s="2"/>
      <c r="N115" s="2"/>
      <c r="O115" s="2"/>
      <c r="P115" s="2"/>
      <c r="Q115" s="2"/>
      <c r="R115" s="2"/>
      <c r="S115" s="2"/>
      <c r="T115" s="2"/>
      <c r="U115" s="2"/>
      <c r="V115" s="2"/>
      <c r="W115" s="2"/>
      <c r="X115" s="2"/>
      <c r="Y115" s="2"/>
      <c r="Z115" s="2"/>
      <c r="AS115" s="20"/>
    </row>
    <row r="116" spans="1:45" ht="67.95" customHeight="1">
      <c r="A116" s="13" t="s">
        <v>893</v>
      </c>
      <c r="B116" s="13" t="s">
        <v>894</v>
      </c>
      <c r="C116" s="13" t="s">
        <v>895</v>
      </c>
      <c r="D116" s="13" t="s">
        <v>896</v>
      </c>
      <c r="E116" s="13" t="s">
        <v>897</v>
      </c>
      <c r="F116" s="13">
        <v>2022</v>
      </c>
      <c r="G116" s="13" t="s">
        <v>898</v>
      </c>
      <c r="H116" s="13" t="s">
        <v>32</v>
      </c>
      <c r="I116" s="13" t="s">
        <v>762</v>
      </c>
      <c r="J116" s="30" t="s">
        <v>536</v>
      </c>
      <c r="K116" s="2"/>
      <c r="L116" s="2"/>
      <c r="M116" s="2"/>
      <c r="N116" s="2"/>
      <c r="O116" s="2"/>
      <c r="P116" s="2"/>
      <c r="Q116" s="2"/>
      <c r="R116" s="2"/>
      <c r="S116" s="2"/>
      <c r="T116" s="2"/>
      <c r="U116" s="2"/>
      <c r="V116" s="2"/>
      <c r="W116" s="2"/>
      <c r="X116" s="2"/>
      <c r="Y116" s="2"/>
      <c r="Z116" s="2"/>
      <c r="AS116" s="20"/>
    </row>
    <row r="117" spans="1:45" ht="67.95" customHeight="1">
      <c r="A117" s="13" t="s">
        <v>899</v>
      </c>
      <c r="B117" s="13" t="s">
        <v>900</v>
      </c>
      <c r="C117" s="13" t="s">
        <v>901</v>
      </c>
      <c r="D117" s="13" t="s">
        <v>902</v>
      </c>
      <c r="E117" s="13" t="s">
        <v>903</v>
      </c>
      <c r="F117" s="13">
        <v>2022</v>
      </c>
      <c r="G117" s="13" t="s">
        <v>904</v>
      </c>
      <c r="H117" s="13" t="s">
        <v>32</v>
      </c>
      <c r="I117" s="13" t="s">
        <v>762</v>
      </c>
      <c r="J117" s="30" t="s">
        <v>567</v>
      </c>
      <c r="K117" s="2"/>
      <c r="L117" s="2"/>
      <c r="M117" s="2"/>
      <c r="N117" s="2"/>
      <c r="O117" s="2"/>
      <c r="P117" s="2"/>
      <c r="Q117" s="2"/>
      <c r="R117" s="2"/>
      <c r="S117" s="2"/>
      <c r="T117" s="2"/>
      <c r="U117" s="2"/>
      <c r="V117" s="2"/>
      <c r="W117" s="2"/>
      <c r="X117" s="2"/>
      <c r="Y117" s="2"/>
      <c r="Z117" s="2"/>
      <c r="AS117" s="20"/>
    </row>
    <row r="118" spans="1:45" ht="67.95" customHeight="1">
      <c r="A118" s="13" t="s">
        <v>905</v>
      </c>
      <c r="B118" s="13" t="s">
        <v>906</v>
      </c>
      <c r="C118" s="13" t="s">
        <v>907</v>
      </c>
      <c r="D118" s="13" t="s">
        <v>908</v>
      </c>
      <c r="E118" s="13" t="s">
        <v>909</v>
      </c>
      <c r="F118" s="13">
        <v>2024</v>
      </c>
      <c r="G118" s="13" t="s">
        <v>910</v>
      </c>
      <c r="H118" s="13" t="s">
        <v>32</v>
      </c>
      <c r="I118" s="13" t="s">
        <v>762</v>
      </c>
      <c r="J118" s="30" t="s">
        <v>579</v>
      </c>
      <c r="K118" s="2"/>
      <c r="L118" s="2"/>
      <c r="M118" s="2"/>
      <c r="N118" s="2"/>
      <c r="O118" s="2"/>
      <c r="P118" s="2"/>
      <c r="Q118" s="2"/>
      <c r="R118" s="2"/>
      <c r="S118" s="2"/>
      <c r="T118" s="2"/>
      <c r="U118" s="2"/>
      <c r="V118" s="2"/>
      <c r="W118" s="2"/>
      <c r="X118" s="2"/>
      <c r="Y118" s="2"/>
      <c r="Z118" s="2"/>
      <c r="AS118" s="20"/>
    </row>
    <row r="119" spans="1:45" ht="67.95" customHeight="1">
      <c r="A119" s="13" t="s">
        <v>911</v>
      </c>
      <c r="B119" s="13" t="s">
        <v>912</v>
      </c>
      <c r="C119" s="13" t="s">
        <v>913</v>
      </c>
      <c r="D119" s="13" t="s">
        <v>914</v>
      </c>
      <c r="E119" s="13" t="s">
        <v>915</v>
      </c>
      <c r="F119" s="13">
        <v>2022</v>
      </c>
      <c r="G119" s="13" t="s">
        <v>916</v>
      </c>
      <c r="H119" s="13" t="s">
        <v>53</v>
      </c>
      <c r="I119" s="13" t="s">
        <v>762</v>
      </c>
      <c r="J119" s="30" t="s">
        <v>567</v>
      </c>
      <c r="K119" s="2"/>
      <c r="L119" s="2"/>
      <c r="M119" s="2"/>
      <c r="N119" s="2"/>
      <c r="O119" s="2"/>
      <c r="P119" s="2"/>
      <c r="Q119" s="2"/>
      <c r="R119" s="2"/>
      <c r="S119" s="2"/>
      <c r="T119" s="2"/>
      <c r="U119" s="2"/>
      <c r="V119" s="2"/>
      <c r="W119" s="2"/>
      <c r="X119" s="2"/>
      <c r="Y119" s="2"/>
      <c r="Z119" s="2"/>
      <c r="AS119" s="20"/>
    </row>
    <row r="120" spans="1:45" ht="67.95" customHeight="1">
      <c r="A120" s="13" t="s">
        <v>917</v>
      </c>
      <c r="B120" s="13" t="s">
        <v>918</v>
      </c>
      <c r="C120" s="13" t="s">
        <v>919</v>
      </c>
      <c r="D120" s="13" t="s">
        <v>920</v>
      </c>
      <c r="E120" s="13" t="s">
        <v>921</v>
      </c>
      <c r="F120" s="13">
        <v>2025</v>
      </c>
      <c r="G120" s="13" t="s">
        <v>922</v>
      </c>
      <c r="H120" s="13" t="s">
        <v>53</v>
      </c>
      <c r="I120" s="13" t="s">
        <v>762</v>
      </c>
      <c r="J120" s="30" t="s">
        <v>536</v>
      </c>
      <c r="K120" s="2"/>
      <c r="L120" s="2"/>
      <c r="M120" s="2"/>
      <c r="N120" s="2"/>
      <c r="O120" s="2"/>
      <c r="P120" s="2"/>
      <c r="Q120" s="2"/>
      <c r="R120" s="2"/>
      <c r="S120" s="2"/>
      <c r="T120" s="2"/>
      <c r="U120" s="2"/>
      <c r="V120" s="2"/>
      <c r="W120" s="2"/>
      <c r="X120" s="2"/>
      <c r="Y120" s="2"/>
      <c r="Z120" s="2"/>
      <c r="AS120" s="20"/>
    </row>
    <row r="121" spans="1:45" ht="67.95" customHeight="1">
      <c r="A121" s="13" t="s">
        <v>923</v>
      </c>
      <c r="B121" s="13" t="s">
        <v>924</v>
      </c>
      <c r="C121" s="13" t="s">
        <v>925</v>
      </c>
      <c r="D121" s="13" t="s">
        <v>926</v>
      </c>
      <c r="E121" s="13" t="s">
        <v>927</v>
      </c>
      <c r="F121" s="13">
        <v>2025</v>
      </c>
      <c r="G121" s="13" t="s">
        <v>928</v>
      </c>
      <c r="H121" s="13" t="s">
        <v>32</v>
      </c>
      <c r="I121" s="13" t="s">
        <v>762</v>
      </c>
      <c r="J121" s="30" t="s">
        <v>543</v>
      </c>
      <c r="K121" s="2"/>
      <c r="L121" s="2"/>
      <c r="M121" s="2"/>
      <c r="N121" s="2"/>
      <c r="O121" s="2"/>
      <c r="P121" s="2"/>
      <c r="Q121" s="2"/>
      <c r="R121" s="2"/>
      <c r="S121" s="2"/>
      <c r="T121" s="2"/>
      <c r="U121" s="2"/>
      <c r="V121" s="2"/>
      <c r="W121" s="2"/>
      <c r="X121" s="2"/>
      <c r="Y121" s="2"/>
      <c r="Z121" s="2"/>
      <c r="AS121" s="20"/>
    </row>
    <row r="122" spans="1:45" ht="67.95" customHeight="1">
      <c r="A122" s="13" t="s">
        <v>929</v>
      </c>
      <c r="B122" s="13" t="s">
        <v>930</v>
      </c>
      <c r="C122" s="13" t="s">
        <v>931</v>
      </c>
      <c r="D122" s="13" t="s">
        <v>932</v>
      </c>
      <c r="E122" s="13" t="s">
        <v>933</v>
      </c>
      <c r="F122" s="13">
        <v>2025</v>
      </c>
      <c r="G122" s="13" t="s">
        <v>934</v>
      </c>
      <c r="H122" s="13" t="s">
        <v>53</v>
      </c>
      <c r="I122" s="13" t="s">
        <v>762</v>
      </c>
      <c r="J122" s="30" t="s">
        <v>536</v>
      </c>
      <c r="K122" s="2"/>
      <c r="L122" s="2"/>
      <c r="M122" s="2"/>
      <c r="N122" s="2"/>
      <c r="O122" s="2"/>
      <c r="P122" s="2"/>
      <c r="Q122" s="2"/>
      <c r="R122" s="2"/>
      <c r="S122" s="2"/>
      <c r="T122" s="2"/>
      <c r="U122" s="2"/>
      <c r="V122" s="2"/>
      <c r="W122" s="2"/>
      <c r="X122" s="2"/>
      <c r="Y122" s="2"/>
      <c r="Z122" s="2"/>
      <c r="AS122" s="20"/>
    </row>
    <row r="123" spans="1:45" ht="67.95" customHeight="1">
      <c r="A123" s="13" t="s">
        <v>935</v>
      </c>
      <c r="B123" s="13" t="s">
        <v>936</v>
      </c>
      <c r="C123" s="13" t="s">
        <v>937</v>
      </c>
      <c r="D123" s="13" t="s">
        <v>938</v>
      </c>
      <c r="E123" s="13" t="s">
        <v>939</v>
      </c>
      <c r="F123" s="13">
        <v>2023</v>
      </c>
      <c r="G123" s="13" t="s">
        <v>813</v>
      </c>
      <c r="H123" s="13" t="s">
        <v>32</v>
      </c>
      <c r="I123" s="13" t="s">
        <v>762</v>
      </c>
      <c r="J123" s="30" t="s">
        <v>567</v>
      </c>
      <c r="K123" s="2"/>
      <c r="L123" s="2"/>
      <c r="M123" s="2"/>
      <c r="N123" s="2"/>
      <c r="O123" s="2"/>
      <c r="P123" s="2"/>
      <c r="Q123" s="2"/>
      <c r="R123" s="2"/>
      <c r="S123" s="2"/>
      <c r="T123" s="2"/>
      <c r="U123" s="2"/>
      <c r="V123" s="2"/>
      <c r="W123" s="2"/>
      <c r="X123" s="2"/>
      <c r="Y123" s="2"/>
      <c r="Z123" s="2"/>
      <c r="AS123" s="20"/>
    </row>
    <row r="124" spans="1:45" ht="67.95" customHeight="1">
      <c r="A124" s="13" t="s">
        <v>940</v>
      </c>
      <c r="B124" s="13" t="s">
        <v>941</v>
      </c>
      <c r="C124" s="13" t="s">
        <v>942</v>
      </c>
      <c r="D124" s="13" t="s">
        <v>943</v>
      </c>
      <c r="E124" s="13" t="s">
        <v>944</v>
      </c>
      <c r="F124" s="13">
        <v>2021</v>
      </c>
      <c r="G124" s="13" t="s">
        <v>378</v>
      </c>
      <c r="H124" s="13" t="s">
        <v>32</v>
      </c>
      <c r="I124" s="13" t="s">
        <v>762</v>
      </c>
      <c r="J124" s="30" t="s">
        <v>567</v>
      </c>
      <c r="K124" s="2"/>
      <c r="L124" s="2"/>
      <c r="M124" s="2"/>
      <c r="N124" s="2"/>
      <c r="O124" s="2"/>
      <c r="P124" s="2"/>
      <c r="Q124" s="2"/>
      <c r="R124" s="2"/>
      <c r="S124" s="2"/>
      <c r="T124" s="2"/>
      <c r="U124" s="2"/>
      <c r="V124" s="2"/>
      <c r="W124" s="2"/>
      <c r="X124" s="2"/>
      <c r="Y124" s="2"/>
      <c r="Z124" s="2"/>
      <c r="AS124" s="20"/>
    </row>
    <row r="125" spans="1:45" ht="67.95" customHeight="1">
      <c r="A125" s="13" t="s">
        <v>945</v>
      </c>
      <c r="B125" s="13" t="s">
        <v>946</v>
      </c>
      <c r="C125" s="13" t="s">
        <v>51</v>
      </c>
      <c r="D125" s="13" t="s">
        <v>947</v>
      </c>
      <c r="E125" s="13" t="s">
        <v>948</v>
      </c>
      <c r="F125" s="13">
        <v>2024</v>
      </c>
      <c r="G125" s="13" t="s">
        <v>949</v>
      </c>
      <c r="H125" s="13" t="s">
        <v>32</v>
      </c>
      <c r="I125" s="13" t="s">
        <v>762</v>
      </c>
      <c r="J125" s="30" t="s">
        <v>658</v>
      </c>
      <c r="K125" s="2"/>
      <c r="L125" s="2"/>
      <c r="M125" s="2"/>
      <c r="N125" s="2"/>
      <c r="O125" s="2"/>
      <c r="P125" s="2"/>
      <c r="Q125" s="2"/>
      <c r="R125" s="2"/>
      <c r="S125" s="2"/>
      <c r="T125" s="2"/>
      <c r="U125" s="2"/>
      <c r="V125" s="2"/>
      <c r="W125" s="2"/>
      <c r="X125" s="2"/>
      <c r="Y125" s="2"/>
      <c r="Z125" s="2"/>
      <c r="AS125" s="20"/>
    </row>
    <row r="126" spans="1:45" ht="67.95" customHeight="1">
      <c r="A126" s="13" t="s">
        <v>950</v>
      </c>
      <c r="B126" s="13" t="s">
        <v>51</v>
      </c>
      <c r="C126" s="13" t="s">
        <v>51</v>
      </c>
      <c r="D126" s="13" t="s">
        <v>951</v>
      </c>
      <c r="E126" s="13" t="s">
        <v>51</v>
      </c>
      <c r="F126" s="13">
        <v>2023</v>
      </c>
      <c r="G126" s="13" t="s">
        <v>952</v>
      </c>
      <c r="H126" s="13" t="s">
        <v>32</v>
      </c>
      <c r="I126" s="13" t="s">
        <v>762</v>
      </c>
      <c r="J126" s="30" t="s">
        <v>658</v>
      </c>
      <c r="K126" s="2"/>
      <c r="L126" s="2"/>
      <c r="M126" s="2"/>
      <c r="N126" s="2"/>
      <c r="O126" s="2"/>
      <c r="P126" s="2"/>
      <c r="Q126" s="2"/>
      <c r="R126" s="2"/>
      <c r="S126" s="2"/>
      <c r="T126" s="2"/>
      <c r="U126" s="2"/>
      <c r="V126" s="2"/>
      <c r="W126" s="2"/>
      <c r="X126" s="2"/>
      <c r="Y126" s="2"/>
      <c r="Z126" s="2"/>
      <c r="AS126" s="20"/>
    </row>
    <row r="127" spans="1:45" ht="67.95" customHeight="1">
      <c r="A127" s="13" t="s">
        <v>953</v>
      </c>
      <c r="B127" s="13" t="s">
        <v>51</v>
      </c>
      <c r="C127" s="13" t="s">
        <v>51</v>
      </c>
      <c r="D127" s="13" t="s">
        <v>954</v>
      </c>
      <c r="E127" s="13" t="s">
        <v>51</v>
      </c>
      <c r="F127" s="13">
        <v>2020</v>
      </c>
      <c r="G127" s="13" t="s">
        <v>955</v>
      </c>
      <c r="H127" s="13" t="s">
        <v>32</v>
      </c>
      <c r="I127" s="13" t="s">
        <v>762</v>
      </c>
      <c r="J127" s="30" t="s">
        <v>579</v>
      </c>
      <c r="K127" s="2"/>
      <c r="L127" s="2"/>
      <c r="M127" s="2"/>
      <c r="N127" s="2"/>
      <c r="O127" s="2"/>
      <c r="P127" s="2"/>
      <c r="Q127" s="2"/>
      <c r="R127" s="2"/>
      <c r="S127" s="2"/>
      <c r="T127" s="2"/>
      <c r="U127" s="2"/>
      <c r="V127" s="2"/>
      <c r="W127" s="2"/>
      <c r="X127" s="2"/>
      <c r="Y127" s="2"/>
      <c r="Z127" s="2"/>
      <c r="AS127" s="20"/>
    </row>
    <row r="128" spans="1:45" ht="67.95" customHeight="1">
      <c r="A128" s="13" t="s">
        <v>956</v>
      </c>
      <c r="B128" s="13" t="s">
        <v>51</v>
      </c>
      <c r="C128" s="13" t="s">
        <v>51</v>
      </c>
      <c r="D128" s="13" t="s">
        <v>957</v>
      </c>
      <c r="E128" s="13" t="s">
        <v>51</v>
      </c>
      <c r="F128" s="13">
        <v>2020</v>
      </c>
      <c r="G128" s="13" t="s">
        <v>958</v>
      </c>
      <c r="H128" s="13" t="s">
        <v>32</v>
      </c>
      <c r="I128" s="13" t="s">
        <v>762</v>
      </c>
      <c r="J128" s="30" t="s">
        <v>658</v>
      </c>
      <c r="K128" s="2"/>
      <c r="L128" s="2"/>
      <c r="M128" s="2"/>
      <c r="N128" s="2"/>
      <c r="O128" s="2"/>
      <c r="P128" s="2"/>
      <c r="Q128" s="2"/>
      <c r="R128" s="2"/>
      <c r="S128" s="2"/>
      <c r="T128" s="2"/>
      <c r="U128" s="2"/>
      <c r="V128" s="2"/>
      <c r="W128" s="2"/>
      <c r="X128" s="2"/>
      <c r="Y128" s="2"/>
      <c r="Z128" s="2"/>
      <c r="AS128" s="20"/>
    </row>
    <row r="129" spans="1:45" ht="67.95" customHeight="1">
      <c r="A129" s="13" t="s">
        <v>959</v>
      </c>
      <c r="B129" s="13" t="s">
        <v>51</v>
      </c>
      <c r="C129" s="13" t="s">
        <v>51</v>
      </c>
      <c r="D129" s="13" t="s">
        <v>960</v>
      </c>
      <c r="E129" s="13" t="s">
        <v>51</v>
      </c>
      <c r="F129" s="13">
        <v>2021</v>
      </c>
      <c r="G129" s="13" t="s">
        <v>955</v>
      </c>
      <c r="H129" s="13" t="s">
        <v>32</v>
      </c>
      <c r="I129" s="13" t="s">
        <v>762</v>
      </c>
      <c r="J129" s="30" t="s">
        <v>658</v>
      </c>
      <c r="K129" s="2"/>
      <c r="L129" s="2"/>
      <c r="M129" s="2"/>
      <c r="N129" s="2"/>
      <c r="O129" s="2"/>
      <c r="P129" s="2"/>
      <c r="Q129" s="2"/>
      <c r="R129" s="2"/>
      <c r="S129" s="2"/>
      <c r="T129" s="2"/>
      <c r="U129" s="2"/>
      <c r="V129" s="2"/>
      <c r="W129" s="2"/>
      <c r="X129" s="2"/>
      <c r="Y129" s="2"/>
      <c r="Z129" s="2"/>
      <c r="AS129" s="20"/>
    </row>
    <row r="130" spans="1:45" ht="67.95" customHeight="1">
      <c r="A130" s="13" t="s">
        <v>961</v>
      </c>
      <c r="B130" s="13" t="s">
        <v>51</v>
      </c>
      <c r="C130" s="13" t="s">
        <v>51</v>
      </c>
      <c r="D130" s="13" t="s">
        <v>962</v>
      </c>
      <c r="E130" s="13" t="s">
        <v>51</v>
      </c>
      <c r="F130" s="13">
        <v>2022</v>
      </c>
      <c r="G130" s="13" t="s">
        <v>963</v>
      </c>
      <c r="H130" s="13" t="s">
        <v>32</v>
      </c>
      <c r="I130" s="13" t="s">
        <v>762</v>
      </c>
      <c r="J130" s="30" t="s">
        <v>658</v>
      </c>
      <c r="K130" s="2"/>
      <c r="L130" s="2"/>
      <c r="M130" s="2"/>
      <c r="N130" s="2"/>
      <c r="O130" s="2"/>
      <c r="P130" s="2"/>
      <c r="Q130" s="2"/>
      <c r="R130" s="2"/>
      <c r="S130" s="2"/>
      <c r="T130" s="2"/>
      <c r="U130" s="2"/>
      <c r="V130" s="2"/>
      <c r="W130" s="2"/>
      <c r="X130" s="2"/>
      <c r="Y130" s="2"/>
      <c r="Z130" s="2"/>
      <c r="AS130" s="20"/>
    </row>
    <row r="131" spans="1:45" ht="67.95" customHeight="1">
      <c r="A131" s="13" t="s">
        <v>964</v>
      </c>
      <c r="B131" s="13" t="s">
        <v>51</v>
      </c>
      <c r="C131" s="13" t="s">
        <v>51</v>
      </c>
      <c r="D131" s="13" t="s">
        <v>965</v>
      </c>
      <c r="E131" s="13" t="s">
        <v>51</v>
      </c>
      <c r="F131" s="13">
        <v>2023</v>
      </c>
      <c r="G131" s="13" t="s">
        <v>963</v>
      </c>
      <c r="H131" s="13" t="s">
        <v>32</v>
      </c>
      <c r="I131" s="13" t="s">
        <v>762</v>
      </c>
      <c r="J131" s="30" t="s">
        <v>658</v>
      </c>
      <c r="K131" s="2"/>
      <c r="L131" s="2"/>
      <c r="M131" s="2"/>
      <c r="N131" s="2"/>
      <c r="O131" s="2"/>
      <c r="P131" s="2"/>
      <c r="Q131" s="2"/>
      <c r="R131" s="2"/>
      <c r="S131" s="2"/>
      <c r="T131" s="2"/>
      <c r="U131" s="2"/>
      <c r="V131" s="2"/>
      <c r="W131" s="2"/>
      <c r="X131" s="2"/>
      <c r="Y131" s="2"/>
      <c r="Z131" s="2"/>
      <c r="AS131" s="20"/>
    </row>
    <row r="132" spans="1:45" ht="67.95" customHeight="1">
      <c r="A132" s="13" t="s">
        <v>966</v>
      </c>
      <c r="B132" s="13" t="s">
        <v>51</v>
      </c>
      <c r="C132" s="13" t="s">
        <v>51</v>
      </c>
      <c r="D132" s="13" t="s">
        <v>967</v>
      </c>
      <c r="E132" s="13" t="s">
        <v>51</v>
      </c>
      <c r="F132" s="13">
        <v>2024</v>
      </c>
      <c r="G132" s="13" t="s">
        <v>958</v>
      </c>
      <c r="H132" s="13" t="s">
        <v>32</v>
      </c>
      <c r="I132" s="13" t="s">
        <v>762</v>
      </c>
      <c r="J132" s="30" t="s">
        <v>536</v>
      </c>
      <c r="K132" s="2"/>
      <c r="L132" s="2"/>
      <c r="M132" s="2"/>
      <c r="N132" s="2"/>
      <c r="O132" s="2"/>
      <c r="P132" s="2"/>
      <c r="Q132" s="2"/>
      <c r="R132" s="2"/>
      <c r="S132" s="2"/>
      <c r="T132" s="2"/>
      <c r="U132" s="2"/>
      <c r="V132" s="2"/>
      <c r="W132" s="2"/>
      <c r="X132" s="2"/>
      <c r="Y132" s="2"/>
      <c r="Z132" s="2"/>
      <c r="AS132" s="20"/>
    </row>
    <row r="133" spans="1:45" ht="67.95" customHeight="1">
      <c r="A133" s="13" t="s">
        <v>968</v>
      </c>
      <c r="B133" s="13" t="s">
        <v>51</v>
      </c>
      <c r="C133" s="13" t="s">
        <v>51</v>
      </c>
      <c r="D133" s="13" t="s">
        <v>969</v>
      </c>
      <c r="E133" s="13" t="s">
        <v>51</v>
      </c>
      <c r="F133" s="13">
        <v>2017</v>
      </c>
      <c r="G133" s="13" t="s">
        <v>958</v>
      </c>
      <c r="H133" s="13" t="s">
        <v>32</v>
      </c>
      <c r="I133" s="13" t="s">
        <v>762</v>
      </c>
      <c r="J133" s="30" t="s">
        <v>658</v>
      </c>
      <c r="K133" s="2"/>
      <c r="L133" s="2"/>
      <c r="M133" s="2"/>
      <c r="N133" s="2"/>
      <c r="O133" s="2"/>
      <c r="P133" s="2"/>
      <c r="Q133" s="2"/>
      <c r="R133" s="2"/>
      <c r="S133" s="2"/>
      <c r="T133" s="2"/>
      <c r="U133" s="2"/>
      <c r="V133" s="2"/>
      <c r="W133" s="2"/>
      <c r="X133" s="2"/>
      <c r="Y133" s="2"/>
      <c r="Z133" s="2"/>
      <c r="AS133" s="20"/>
    </row>
    <row r="134" spans="1:45" ht="67.95" customHeight="1">
      <c r="A134" s="13" t="s">
        <v>970</v>
      </c>
      <c r="B134" s="13" t="s">
        <v>51</v>
      </c>
      <c r="C134" s="13" t="s">
        <v>51</v>
      </c>
      <c r="D134" s="13" t="s">
        <v>971</v>
      </c>
      <c r="E134" s="13" t="s">
        <v>51</v>
      </c>
      <c r="F134" s="13">
        <v>2018</v>
      </c>
      <c r="G134" s="13" t="s">
        <v>972</v>
      </c>
      <c r="H134" s="13" t="s">
        <v>32</v>
      </c>
      <c r="I134" s="13" t="s">
        <v>762</v>
      </c>
      <c r="J134" s="30" t="s">
        <v>658</v>
      </c>
      <c r="K134" s="2"/>
      <c r="L134" s="2"/>
      <c r="M134" s="2"/>
      <c r="N134" s="2"/>
      <c r="O134" s="2"/>
      <c r="P134" s="2"/>
      <c r="Q134" s="2"/>
      <c r="R134" s="2"/>
      <c r="S134" s="2"/>
      <c r="T134" s="2"/>
      <c r="U134" s="2"/>
      <c r="V134" s="2"/>
      <c r="W134" s="2"/>
      <c r="X134" s="2"/>
      <c r="Y134" s="2"/>
      <c r="Z134" s="2"/>
      <c r="AS134" s="20"/>
    </row>
    <row r="135" spans="1:45" ht="67.95" customHeight="1">
      <c r="A135" s="13" t="s">
        <v>973</v>
      </c>
      <c r="B135" s="13" t="s">
        <v>51</v>
      </c>
      <c r="C135" s="13" t="s">
        <v>51</v>
      </c>
      <c r="D135" s="13" t="s">
        <v>974</v>
      </c>
      <c r="E135" s="13" t="s">
        <v>51</v>
      </c>
      <c r="F135" s="13">
        <v>2021</v>
      </c>
      <c r="G135" s="13" t="s">
        <v>975</v>
      </c>
      <c r="H135" s="13" t="s">
        <v>32</v>
      </c>
      <c r="I135" s="13" t="s">
        <v>762</v>
      </c>
      <c r="J135" s="30" t="s">
        <v>658</v>
      </c>
      <c r="K135" s="2"/>
      <c r="L135" s="2"/>
      <c r="M135" s="2"/>
      <c r="N135" s="2"/>
      <c r="O135" s="2"/>
      <c r="P135" s="2"/>
      <c r="Q135" s="2"/>
      <c r="R135" s="2"/>
      <c r="S135" s="2"/>
      <c r="T135" s="2"/>
      <c r="U135" s="2"/>
      <c r="V135" s="2"/>
      <c r="W135" s="2"/>
      <c r="X135" s="2"/>
      <c r="Y135" s="2"/>
      <c r="Z135" s="2"/>
      <c r="AS135" s="20"/>
    </row>
    <row r="136" spans="1:45" ht="67.95" customHeight="1">
      <c r="A136" s="13" t="s">
        <v>976</v>
      </c>
      <c r="B136" s="13" t="s">
        <v>51</v>
      </c>
      <c r="C136" s="13" t="s">
        <v>51</v>
      </c>
      <c r="D136" s="13" t="s">
        <v>977</v>
      </c>
      <c r="E136" s="13" t="s">
        <v>51</v>
      </c>
      <c r="F136" s="13">
        <v>2019</v>
      </c>
      <c r="G136" s="13" t="s">
        <v>978</v>
      </c>
      <c r="H136" s="13" t="s">
        <v>32</v>
      </c>
      <c r="I136" s="13" t="s">
        <v>762</v>
      </c>
      <c r="J136" s="30" t="s">
        <v>658</v>
      </c>
      <c r="K136" s="2"/>
      <c r="L136" s="2"/>
      <c r="M136" s="2"/>
      <c r="N136" s="2"/>
      <c r="O136" s="2"/>
      <c r="P136" s="2"/>
      <c r="Q136" s="2"/>
      <c r="R136" s="2"/>
      <c r="S136" s="2"/>
      <c r="T136" s="2"/>
      <c r="U136" s="2"/>
      <c r="V136" s="2"/>
      <c r="W136" s="2"/>
      <c r="X136" s="2"/>
      <c r="Y136" s="2"/>
      <c r="Z136" s="2"/>
      <c r="AS136" s="20"/>
    </row>
    <row r="137" spans="1:45" ht="67.95" customHeight="1">
      <c r="A137" s="13" t="s">
        <v>979</v>
      </c>
      <c r="B137" s="13" t="s">
        <v>980</v>
      </c>
      <c r="C137" s="13" t="s">
        <v>981</v>
      </c>
      <c r="D137" s="13" t="s">
        <v>982</v>
      </c>
      <c r="E137" s="13" t="s">
        <v>983</v>
      </c>
      <c r="F137" s="13">
        <v>2020</v>
      </c>
      <c r="G137" s="13" t="s">
        <v>984</v>
      </c>
      <c r="H137" s="13" t="s">
        <v>32</v>
      </c>
      <c r="I137" s="13" t="s">
        <v>762</v>
      </c>
      <c r="J137" s="30" t="s">
        <v>567</v>
      </c>
      <c r="K137" s="2"/>
      <c r="L137" s="2"/>
      <c r="M137" s="2"/>
      <c r="N137" s="2"/>
      <c r="O137" s="2"/>
      <c r="P137" s="2"/>
      <c r="Q137" s="2"/>
      <c r="R137" s="2"/>
      <c r="S137" s="2"/>
      <c r="T137" s="2"/>
      <c r="U137" s="2"/>
      <c r="V137" s="2"/>
      <c r="W137" s="2"/>
      <c r="X137" s="2"/>
      <c r="Y137" s="2"/>
      <c r="Z137" s="2"/>
      <c r="AS137" s="20"/>
    </row>
    <row r="138" spans="1:45" ht="67.95" customHeight="1">
      <c r="A138" s="13" t="s">
        <v>985</v>
      </c>
      <c r="B138" s="13" t="s">
        <v>986</v>
      </c>
      <c r="C138" s="13" t="s">
        <v>987</v>
      </c>
      <c r="D138" s="13" t="s">
        <v>988</v>
      </c>
      <c r="E138" s="13" t="s">
        <v>51</v>
      </c>
      <c r="F138" s="13">
        <v>2022</v>
      </c>
      <c r="G138" s="13" t="s">
        <v>31</v>
      </c>
      <c r="H138" s="13" t="s">
        <v>53</v>
      </c>
      <c r="I138" s="13" t="s">
        <v>762</v>
      </c>
      <c r="J138" s="30" t="s">
        <v>646</v>
      </c>
      <c r="K138" s="2"/>
      <c r="L138" s="2"/>
      <c r="M138" s="2"/>
      <c r="N138" s="2"/>
      <c r="O138" s="2"/>
      <c r="P138" s="2"/>
      <c r="Q138" s="2"/>
      <c r="R138" s="2"/>
      <c r="S138" s="2"/>
      <c r="T138" s="2"/>
      <c r="U138" s="2"/>
      <c r="V138" s="2"/>
      <c r="W138" s="2"/>
      <c r="X138" s="2"/>
      <c r="Y138" s="2"/>
      <c r="Z138" s="2"/>
      <c r="AS138" s="20"/>
    </row>
    <row r="139" spans="1:45" ht="67.95" customHeight="1">
      <c r="A139" s="13" t="s">
        <v>989</v>
      </c>
      <c r="B139" s="13" t="s">
        <v>990</v>
      </c>
      <c r="C139" s="13" t="s">
        <v>991</v>
      </c>
      <c r="D139" s="13" t="s">
        <v>992</v>
      </c>
      <c r="E139" s="13" t="s">
        <v>993</v>
      </c>
      <c r="F139" s="13">
        <v>2021</v>
      </c>
      <c r="G139" s="13" t="s">
        <v>984</v>
      </c>
      <c r="H139" s="13" t="s">
        <v>32</v>
      </c>
      <c r="I139" s="13" t="s">
        <v>762</v>
      </c>
      <c r="J139" s="30" t="s">
        <v>567</v>
      </c>
      <c r="K139" s="2"/>
      <c r="L139" s="2"/>
      <c r="M139" s="2"/>
      <c r="N139" s="2"/>
      <c r="O139" s="2"/>
      <c r="P139" s="2"/>
      <c r="Q139" s="2"/>
      <c r="R139" s="2"/>
      <c r="S139" s="2"/>
      <c r="T139" s="2"/>
      <c r="U139" s="2"/>
      <c r="V139" s="2"/>
      <c r="W139" s="2"/>
      <c r="X139" s="2"/>
      <c r="Y139" s="2"/>
      <c r="Z139" s="2"/>
      <c r="AS139" s="20"/>
    </row>
    <row r="140" spans="1:45" ht="67.95" customHeight="1">
      <c r="A140" s="13" t="s">
        <v>994</v>
      </c>
      <c r="B140" s="13" t="s">
        <v>995</v>
      </c>
      <c r="C140" s="13" t="s">
        <v>996</v>
      </c>
      <c r="D140" s="13" t="s">
        <v>997</v>
      </c>
      <c r="E140" s="13" t="s">
        <v>998</v>
      </c>
      <c r="F140" s="13">
        <v>2025</v>
      </c>
      <c r="G140" s="13" t="s">
        <v>578</v>
      </c>
      <c r="H140" s="13" t="s">
        <v>32</v>
      </c>
      <c r="I140" s="13" t="s">
        <v>762</v>
      </c>
      <c r="J140" s="30" t="s">
        <v>543</v>
      </c>
      <c r="K140" s="2"/>
      <c r="L140" s="2"/>
      <c r="M140" s="2"/>
      <c r="N140" s="2"/>
      <c r="O140" s="2"/>
      <c r="P140" s="2"/>
      <c r="Q140" s="2"/>
      <c r="R140" s="2"/>
      <c r="S140" s="2"/>
      <c r="T140" s="2"/>
      <c r="U140" s="2"/>
      <c r="V140" s="2"/>
      <c r="W140" s="2"/>
      <c r="X140" s="2"/>
      <c r="Y140" s="2"/>
      <c r="Z140" s="2"/>
      <c r="AS140" s="20"/>
    </row>
    <row r="141" spans="1:45" ht="67.95" customHeight="1">
      <c r="A141" s="13" t="s">
        <v>999</v>
      </c>
      <c r="B141" s="13" t="s">
        <v>1000</v>
      </c>
      <c r="C141" s="13" t="s">
        <v>1001</v>
      </c>
      <c r="D141" s="13" t="s">
        <v>1002</v>
      </c>
      <c r="E141" s="13" t="s">
        <v>1003</v>
      </c>
      <c r="F141" s="13">
        <v>2023</v>
      </c>
      <c r="G141" s="13" t="s">
        <v>1004</v>
      </c>
      <c r="H141" s="13" t="s">
        <v>32</v>
      </c>
      <c r="I141" s="13" t="s">
        <v>762</v>
      </c>
      <c r="J141" s="30" t="s">
        <v>536</v>
      </c>
      <c r="K141" s="2"/>
      <c r="L141" s="2"/>
      <c r="M141" s="2"/>
      <c r="N141" s="2"/>
      <c r="O141" s="2"/>
      <c r="P141" s="2"/>
      <c r="Q141" s="2"/>
      <c r="R141" s="2"/>
      <c r="S141" s="2"/>
      <c r="T141" s="2"/>
      <c r="U141" s="2"/>
      <c r="V141" s="2"/>
      <c r="W141" s="2"/>
      <c r="X141" s="2"/>
      <c r="Y141" s="2"/>
      <c r="Z141" s="2"/>
      <c r="AS141" s="20"/>
    </row>
    <row r="142" spans="1:45" ht="67.95" customHeight="1">
      <c r="A142" s="13" t="s">
        <v>1005</v>
      </c>
      <c r="B142" s="13" t="s">
        <v>1006</v>
      </c>
      <c r="C142" s="13" t="s">
        <v>1007</v>
      </c>
      <c r="D142" s="13" t="s">
        <v>1008</v>
      </c>
      <c r="E142" s="13" t="s">
        <v>1009</v>
      </c>
      <c r="F142" s="13">
        <v>2021</v>
      </c>
      <c r="G142" s="13" t="s">
        <v>1010</v>
      </c>
      <c r="H142" s="13" t="s">
        <v>53</v>
      </c>
      <c r="I142" s="13" t="s">
        <v>762</v>
      </c>
      <c r="J142" s="30" t="s">
        <v>536</v>
      </c>
      <c r="K142" s="2"/>
      <c r="L142" s="2"/>
      <c r="M142" s="2"/>
      <c r="N142" s="2"/>
      <c r="O142" s="2"/>
      <c r="P142" s="2"/>
      <c r="Q142" s="2"/>
      <c r="R142" s="2"/>
      <c r="S142" s="2"/>
      <c r="T142" s="2"/>
      <c r="U142" s="2"/>
      <c r="V142" s="2"/>
      <c r="W142" s="2"/>
      <c r="X142" s="2"/>
      <c r="Y142" s="2"/>
      <c r="Z142" s="2"/>
      <c r="AS142" s="20"/>
    </row>
    <row r="143" spans="1:45" ht="67.95" customHeight="1">
      <c r="A143" s="13" t="s">
        <v>1011</v>
      </c>
      <c r="B143" s="13" t="s">
        <v>1012</v>
      </c>
      <c r="C143" s="13" t="s">
        <v>1013</v>
      </c>
      <c r="D143" s="13" t="s">
        <v>1014</v>
      </c>
      <c r="E143" s="13" t="s">
        <v>1015</v>
      </c>
      <c r="F143" s="13">
        <v>2017</v>
      </c>
      <c r="G143" s="13" t="s">
        <v>1016</v>
      </c>
      <c r="H143" s="13" t="s">
        <v>53</v>
      </c>
      <c r="I143" s="13" t="s">
        <v>762</v>
      </c>
      <c r="J143" s="30" t="s">
        <v>536</v>
      </c>
      <c r="K143" s="2"/>
      <c r="L143" s="2"/>
      <c r="M143" s="2"/>
      <c r="N143" s="2"/>
      <c r="O143" s="2"/>
      <c r="P143" s="2"/>
      <c r="Q143" s="2"/>
      <c r="R143" s="2"/>
      <c r="S143" s="2"/>
      <c r="T143" s="2"/>
      <c r="U143" s="2"/>
      <c r="V143" s="2"/>
      <c r="W143" s="2"/>
      <c r="X143" s="2"/>
      <c r="Y143" s="2"/>
      <c r="Z143" s="2"/>
      <c r="AS143" s="20"/>
    </row>
    <row r="144" spans="1:45" ht="67.95" customHeight="1">
      <c r="A144" s="13" t="s">
        <v>1017</v>
      </c>
      <c r="B144" s="13" t="s">
        <v>1018</v>
      </c>
      <c r="C144" s="13" t="s">
        <v>1019</v>
      </c>
      <c r="D144" s="13" t="s">
        <v>1020</v>
      </c>
      <c r="E144" s="13" t="s">
        <v>1021</v>
      </c>
      <c r="F144" s="13">
        <v>2025</v>
      </c>
      <c r="G144" s="13" t="s">
        <v>813</v>
      </c>
      <c r="H144" s="13" t="s">
        <v>32</v>
      </c>
      <c r="I144" s="13" t="s">
        <v>762</v>
      </c>
      <c r="J144" s="30" t="s">
        <v>536</v>
      </c>
      <c r="K144" s="2"/>
      <c r="L144" s="2"/>
      <c r="M144" s="2"/>
      <c r="N144" s="2"/>
      <c r="O144" s="2"/>
      <c r="P144" s="2"/>
      <c r="Q144" s="2"/>
      <c r="R144" s="2"/>
      <c r="S144" s="2"/>
      <c r="T144" s="2"/>
      <c r="U144" s="2"/>
      <c r="V144" s="2"/>
      <c r="W144" s="2"/>
      <c r="X144" s="2"/>
      <c r="Y144" s="2"/>
      <c r="Z144" s="2"/>
      <c r="AS144" s="20"/>
    </row>
    <row r="145" spans="1:45" ht="67.95" customHeight="1">
      <c r="A145" s="13" t="s">
        <v>1022</v>
      </c>
      <c r="B145" s="13" t="s">
        <v>1023</v>
      </c>
      <c r="C145" s="13" t="s">
        <v>1024</v>
      </c>
      <c r="D145" s="13" t="s">
        <v>1025</v>
      </c>
      <c r="E145" s="13" t="s">
        <v>1026</v>
      </c>
      <c r="F145" s="13">
        <v>2023</v>
      </c>
      <c r="G145" s="13" t="s">
        <v>597</v>
      </c>
      <c r="H145" s="13" t="s">
        <v>32</v>
      </c>
      <c r="I145" s="13" t="s">
        <v>762</v>
      </c>
      <c r="J145" s="30" t="s">
        <v>543</v>
      </c>
      <c r="K145" s="2"/>
      <c r="L145" s="2"/>
      <c r="M145" s="2"/>
      <c r="N145" s="2"/>
      <c r="O145" s="2"/>
      <c r="P145" s="2"/>
      <c r="Q145" s="2"/>
      <c r="R145" s="2"/>
      <c r="S145" s="2"/>
      <c r="T145" s="2"/>
      <c r="U145" s="2"/>
      <c r="V145" s="2"/>
      <c r="W145" s="2"/>
      <c r="X145" s="2"/>
      <c r="Y145" s="2"/>
      <c r="Z145" s="2"/>
      <c r="AS145" s="20"/>
    </row>
    <row r="146" spans="1:45" ht="67.95" customHeight="1">
      <c r="A146" s="13" t="s">
        <v>1027</v>
      </c>
      <c r="B146" s="13" t="s">
        <v>1028</v>
      </c>
      <c r="C146" s="13" t="s">
        <v>1029</v>
      </c>
      <c r="D146" s="13" t="s">
        <v>1030</v>
      </c>
      <c r="E146" s="13" t="s">
        <v>1031</v>
      </c>
      <c r="F146" s="13">
        <v>2021</v>
      </c>
      <c r="G146" s="13" t="s">
        <v>1032</v>
      </c>
      <c r="H146" s="13" t="s">
        <v>53</v>
      </c>
      <c r="I146" s="13" t="s">
        <v>762</v>
      </c>
      <c r="J146" s="30" t="s">
        <v>543</v>
      </c>
      <c r="K146" s="2"/>
      <c r="L146" s="2"/>
      <c r="M146" s="2"/>
      <c r="N146" s="2"/>
      <c r="O146" s="2"/>
      <c r="P146" s="2"/>
      <c r="Q146" s="2"/>
      <c r="R146" s="2"/>
      <c r="S146" s="2"/>
      <c r="T146" s="2"/>
      <c r="U146" s="2"/>
      <c r="V146" s="2"/>
      <c r="W146" s="2"/>
      <c r="X146" s="2"/>
      <c r="Y146" s="2"/>
      <c r="Z146" s="2"/>
      <c r="AS146" s="20"/>
    </row>
    <row r="147" spans="1:45" ht="67.95" customHeight="1">
      <c r="A147" s="13" t="s">
        <v>1033</v>
      </c>
      <c r="B147" s="13" t="s">
        <v>1034</v>
      </c>
      <c r="C147" s="13" t="s">
        <v>1035</v>
      </c>
      <c r="D147" s="13" t="s">
        <v>1036</v>
      </c>
      <c r="E147" s="13" t="s">
        <v>51</v>
      </c>
      <c r="F147" s="13">
        <v>2020</v>
      </c>
      <c r="G147" s="13" t="s">
        <v>1037</v>
      </c>
      <c r="H147" s="13" t="s">
        <v>53</v>
      </c>
      <c r="I147" s="13" t="s">
        <v>762</v>
      </c>
      <c r="J147" s="30" t="s">
        <v>536</v>
      </c>
      <c r="K147" s="2"/>
      <c r="L147" s="2"/>
      <c r="M147" s="2"/>
      <c r="N147" s="2"/>
      <c r="O147" s="2"/>
      <c r="P147" s="2"/>
      <c r="Q147" s="2"/>
      <c r="R147" s="2"/>
      <c r="S147" s="2"/>
      <c r="T147" s="2"/>
      <c r="U147" s="2"/>
      <c r="V147" s="2"/>
      <c r="W147" s="2"/>
      <c r="X147" s="2"/>
      <c r="Y147" s="2"/>
      <c r="Z147" s="2"/>
      <c r="AS147" s="20"/>
    </row>
    <row r="148" spans="1:45" ht="67.95" customHeight="1">
      <c r="A148" s="13" t="s">
        <v>1038</v>
      </c>
      <c r="B148" s="13" t="s">
        <v>1039</v>
      </c>
      <c r="C148" s="13" t="s">
        <v>1040</v>
      </c>
      <c r="D148" s="13" t="s">
        <v>1041</v>
      </c>
      <c r="E148" s="13" t="s">
        <v>1042</v>
      </c>
      <c r="F148" s="13">
        <v>2022</v>
      </c>
      <c r="G148" s="13" t="s">
        <v>694</v>
      </c>
      <c r="H148" s="13" t="s">
        <v>32</v>
      </c>
      <c r="I148" s="13" t="s">
        <v>762</v>
      </c>
      <c r="J148" s="30" t="s">
        <v>567</v>
      </c>
      <c r="K148" s="2"/>
      <c r="L148" s="2"/>
      <c r="M148" s="2"/>
      <c r="N148" s="2"/>
      <c r="O148" s="2"/>
      <c r="P148" s="2"/>
      <c r="Q148" s="2"/>
      <c r="R148" s="2"/>
      <c r="S148" s="2"/>
      <c r="T148" s="2"/>
      <c r="U148" s="2"/>
      <c r="V148" s="2"/>
      <c r="W148" s="2"/>
      <c r="X148" s="2"/>
      <c r="Y148" s="2"/>
      <c r="Z148" s="2"/>
      <c r="AS148" s="20"/>
    </row>
    <row r="149" spans="1:45" ht="67.95" customHeight="1">
      <c r="A149" s="13" t="s">
        <v>1043</v>
      </c>
      <c r="B149" s="13" t="s">
        <v>1044</v>
      </c>
      <c r="C149" s="13" t="s">
        <v>1045</v>
      </c>
      <c r="D149" s="13" t="s">
        <v>1046</v>
      </c>
      <c r="E149" s="13" t="s">
        <v>1047</v>
      </c>
      <c r="F149" s="13">
        <v>2022</v>
      </c>
      <c r="G149" s="13" t="s">
        <v>1048</v>
      </c>
      <c r="H149" s="13" t="s">
        <v>53</v>
      </c>
      <c r="I149" s="13" t="s">
        <v>762</v>
      </c>
      <c r="J149" s="30" t="s">
        <v>536</v>
      </c>
      <c r="K149" s="2"/>
      <c r="L149" s="2"/>
      <c r="M149" s="2"/>
      <c r="N149" s="2"/>
      <c r="O149" s="2"/>
      <c r="P149" s="2"/>
      <c r="Q149" s="2"/>
      <c r="R149" s="2"/>
      <c r="S149" s="2"/>
      <c r="T149" s="2"/>
      <c r="U149" s="2"/>
      <c r="V149" s="2"/>
      <c r="W149" s="2"/>
      <c r="X149" s="2"/>
      <c r="Y149" s="2"/>
      <c r="Z149" s="2"/>
      <c r="AS149" s="20"/>
    </row>
    <row r="150" spans="1:45" ht="67.95" customHeight="1">
      <c r="A150" s="13" t="s">
        <v>1049</v>
      </c>
      <c r="B150" s="13" t="s">
        <v>1050</v>
      </c>
      <c r="C150" s="13" t="s">
        <v>1051</v>
      </c>
      <c r="D150" s="13" t="s">
        <v>1052</v>
      </c>
      <c r="E150" s="13" t="s">
        <v>1053</v>
      </c>
      <c r="F150" s="13">
        <v>2016</v>
      </c>
      <c r="G150" s="13" t="s">
        <v>818</v>
      </c>
      <c r="H150" s="13" t="s">
        <v>32</v>
      </c>
      <c r="I150" s="13" t="s">
        <v>762</v>
      </c>
      <c r="J150" s="30" t="s">
        <v>536</v>
      </c>
      <c r="K150" s="2"/>
      <c r="L150" s="2"/>
      <c r="M150" s="2"/>
      <c r="N150" s="2"/>
      <c r="O150" s="2"/>
      <c r="P150" s="2"/>
      <c r="Q150" s="2"/>
      <c r="R150" s="2"/>
      <c r="S150" s="2"/>
      <c r="T150" s="2"/>
      <c r="U150" s="2"/>
      <c r="V150" s="2"/>
      <c r="W150" s="2"/>
      <c r="X150" s="2"/>
      <c r="Y150" s="2"/>
      <c r="Z150" s="2"/>
      <c r="AS150" s="20"/>
    </row>
    <row r="151" spans="1:45" ht="67.95" customHeight="1">
      <c r="A151" s="13" t="s">
        <v>1054</v>
      </c>
      <c r="B151" s="13" t="s">
        <v>1055</v>
      </c>
      <c r="C151" s="13" t="s">
        <v>1056</v>
      </c>
      <c r="D151" s="13" t="s">
        <v>1057</v>
      </c>
      <c r="E151" s="13" t="s">
        <v>1058</v>
      </c>
      <c r="F151" s="13">
        <v>2016</v>
      </c>
      <c r="G151" s="13" t="s">
        <v>842</v>
      </c>
      <c r="H151" s="13" t="s">
        <v>32</v>
      </c>
      <c r="I151" s="13" t="s">
        <v>762</v>
      </c>
      <c r="J151" s="30" t="s">
        <v>567</v>
      </c>
      <c r="K151" s="2"/>
      <c r="L151" s="2"/>
      <c r="M151" s="2"/>
      <c r="N151" s="2"/>
      <c r="O151" s="2"/>
      <c r="P151" s="2"/>
      <c r="Q151" s="2"/>
      <c r="R151" s="2"/>
      <c r="S151" s="2"/>
      <c r="T151" s="2"/>
      <c r="U151" s="2"/>
      <c r="V151" s="2"/>
      <c r="W151" s="2"/>
      <c r="X151" s="2"/>
      <c r="Y151" s="2"/>
      <c r="Z151" s="2"/>
      <c r="AS151" s="20"/>
    </row>
    <row r="152" spans="1:45" ht="67.95" customHeight="1">
      <c r="A152" s="13" t="s">
        <v>1059</v>
      </c>
      <c r="B152" s="13" t="s">
        <v>1060</v>
      </c>
      <c r="C152" s="13" t="s">
        <v>1061</v>
      </c>
      <c r="D152" s="13" t="s">
        <v>1062</v>
      </c>
      <c r="E152" s="13" t="s">
        <v>1063</v>
      </c>
      <c r="F152" s="13">
        <v>2020</v>
      </c>
      <c r="G152" s="13" t="s">
        <v>1064</v>
      </c>
      <c r="H152" s="13" t="s">
        <v>32</v>
      </c>
      <c r="I152" s="13" t="s">
        <v>762</v>
      </c>
      <c r="J152" s="30" t="s">
        <v>543</v>
      </c>
      <c r="K152" s="2"/>
      <c r="L152" s="2"/>
      <c r="M152" s="2"/>
      <c r="N152" s="2"/>
      <c r="O152" s="2"/>
      <c r="P152" s="2"/>
      <c r="Q152" s="2"/>
      <c r="R152" s="2"/>
      <c r="S152" s="2"/>
      <c r="T152" s="2"/>
      <c r="U152" s="2"/>
      <c r="V152" s="2"/>
      <c r="W152" s="2"/>
      <c r="X152" s="2"/>
      <c r="Y152" s="2"/>
      <c r="Z152" s="2"/>
      <c r="AS152" s="20"/>
    </row>
    <row r="153" spans="1:45" ht="67.95" customHeight="1">
      <c r="A153" s="13" t="s">
        <v>1065</v>
      </c>
      <c r="B153" s="13" t="s">
        <v>1066</v>
      </c>
      <c r="C153" s="13" t="s">
        <v>1067</v>
      </c>
      <c r="D153" s="13" t="s">
        <v>1068</v>
      </c>
      <c r="E153" s="13" t="s">
        <v>1069</v>
      </c>
      <c r="F153" s="13">
        <v>2016</v>
      </c>
      <c r="G153" s="13" t="s">
        <v>688</v>
      </c>
      <c r="H153" s="13" t="s">
        <v>32</v>
      </c>
      <c r="I153" s="13" t="s">
        <v>762</v>
      </c>
      <c r="J153" s="30" t="s">
        <v>882</v>
      </c>
      <c r="K153" s="2"/>
      <c r="L153" s="2"/>
      <c r="M153" s="2"/>
      <c r="N153" s="2"/>
      <c r="O153" s="2"/>
      <c r="P153" s="2"/>
      <c r="Q153" s="2"/>
      <c r="R153" s="2"/>
      <c r="S153" s="2"/>
      <c r="T153" s="2"/>
      <c r="U153" s="2"/>
      <c r="V153" s="2"/>
      <c r="W153" s="2"/>
      <c r="X153" s="2"/>
      <c r="Y153" s="2"/>
      <c r="Z153" s="2"/>
      <c r="AS153" s="20"/>
    </row>
    <row r="154" spans="1:45" ht="67.95" customHeight="1">
      <c r="A154" s="13" t="s">
        <v>1070</v>
      </c>
      <c r="B154" s="13" t="s">
        <v>1071</v>
      </c>
      <c r="C154" s="13" t="s">
        <v>1072</v>
      </c>
      <c r="D154" s="13" t="s">
        <v>1073</v>
      </c>
      <c r="E154" s="13" t="s">
        <v>1074</v>
      </c>
      <c r="F154" s="13">
        <v>2025</v>
      </c>
      <c r="G154" s="13" t="s">
        <v>670</v>
      </c>
      <c r="H154" s="13" t="s">
        <v>32</v>
      </c>
      <c r="I154" s="13" t="s">
        <v>762</v>
      </c>
      <c r="J154" s="30" t="s">
        <v>567</v>
      </c>
      <c r="K154" s="2"/>
      <c r="L154" s="2"/>
      <c r="M154" s="2"/>
      <c r="N154" s="2"/>
      <c r="O154" s="2"/>
      <c r="P154" s="2"/>
      <c r="Q154" s="2"/>
      <c r="R154" s="2"/>
      <c r="S154" s="2"/>
      <c r="T154" s="2"/>
      <c r="U154" s="2"/>
      <c r="V154" s="2"/>
      <c r="W154" s="2"/>
      <c r="X154" s="2"/>
      <c r="Y154" s="2"/>
      <c r="Z154" s="2"/>
      <c r="AS154" s="20"/>
    </row>
    <row r="155" spans="1:45" ht="67.95" customHeight="1">
      <c r="A155" s="13" t="s">
        <v>1075</v>
      </c>
      <c r="B155" s="13" t="s">
        <v>1076</v>
      </c>
      <c r="C155" s="13" t="s">
        <v>1077</v>
      </c>
      <c r="D155" s="13" t="s">
        <v>1078</v>
      </c>
      <c r="E155" s="13" t="s">
        <v>1079</v>
      </c>
      <c r="F155" s="13">
        <v>2017</v>
      </c>
      <c r="G155" s="13" t="s">
        <v>1080</v>
      </c>
      <c r="H155" s="13" t="s">
        <v>32</v>
      </c>
      <c r="I155" s="13" t="s">
        <v>762</v>
      </c>
      <c r="J155" s="30" t="s">
        <v>543</v>
      </c>
      <c r="K155" s="2"/>
      <c r="L155" s="2"/>
      <c r="M155" s="2"/>
      <c r="N155" s="2"/>
      <c r="O155" s="2"/>
      <c r="P155" s="2"/>
      <c r="Q155" s="2"/>
      <c r="R155" s="2"/>
      <c r="S155" s="2"/>
      <c r="T155" s="2"/>
      <c r="U155" s="2"/>
      <c r="V155" s="2"/>
      <c r="W155" s="2"/>
      <c r="X155" s="2"/>
      <c r="Y155" s="2"/>
      <c r="Z155" s="2"/>
      <c r="AS155" s="20"/>
    </row>
    <row r="156" spans="1:45" ht="67.95" customHeight="1">
      <c r="A156" s="13" t="s">
        <v>1081</v>
      </c>
      <c r="B156" s="13" t="s">
        <v>1082</v>
      </c>
      <c r="C156" s="13" t="s">
        <v>1083</v>
      </c>
      <c r="D156" s="13" t="s">
        <v>1084</v>
      </c>
      <c r="E156" s="13" t="s">
        <v>1085</v>
      </c>
      <c r="F156" s="13">
        <v>2023</v>
      </c>
      <c r="G156" s="13" t="s">
        <v>1086</v>
      </c>
      <c r="H156" s="13" t="s">
        <v>53</v>
      </c>
      <c r="I156" s="13" t="s">
        <v>762</v>
      </c>
      <c r="J156" s="30" t="s">
        <v>536</v>
      </c>
      <c r="K156" s="2"/>
      <c r="L156" s="2"/>
      <c r="M156" s="2"/>
      <c r="N156" s="2"/>
      <c r="O156" s="2"/>
      <c r="P156" s="2"/>
      <c r="Q156" s="2"/>
      <c r="R156" s="2"/>
      <c r="S156" s="2"/>
      <c r="T156" s="2"/>
      <c r="U156" s="2"/>
      <c r="V156" s="2"/>
      <c r="W156" s="2"/>
      <c r="X156" s="2"/>
      <c r="Y156" s="2"/>
      <c r="Z156" s="2"/>
      <c r="AS156" s="20"/>
    </row>
    <row r="157" spans="1:45" ht="67.95" customHeight="1">
      <c r="A157" s="13" t="s">
        <v>1087</v>
      </c>
      <c r="B157" s="13" t="s">
        <v>1088</v>
      </c>
      <c r="C157" s="13" t="s">
        <v>1089</v>
      </c>
      <c r="D157" s="13" t="s">
        <v>1090</v>
      </c>
      <c r="E157" s="13" t="s">
        <v>1091</v>
      </c>
      <c r="F157" s="13">
        <v>2019</v>
      </c>
      <c r="G157" s="13" t="s">
        <v>1092</v>
      </c>
      <c r="H157" s="13" t="s">
        <v>53</v>
      </c>
      <c r="I157" s="13" t="s">
        <v>762</v>
      </c>
      <c r="J157" s="30" t="s">
        <v>536</v>
      </c>
      <c r="K157" s="2"/>
      <c r="L157" s="2"/>
      <c r="M157" s="2"/>
      <c r="N157" s="2"/>
      <c r="O157" s="2"/>
      <c r="P157" s="2"/>
      <c r="Q157" s="2"/>
      <c r="R157" s="2"/>
      <c r="S157" s="2"/>
      <c r="T157" s="2"/>
      <c r="U157" s="2"/>
      <c r="V157" s="2"/>
      <c r="W157" s="2"/>
      <c r="X157" s="2"/>
      <c r="Y157" s="2"/>
      <c r="Z157" s="2"/>
      <c r="AS157" s="20"/>
    </row>
    <row r="158" spans="1:45" ht="67.95" customHeight="1">
      <c r="A158" s="13" t="s">
        <v>1093</v>
      </c>
      <c r="B158" s="13" t="s">
        <v>1094</v>
      </c>
      <c r="C158" s="13" t="s">
        <v>1095</v>
      </c>
      <c r="D158" s="13" t="s">
        <v>1096</v>
      </c>
      <c r="E158" s="13" t="s">
        <v>1097</v>
      </c>
      <c r="F158" s="13">
        <v>2022</v>
      </c>
      <c r="G158" s="13" t="s">
        <v>670</v>
      </c>
      <c r="H158" s="13" t="s">
        <v>32</v>
      </c>
      <c r="I158" s="13" t="s">
        <v>762</v>
      </c>
      <c r="J158" s="30" t="s">
        <v>567</v>
      </c>
      <c r="K158" s="2"/>
      <c r="L158" s="2"/>
      <c r="M158" s="2"/>
      <c r="N158" s="2"/>
      <c r="O158" s="2"/>
      <c r="P158" s="2"/>
      <c r="Q158" s="2"/>
      <c r="R158" s="2"/>
      <c r="S158" s="2"/>
      <c r="T158" s="2"/>
      <c r="U158" s="2"/>
      <c r="V158" s="2"/>
      <c r="W158" s="2"/>
      <c r="X158" s="2"/>
      <c r="Y158" s="2"/>
      <c r="Z158" s="2"/>
      <c r="AS158" s="20"/>
    </row>
    <row r="159" spans="1:45" ht="67.95" customHeight="1">
      <c r="A159" s="13" t="s">
        <v>1098</v>
      </c>
      <c r="B159" s="13" t="s">
        <v>1099</v>
      </c>
      <c r="C159" s="13" t="s">
        <v>1100</v>
      </c>
      <c r="D159" s="13" t="s">
        <v>1101</v>
      </c>
      <c r="E159" s="13" t="s">
        <v>1102</v>
      </c>
      <c r="F159" s="13">
        <v>2023</v>
      </c>
      <c r="G159" s="13" t="s">
        <v>1103</v>
      </c>
      <c r="H159" s="13" t="s">
        <v>53</v>
      </c>
      <c r="I159" s="13" t="s">
        <v>762</v>
      </c>
      <c r="J159" s="30" t="s">
        <v>536</v>
      </c>
      <c r="K159" s="2"/>
      <c r="L159" s="2"/>
      <c r="M159" s="2"/>
      <c r="N159" s="2"/>
      <c r="O159" s="2"/>
      <c r="P159" s="2"/>
      <c r="Q159" s="2"/>
      <c r="R159" s="2"/>
      <c r="S159" s="2"/>
      <c r="T159" s="2"/>
      <c r="U159" s="2"/>
      <c r="V159" s="2"/>
      <c r="W159" s="2"/>
      <c r="X159" s="2"/>
      <c r="Y159" s="2"/>
      <c r="Z159" s="2"/>
      <c r="AS159" s="20"/>
    </row>
    <row r="160" spans="1:45" ht="67.95" customHeight="1">
      <c r="A160" s="13" t="s">
        <v>1104</v>
      </c>
      <c r="B160" s="13" t="s">
        <v>1105</v>
      </c>
      <c r="C160" s="13" t="s">
        <v>1106</v>
      </c>
      <c r="D160" s="13" t="s">
        <v>1107</v>
      </c>
      <c r="E160" s="13" t="s">
        <v>51</v>
      </c>
      <c r="F160" s="13">
        <v>2017</v>
      </c>
      <c r="G160" s="13" t="s">
        <v>1108</v>
      </c>
      <c r="H160" s="13" t="s">
        <v>32</v>
      </c>
      <c r="I160" s="13" t="s">
        <v>762</v>
      </c>
      <c r="J160" s="30" t="s">
        <v>658</v>
      </c>
      <c r="K160" s="2"/>
      <c r="L160" s="2"/>
      <c r="M160" s="2"/>
      <c r="N160" s="2"/>
      <c r="O160" s="2"/>
      <c r="P160" s="2"/>
      <c r="Q160" s="2"/>
      <c r="R160" s="2"/>
      <c r="S160" s="2"/>
      <c r="T160" s="2"/>
      <c r="U160" s="2"/>
      <c r="V160" s="2"/>
      <c r="W160" s="2"/>
      <c r="X160" s="2"/>
      <c r="Y160" s="2"/>
      <c r="Z160" s="2"/>
      <c r="AS160" s="20"/>
    </row>
    <row r="161" spans="1:45" ht="67.95" customHeight="1">
      <c r="A161" s="13" t="s">
        <v>1109</v>
      </c>
      <c r="B161" s="13" t="s">
        <v>1110</v>
      </c>
      <c r="C161" s="13" t="s">
        <v>1111</v>
      </c>
      <c r="D161" s="13" t="s">
        <v>1112</v>
      </c>
      <c r="E161" s="13" t="s">
        <v>51</v>
      </c>
      <c r="F161" s="13">
        <v>2018</v>
      </c>
      <c r="G161" s="13" t="s">
        <v>1113</v>
      </c>
      <c r="H161" s="13" t="s">
        <v>32</v>
      </c>
      <c r="I161" s="13" t="s">
        <v>762</v>
      </c>
      <c r="J161" s="30" t="s">
        <v>543</v>
      </c>
      <c r="K161" s="2"/>
      <c r="L161" s="2"/>
      <c r="M161" s="2"/>
      <c r="N161" s="2"/>
      <c r="O161" s="2"/>
      <c r="P161" s="2"/>
      <c r="Q161" s="2"/>
      <c r="R161" s="2"/>
      <c r="S161" s="2"/>
      <c r="T161" s="2"/>
      <c r="U161" s="2"/>
      <c r="V161" s="2"/>
      <c r="W161" s="2"/>
      <c r="X161" s="2"/>
      <c r="Y161" s="2"/>
      <c r="Z161" s="2"/>
      <c r="AS161" s="20"/>
    </row>
    <row r="162" spans="1:45" ht="67.95" customHeight="1">
      <c r="A162" s="13" t="s">
        <v>1114</v>
      </c>
      <c r="B162" s="13" t="s">
        <v>1115</v>
      </c>
      <c r="C162" s="13" t="s">
        <v>1116</v>
      </c>
      <c r="D162" s="13" t="s">
        <v>1117</v>
      </c>
      <c r="E162" s="13" t="s">
        <v>1118</v>
      </c>
      <c r="F162" s="13">
        <v>2023</v>
      </c>
      <c r="G162" s="13" t="s">
        <v>1119</v>
      </c>
      <c r="H162" s="13" t="s">
        <v>32</v>
      </c>
      <c r="I162" s="13" t="s">
        <v>762</v>
      </c>
      <c r="J162" s="30" t="s">
        <v>567</v>
      </c>
      <c r="K162" s="2"/>
      <c r="L162" s="2"/>
      <c r="M162" s="2"/>
      <c r="N162" s="2"/>
      <c r="O162" s="2"/>
      <c r="P162" s="2"/>
      <c r="Q162" s="2"/>
      <c r="R162" s="2"/>
      <c r="S162" s="2"/>
      <c r="T162" s="2"/>
      <c r="U162" s="2"/>
      <c r="V162" s="2"/>
      <c r="W162" s="2"/>
      <c r="X162" s="2"/>
      <c r="Y162" s="2"/>
      <c r="Z162" s="2"/>
      <c r="AS162" s="20"/>
    </row>
    <row r="163" spans="1:45" ht="67.95" customHeight="1">
      <c r="A163" s="13" t="s">
        <v>1120</v>
      </c>
      <c r="B163" s="13" t="s">
        <v>1121</v>
      </c>
      <c r="C163" s="13" t="s">
        <v>1122</v>
      </c>
      <c r="D163" s="13" t="s">
        <v>1123</v>
      </c>
      <c r="E163" s="13" t="s">
        <v>1124</v>
      </c>
      <c r="F163" s="13">
        <v>2021</v>
      </c>
      <c r="G163" s="13" t="s">
        <v>1125</v>
      </c>
      <c r="H163" s="13" t="s">
        <v>136</v>
      </c>
      <c r="I163" s="13" t="s">
        <v>762</v>
      </c>
      <c r="J163" s="30" t="s">
        <v>579</v>
      </c>
      <c r="K163" s="2"/>
      <c r="L163" s="2"/>
      <c r="M163" s="2"/>
      <c r="N163" s="2"/>
      <c r="O163" s="2"/>
      <c r="P163" s="2"/>
      <c r="Q163" s="2"/>
      <c r="R163" s="2"/>
      <c r="S163" s="2"/>
      <c r="T163" s="2"/>
      <c r="U163" s="2"/>
      <c r="V163" s="2"/>
      <c r="W163" s="2"/>
      <c r="X163" s="2"/>
      <c r="Y163" s="2"/>
      <c r="Z163" s="2"/>
      <c r="AS163" s="20"/>
    </row>
    <row r="164" spans="1:45" ht="67.95" customHeight="1">
      <c r="A164" s="13" t="s">
        <v>1126</v>
      </c>
      <c r="B164" s="13" t="s">
        <v>1127</v>
      </c>
      <c r="C164" s="13" t="s">
        <v>1128</v>
      </c>
      <c r="D164" s="13" t="s">
        <v>1129</v>
      </c>
      <c r="E164" s="13" t="s">
        <v>1130</v>
      </c>
      <c r="F164" s="13">
        <v>2025</v>
      </c>
      <c r="G164" s="13" t="s">
        <v>1131</v>
      </c>
      <c r="H164" s="13" t="s">
        <v>53</v>
      </c>
      <c r="I164" s="13" t="s">
        <v>762</v>
      </c>
      <c r="J164" s="30" t="s">
        <v>567</v>
      </c>
      <c r="K164" s="2"/>
      <c r="L164" s="2"/>
      <c r="M164" s="2"/>
      <c r="N164" s="2"/>
      <c r="O164" s="2"/>
      <c r="P164" s="2"/>
      <c r="Q164" s="2"/>
      <c r="R164" s="2"/>
      <c r="S164" s="2"/>
      <c r="T164" s="2"/>
      <c r="U164" s="2"/>
      <c r="V164" s="2"/>
      <c r="W164" s="2"/>
      <c r="X164" s="2"/>
      <c r="Y164" s="2"/>
      <c r="Z164" s="2"/>
      <c r="AS164" s="20"/>
    </row>
    <row r="165" spans="1:45" ht="67.95" customHeight="1">
      <c r="A165" s="13" t="s">
        <v>1132</v>
      </c>
      <c r="B165" s="13" t="s">
        <v>1133</v>
      </c>
      <c r="C165" s="13" t="s">
        <v>1134</v>
      </c>
      <c r="D165" s="13" t="s">
        <v>1135</v>
      </c>
      <c r="E165" s="13" t="s">
        <v>1136</v>
      </c>
      <c r="F165" s="13">
        <v>2025</v>
      </c>
      <c r="G165" s="13" t="s">
        <v>670</v>
      </c>
      <c r="H165" s="13" t="s">
        <v>32</v>
      </c>
      <c r="I165" s="13" t="s">
        <v>762</v>
      </c>
      <c r="J165" s="30" t="s">
        <v>567</v>
      </c>
      <c r="K165" s="2"/>
      <c r="L165" s="2"/>
      <c r="M165" s="2"/>
      <c r="N165" s="2"/>
      <c r="O165" s="2"/>
      <c r="P165" s="2"/>
      <c r="Q165" s="2"/>
      <c r="R165" s="2"/>
      <c r="S165" s="2"/>
      <c r="T165" s="2"/>
      <c r="U165" s="2"/>
      <c r="V165" s="2"/>
      <c r="W165" s="2"/>
      <c r="X165" s="2"/>
      <c r="Y165" s="2"/>
      <c r="Z165" s="2"/>
      <c r="AS165" s="20"/>
    </row>
    <row r="166" spans="1:45" ht="67.95" customHeight="1">
      <c r="A166" s="13" t="s">
        <v>1137</v>
      </c>
      <c r="B166" s="13" t="s">
        <v>1138</v>
      </c>
      <c r="C166" s="13" t="s">
        <v>1139</v>
      </c>
      <c r="D166" s="13" t="s">
        <v>1140</v>
      </c>
      <c r="E166" s="13" t="s">
        <v>1141</v>
      </c>
      <c r="F166" s="13">
        <v>2024</v>
      </c>
      <c r="G166" s="13" t="s">
        <v>1142</v>
      </c>
      <c r="H166" s="13" t="s">
        <v>136</v>
      </c>
      <c r="I166" s="13" t="s">
        <v>762</v>
      </c>
      <c r="J166" s="30" t="s">
        <v>536</v>
      </c>
      <c r="K166" s="2"/>
      <c r="L166" s="2"/>
      <c r="M166" s="2"/>
      <c r="N166" s="2"/>
      <c r="O166" s="2"/>
      <c r="P166" s="2"/>
      <c r="Q166" s="2"/>
      <c r="R166" s="2"/>
      <c r="S166" s="2"/>
      <c r="T166" s="2"/>
      <c r="U166" s="2"/>
      <c r="V166" s="2"/>
      <c r="W166" s="2"/>
      <c r="X166" s="2"/>
      <c r="Y166" s="2"/>
      <c r="Z166" s="2"/>
      <c r="AS166" s="20"/>
    </row>
    <row r="167" spans="1:45" ht="67.95" customHeight="1">
      <c r="A167" s="13" t="s">
        <v>1143</v>
      </c>
      <c r="B167" s="13" t="s">
        <v>1144</v>
      </c>
      <c r="C167" s="13" t="s">
        <v>1145</v>
      </c>
      <c r="D167" s="13" t="s">
        <v>1146</v>
      </c>
      <c r="E167" s="13" t="s">
        <v>1147</v>
      </c>
      <c r="F167" s="13">
        <v>2025</v>
      </c>
      <c r="G167" s="13" t="s">
        <v>1148</v>
      </c>
      <c r="H167" s="13" t="s">
        <v>32</v>
      </c>
      <c r="I167" s="13" t="s">
        <v>762</v>
      </c>
      <c r="J167" s="30" t="s">
        <v>579</v>
      </c>
      <c r="K167" s="2"/>
      <c r="L167" s="2"/>
      <c r="M167" s="2"/>
      <c r="N167" s="2"/>
      <c r="O167" s="2"/>
      <c r="P167" s="2"/>
      <c r="Q167" s="2"/>
      <c r="R167" s="2"/>
      <c r="S167" s="2"/>
      <c r="T167" s="2"/>
      <c r="U167" s="2"/>
      <c r="V167" s="2"/>
      <c r="W167" s="2"/>
      <c r="X167" s="2"/>
      <c r="Y167" s="2"/>
      <c r="Z167" s="2"/>
      <c r="AS167" s="20"/>
    </row>
    <row r="168" spans="1:45" ht="67.95" customHeight="1">
      <c r="A168" s="13" t="s">
        <v>1149</v>
      </c>
      <c r="B168" s="13" t="s">
        <v>1150</v>
      </c>
      <c r="C168" s="13" t="s">
        <v>1151</v>
      </c>
      <c r="D168" s="13" t="s">
        <v>1152</v>
      </c>
      <c r="E168" s="13" t="s">
        <v>1153</v>
      </c>
      <c r="F168" s="13">
        <v>2020</v>
      </c>
      <c r="G168" s="13" t="s">
        <v>65</v>
      </c>
      <c r="H168" s="13" t="s">
        <v>32</v>
      </c>
      <c r="I168" s="13" t="s">
        <v>762</v>
      </c>
      <c r="J168" s="30" t="s">
        <v>567</v>
      </c>
      <c r="K168" s="2"/>
      <c r="L168" s="2"/>
      <c r="M168" s="2"/>
      <c r="N168" s="2"/>
      <c r="O168" s="2"/>
      <c r="P168" s="2"/>
      <c r="Q168" s="2"/>
      <c r="R168" s="2"/>
      <c r="S168" s="2"/>
      <c r="T168" s="2"/>
      <c r="U168" s="2"/>
      <c r="V168" s="2"/>
      <c r="W168" s="2"/>
      <c r="X168" s="2"/>
      <c r="Y168" s="2"/>
      <c r="Z168" s="2"/>
      <c r="AS168" s="20"/>
    </row>
    <row r="169" spans="1:45" ht="67.95" customHeight="1">
      <c r="A169" s="13" t="s">
        <v>1154</v>
      </c>
      <c r="B169" s="13" t="s">
        <v>1155</v>
      </c>
      <c r="C169" s="13" t="s">
        <v>1156</v>
      </c>
      <c r="D169" s="13" t="s">
        <v>1157</v>
      </c>
      <c r="E169" s="13" t="s">
        <v>1158</v>
      </c>
      <c r="F169" s="13">
        <v>2025</v>
      </c>
      <c r="G169" s="13" t="s">
        <v>813</v>
      </c>
      <c r="H169" s="13" t="s">
        <v>32</v>
      </c>
      <c r="I169" s="13" t="s">
        <v>762</v>
      </c>
      <c r="J169" s="30" t="s">
        <v>536</v>
      </c>
      <c r="K169" s="2"/>
      <c r="L169" s="2"/>
      <c r="M169" s="2"/>
      <c r="N169" s="2"/>
      <c r="O169" s="2"/>
      <c r="P169" s="2"/>
      <c r="Q169" s="2"/>
      <c r="R169" s="2"/>
      <c r="S169" s="2"/>
      <c r="T169" s="2"/>
      <c r="U169" s="2"/>
      <c r="V169" s="2"/>
      <c r="W169" s="2"/>
      <c r="X169" s="2"/>
      <c r="Y169" s="2"/>
      <c r="Z169" s="2"/>
      <c r="AS169" s="20"/>
    </row>
    <row r="170" spans="1:45" ht="67.95" customHeight="1">
      <c r="A170" s="13" t="s">
        <v>1159</v>
      </c>
      <c r="B170" s="13" t="s">
        <v>1160</v>
      </c>
      <c r="C170" s="13" t="s">
        <v>1161</v>
      </c>
      <c r="D170" s="13" t="s">
        <v>1162</v>
      </c>
      <c r="E170" s="13" t="s">
        <v>1163</v>
      </c>
      <c r="F170" s="13">
        <v>2025</v>
      </c>
      <c r="G170" s="13" t="s">
        <v>1164</v>
      </c>
      <c r="H170" s="13" t="s">
        <v>53</v>
      </c>
      <c r="I170" s="13" t="s">
        <v>762</v>
      </c>
      <c r="J170" s="30" t="s">
        <v>567</v>
      </c>
      <c r="K170" s="2"/>
      <c r="L170" s="2"/>
      <c r="M170" s="2"/>
      <c r="N170" s="2"/>
      <c r="O170" s="2"/>
      <c r="P170" s="2"/>
      <c r="Q170" s="2"/>
      <c r="R170" s="2"/>
      <c r="S170" s="2"/>
      <c r="T170" s="2"/>
      <c r="U170" s="2"/>
      <c r="V170" s="2"/>
      <c r="W170" s="2"/>
      <c r="X170" s="2"/>
      <c r="Y170" s="2"/>
      <c r="Z170" s="2"/>
      <c r="AS170" s="20"/>
    </row>
    <row r="171" spans="1:45" ht="67.95" customHeight="1">
      <c r="A171" s="13" t="s">
        <v>1165</v>
      </c>
      <c r="B171" s="13" t="s">
        <v>1166</v>
      </c>
      <c r="C171" s="13" t="s">
        <v>1167</v>
      </c>
      <c r="D171" s="13" t="s">
        <v>1168</v>
      </c>
      <c r="E171" s="13" t="s">
        <v>1169</v>
      </c>
      <c r="F171" s="13">
        <v>2025</v>
      </c>
      <c r="G171" s="13" t="s">
        <v>1170</v>
      </c>
      <c r="H171" s="13" t="s">
        <v>32</v>
      </c>
      <c r="I171" s="13" t="s">
        <v>762</v>
      </c>
      <c r="J171" s="30" t="s">
        <v>658</v>
      </c>
      <c r="K171" s="2"/>
      <c r="L171" s="2"/>
      <c r="M171" s="2"/>
      <c r="N171" s="2"/>
      <c r="O171" s="2"/>
      <c r="P171" s="2"/>
      <c r="Q171" s="2"/>
      <c r="R171" s="2"/>
      <c r="S171" s="2"/>
      <c r="T171" s="2"/>
      <c r="U171" s="2"/>
      <c r="V171" s="2"/>
      <c r="W171" s="2"/>
      <c r="X171" s="2"/>
      <c r="Y171" s="2"/>
      <c r="Z171" s="2"/>
      <c r="AS171" s="20"/>
    </row>
    <row r="172" spans="1:45" ht="67.95" customHeight="1">
      <c r="A172" s="13" t="s">
        <v>1171</v>
      </c>
      <c r="B172" s="13" t="s">
        <v>1172</v>
      </c>
      <c r="C172" s="13" t="s">
        <v>1173</v>
      </c>
      <c r="D172" s="13" t="s">
        <v>1174</v>
      </c>
      <c r="E172" s="13" t="s">
        <v>51</v>
      </c>
      <c r="F172" s="13">
        <v>2019</v>
      </c>
      <c r="G172" s="13" t="s">
        <v>1175</v>
      </c>
      <c r="H172" s="13" t="s">
        <v>136</v>
      </c>
      <c r="I172" s="13" t="s">
        <v>762</v>
      </c>
      <c r="J172" s="30" t="s">
        <v>567</v>
      </c>
      <c r="K172" s="2"/>
      <c r="L172" s="2"/>
      <c r="M172" s="2"/>
      <c r="N172" s="2"/>
      <c r="O172" s="2"/>
      <c r="P172" s="2"/>
      <c r="Q172" s="2"/>
      <c r="R172" s="2"/>
      <c r="S172" s="2"/>
      <c r="T172" s="2"/>
      <c r="U172" s="2"/>
      <c r="V172" s="2"/>
      <c r="W172" s="2"/>
      <c r="X172" s="2"/>
      <c r="Y172" s="2"/>
      <c r="Z172" s="2"/>
      <c r="AS172" s="20"/>
    </row>
    <row r="173" spans="1:45" ht="67.95" customHeight="1">
      <c r="A173" s="13" t="s">
        <v>1176</v>
      </c>
      <c r="B173" s="13" t="s">
        <v>1177</v>
      </c>
      <c r="C173" s="13" t="s">
        <v>1178</v>
      </c>
      <c r="D173" s="13" t="s">
        <v>1179</v>
      </c>
      <c r="E173" s="13" t="s">
        <v>51</v>
      </c>
      <c r="F173" s="13">
        <v>2021</v>
      </c>
      <c r="G173" s="13" t="s">
        <v>1180</v>
      </c>
      <c r="H173" s="13" t="s">
        <v>53</v>
      </c>
      <c r="I173" s="13" t="s">
        <v>762</v>
      </c>
      <c r="J173" s="30" t="s">
        <v>536</v>
      </c>
      <c r="K173" s="2"/>
      <c r="L173" s="2"/>
      <c r="M173" s="2"/>
      <c r="N173" s="2"/>
      <c r="O173" s="2"/>
      <c r="P173" s="2"/>
      <c r="Q173" s="2"/>
      <c r="R173" s="2"/>
      <c r="S173" s="2"/>
      <c r="T173" s="2"/>
      <c r="U173" s="2"/>
      <c r="V173" s="2"/>
      <c r="W173" s="2"/>
      <c r="X173" s="2"/>
      <c r="Y173" s="2"/>
      <c r="Z173" s="2"/>
      <c r="AS173" s="20"/>
    </row>
    <row r="174" spans="1:45" ht="67.95" customHeight="1">
      <c r="A174" s="13" t="s">
        <v>1181</v>
      </c>
      <c r="B174" s="13" t="s">
        <v>1182</v>
      </c>
      <c r="C174" s="13" t="s">
        <v>1183</v>
      </c>
      <c r="D174" s="13" t="s">
        <v>1184</v>
      </c>
      <c r="E174" s="13" t="s">
        <v>1185</v>
      </c>
      <c r="F174" s="13">
        <v>2019</v>
      </c>
      <c r="G174" s="13" t="s">
        <v>1186</v>
      </c>
      <c r="H174" s="13" t="s">
        <v>53</v>
      </c>
      <c r="I174" s="13" t="s">
        <v>762</v>
      </c>
      <c r="J174" s="30" t="s">
        <v>536</v>
      </c>
      <c r="K174" s="2"/>
      <c r="L174" s="2"/>
      <c r="M174" s="2"/>
      <c r="N174" s="2"/>
      <c r="O174" s="2"/>
      <c r="P174" s="2"/>
      <c r="Q174" s="2"/>
      <c r="R174" s="2"/>
      <c r="S174" s="2"/>
      <c r="T174" s="2"/>
      <c r="U174" s="2"/>
      <c r="V174" s="2"/>
      <c r="W174" s="2"/>
      <c r="X174" s="2"/>
      <c r="Y174" s="2"/>
      <c r="Z174" s="2"/>
      <c r="AS174" s="20"/>
    </row>
    <row r="175" spans="1:45" ht="67.95" customHeight="1">
      <c r="A175" s="13" t="s">
        <v>1187</v>
      </c>
      <c r="B175" s="13" t="s">
        <v>1188</v>
      </c>
      <c r="C175" s="13" t="s">
        <v>1189</v>
      </c>
      <c r="D175" s="13" t="s">
        <v>1190</v>
      </c>
      <c r="E175" s="13" t="s">
        <v>1191</v>
      </c>
      <c r="F175" s="13">
        <v>2020</v>
      </c>
      <c r="G175" s="13" t="s">
        <v>682</v>
      </c>
      <c r="H175" s="13" t="s">
        <v>32</v>
      </c>
      <c r="I175" s="13" t="s">
        <v>762</v>
      </c>
      <c r="J175" s="30" t="s">
        <v>882</v>
      </c>
      <c r="K175" s="2"/>
      <c r="L175" s="2"/>
      <c r="M175" s="2"/>
      <c r="N175" s="2"/>
      <c r="O175" s="2"/>
      <c r="P175" s="2"/>
      <c r="Q175" s="2"/>
      <c r="R175" s="2"/>
      <c r="S175" s="2"/>
      <c r="T175" s="2"/>
      <c r="U175" s="2"/>
      <c r="V175" s="2"/>
      <c r="W175" s="2"/>
      <c r="X175" s="2"/>
      <c r="Y175" s="2"/>
      <c r="Z175" s="2"/>
      <c r="AS175" s="20"/>
    </row>
    <row r="176" spans="1:45" ht="67.95" customHeight="1">
      <c r="A176" s="13" t="s">
        <v>1192</v>
      </c>
      <c r="B176" s="13" t="s">
        <v>1193</v>
      </c>
      <c r="C176" s="13" t="s">
        <v>1194</v>
      </c>
      <c r="D176" s="13" t="s">
        <v>1195</v>
      </c>
      <c r="E176" s="13" t="s">
        <v>51</v>
      </c>
      <c r="F176" s="13">
        <v>2020</v>
      </c>
      <c r="G176" s="13" t="s">
        <v>1180</v>
      </c>
      <c r="H176" s="13" t="s">
        <v>53</v>
      </c>
      <c r="I176" s="13" t="s">
        <v>762</v>
      </c>
      <c r="J176" s="30" t="s">
        <v>536</v>
      </c>
      <c r="K176" s="2"/>
      <c r="L176" s="2"/>
      <c r="M176" s="2"/>
      <c r="N176" s="2"/>
      <c r="O176" s="2"/>
      <c r="P176" s="2"/>
      <c r="Q176" s="2"/>
      <c r="R176" s="2"/>
      <c r="S176" s="2"/>
      <c r="T176" s="2"/>
      <c r="U176" s="2"/>
      <c r="V176" s="2"/>
      <c r="W176" s="2"/>
      <c r="X176" s="2"/>
      <c r="Y176" s="2"/>
      <c r="Z176" s="2"/>
      <c r="AS176" s="20"/>
    </row>
    <row r="177" spans="1:45" ht="67.95" customHeight="1">
      <c r="A177" s="13" t="s">
        <v>1196</v>
      </c>
      <c r="B177" s="13" t="s">
        <v>1197</v>
      </c>
      <c r="C177" s="13" t="s">
        <v>1198</v>
      </c>
      <c r="D177" s="13" t="s">
        <v>1199</v>
      </c>
      <c r="E177" s="13" t="s">
        <v>1200</v>
      </c>
      <c r="F177" s="13">
        <v>2023</v>
      </c>
      <c r="G177" s="13" t="s">
        <v>1201</v>
      </c>
      <c r="H177" s="13" t="s">
        <v>32</v>
      </c>
      <c r="I177" s="13" t="s">
        <v>762</v>
      </c>
      <c r="J177" s="30" t="s">
        <v>536</v>
      </c>
      <c r="K177" s="2"/>
      <c r="L177" s="2"/>
      <c r="M177" s="2"/>
      <c r="N177" s="2"/>
      <c r="O177" s="2"/>
      <c r="P177" s="2"/>
      <c r="Q177" s="2"/>
      <c r="R177" s="2"/>
      <c r="S177" s="2"/>
      <c r="T177" s="2"/>
      <c r="U177" s="2"/>
      <c r="V177" s="2"/>
      <c r="W177" s="2"/>
      <c r="X177" s="2"/>
      <c r="Y177" s="2"/>
      <c r="Z177" s="2"/>
      <c r="AS177" s="20"/>
    </row>
    <row r="178" spans="1:45" ht="67.95" customHeight="1">
      <c r="A178" s="13" t="s">
        <v>1202</v>
      </c>
      <c r="B178" s="13" t="s">
        <v>1203</v>
      </c>
      <c r="C178" s="13" t="s">
        <v>1204</v>
      </c>
      <c r="D178" s="13" t="s">
        <v>1205</v>
      </c>
      <c r="E178" s="13" t="s">
        <v>1206</v>
      </c>
      <c r="F178" s="13">
        <v>2023</v>
      </c>
      <c r="G178" s="13" t="s">
        <v>1207</v>
      </c>
      <c r="H178" s="13" t="s">
        <v>32</v>
      </c>
      <c r="I178" s="13" t="s">
        <v>762</v>
      </c>
      <c r="J178" s="30" t="s">
        <v>646</v>
      </c>
      <c r="K178" s="2"/>
      <c r="L178" s="2"/>
      <c r="M178" s="2"/>
      <c r="N178" s="2"/>
      <c r="O178" s="2"/>
      <c r="P178" s="2"/>
      <c r="Q178" s="2"/>
      <c r="R178" s="2"/>
      <c r="S178" s="2"/>
      <c r="T178" s="2"/>
      <c r="U178" s="2"/>
      <c r="V178" s="2"/>
      <c r="W178" s="2"/>
      <c r="X178" s="2"/>
      <c r="Y178" s="2"/>
      <c r="Z178" s="2"/>
      <c r="AS178" s="20"/>
    </row>
    <row r="179" spans="1:45" ht="67.95" customHeight="1">
      <c r="A179" s="13" t="s">
        <v>1208</v>
      </c>
      <c r="B179" s="13" t="s">
        <v>1209</v>
      </c>
      <c r="C179" s="13" t="s">
        <v>1210</v>
      </c>
      <c r="D179" s="13" t="s">
        <v>1211</v>
      </c>
      <c r="E179" s="13" t="s">
        <v>1212</v>
      </c>
      <c r="F179" s="13">
        <v>2024</v>
      </c>
      <c r="G179" s="13" t="s">
        <v>555</v>
      </c>
      <c r="H179" s="13" t="s">
        <v>53</v>
      </c>
      <c r="I179" s="13" t="s">
        <v>762</v>
      </c>
      <c r="J179" s="30" t="s">
        <v>579</v>
      </c>
      <c r="K179" s="2"/>
      <c r="L179" s="2"/>
      <c r="M179" s="2"/>
      <c r="N179" s="2"/>
      <c r="O179" s="2"/>
      <c r="P179" s="2"/>
      <c r="Q179" s="2"/>
      <c r="R179" s="2"/>
      <c r="S179" s="2"/>
      <c r="T179" s="2"/>
      <c r="U179" s="2"/>
      <c r="V179" s="2"/>
      <c r="W179" s="2"/>
      <c r="X179" s="2"/>
      <c r="Y179" s="2"/>
      <c r="Z179" s="2"/>
      <c r="AS179" s="20"/>
    </row>
    <row r="180" spans="1:45" ht="67.95" customHeight="1">
      <c r="A180" s="13" t="s">
        <v>1213</v>
      </c>
      <c r="B180" s="13" t="s">
        <v>1214</v>
      </c>
      <c r="C180" s="13" t="s">
        <v>1215</v>
      </c>
      <c r="D180" s="13" t="s">
        <v>1216</v>
      </c>
      <c r="E180" s="13" t="s">
        <v>1217</v>
      </c>
      <c r="F180" s="13">
        <v>2016</v>
      </c>
      <c r="G180" s="13" t="s">
        <v>1218</v>
      </c>
      <c r="H180" s="13" t="s">
        <v>53</v>
      </c>
      <c r="I180" s="13" t="s">
        <v>762</v>
      </c>
      <c r="J180" s="30" t="s">
        <v>536</v>
      </c>
      <c r="K180" s="2"/>
      <c r="L180" s="2"/>
      <c r="M180" s="2"/>
      <c r="N180" s="2"/>
      <c r="O180" s="2"/>
      <c r="P180" s="2"/>
      <c r="Q180" s="2"/>
      <c r="R180" s="2"/>
      <c r="S180" s="2"/>
      <c r="T180" s="2"/>
      <c r="U180" s="2"/>
      <c r="V180" s="2"/>
      <c r="W180" s="2"/>
      <c r="X180" s="2"/>
      <c r="Y180" s="2"/>
      <c r="Z180" s="2"/>
      <c r="AS180" s="20"/>
    </row>
    <row r="181" spans="1:45" ht="67.95" customHeight="1">
      <c r="A181" s="13" t="s">
        <v>1219</v>
      </c>
      <c r="B181" s="13" t="s">
        <v>1220</v>
      </c>
      <c r="C181" s="13" t="s">
        <v>1221</v>
      </c>
      <c r="D181" s="13" t="s">
        <v>1222</v>
      </c>
      <c r="E181" s="13" t="s">
        <v>51</v>
      </c>
      <c r="F181" s="13">
        <v>2025</v>
      </c>
      <c r="G181" s="13" t="s">
        <v>688</v>
      </c>
      <c r="H181" s="13" t="s">
        <v>32</v>
      </c>
      <c r="I181" s="13" t="s">
        <v>762</v>
      </c>
      <c r="J181" s="30" t="s">
        <v>567</v>
      </c>
      <c r="K181" s="2"/>
      <c r="L181" s="2"/>
      <c r="M181" s="2"/>
      <c r="N181" s="2"/>
      <c r="O181" s="2"/>
      <c r="P181" s="2"/>
      <c r="Q181" s="2"/>
      <c r="R181" s="2"/>
      <c r="S181" s="2"/>
      <c r="T181" s="2"/>
      <c r="U181" s="2"/>
      <c r="V181" s="2"/>
      <c r="W181" s="2"/>
      <c r="X181" s="2"/>
      <c r="Y181" s="2"/>
      <c r="Z181" s="2"/>
      <c r="AS181" s="20"/>
    </row>
    <row r="182" spans="1:45" ht="67.95" customHeight="1">
      <c r="A182" s="13" t="s">
        <v>1223</v>
      </c>
      <c r="B182" s="13" t="s">
        <v>1224</v>
      </c>
      <c r="C182" s="13" t="s">
        <v>1225</v>
      </c>
      <c r="D182" s="13" t="s">
        <v>1226</v>
      </c>
      <c r="E182" s="13" t="s">
        <v>1227</v>
      </c>
      <c r="F182" s="13">
        <v>2025</v>
      </c>
      <c r="G182" s="13" t="s">
        <v>1228</v>
      </c>
      <c r="H182" s="13" t="s">
        <v>53</v>
      </c>
      <c r="I182" s="13" t="s">
        <v>762</v>
      </c>
      <c r="J182" s="30" t="s">
        <v>536</v>
      </c>
      <c r="K182" s="2"/>
      <c r="L182" s="2"/>
      <c r="M182" s="2"/>
      <c r="N182" s="2"/>
      <c r="O182" s="2"/>
      <c r="P182" s="2"/>
      <c r="Q182" s="2"/>
      <c r="R182" s="2"/>
      <c r="S182" s="2"/>
      <c r="T182" s="2"/>
      <c r="U182" s="2"/>
      <c r="V182" s="2"/>
      <c r="W182" s="2"/>
      <c r="X182" s="2"/>
      <c r="Y182" s="2"/>
      <c r="Z182" s="2"/>
      <c r="AS182" s="20"/>
    </row>
    <row r="183" spans="1:45" ht="67.95" customHeight="1">
      <c r="A183" s="13" t="s">
        <v>1229</v>
      </c>
      <c r="B183" s="13" t="s">
        <v>1230</v>
      </c>
      <c r="C183" s="13" t="s">
        <v>1231</v>
      </c>
      <c r="D183" s="13" t="s">
        <v>1232</v>
      </c>
      <c r="E183" s="13" t="s">
        <v>1233</v>
      </c>
      <c r="F183" s="13">
        <v>2024</v>
      </c>
      <c r="G183" s="13" t="s">
        <v>688</v>
      </c>
      <c r="H183" s="13" t="s">
        <v>32</v>
      </c>
      <c r="I183" s="13" t="s">
        <v>762</v>
      </c>
      <c r="J183" s="30" t="s">
        <v>567</v>
      </c>
      <c r="K183" s="2"/>
      <c r="L183" s="2"/>
      <c r="M183" s="2"/>
      <c r="N183" s="2"/>
      <c r="O183" s="2"/>
      <c r="P183" s="2"/>
      <c r="Q183" s="2"/>
      <c r="R183" s="2"/>
      <c r="S183" s="2"/>
      <c r="T183" s="2"/>
      <c r="U183" s="2"/>
      <c r="V183" s="2"/>
      <c r="W183" s="2"/>
      <c r="X183" s="2"/>
      <c r="Y183" s="2"/>
      <c r="Z183" s="2"/>
      <c r="AS183" s="20"/>
    </row>
    <row r="184" spans="1:45" ht="67.95" customHeight="1">
      <c r="A184" s="13" t="s">
        <v>1234</v>
      </c>
      <c r="B184" s="13" t="s">
        <v>1235</v>
      </c>
      <c r="C184" s="13" t="s">
        <v>1236</v>
      </c>
      <c r="D184" s="13" t="s">
        <v>1237</v>
      </c>
      <c r="E184" s="13" t="s">
        <v>1238</v>
      </c>
      <c r="F184" s="13">
        <v>2018</v>
      </c>
      <c r="G184" s="13" t="s">
        <v>688</v>
      </c>
      <c r="H184" s="13" t="s">
        <v>32</v>
      </c>
      <c r="I184" s="13" t="s">
        <v>762</v>
      </c>
      <c r="J184" s="30" t="s">
        <v>567</v>
      </c>
      <c r="K184" s="2"/>
      <c r="L184" s="2"/>
      <c r="M184" s="2"/>
      <c r="N184" s="2"/>
      <c r="O184" s="2"/>
      <c r="P184" s="2"/>
      <c r="Q184" s="2"/>
      <c r="R184" s="2"/>
      <c r="S184" s="2"/>
      <c r="T184" s="2"/>
      <c r="U184" s="2"/>
      <c r="V184" s="2"/>
      <c r="W184" s="2"/>
      <c r="X184" s="2"/>
      <c r="Y184" s="2"/>
      <c r="Z184" s="2"/>
      <c r="AS184" s="20"/>
    </row>
    <row r="185" spans="1:45" ht="67.95" customHeight="1">
      <c r="A185" s="13" t="s">
        <v>1239</v>
      </c>
      <c r="B185" s="13" t="s">
        <v>1240</v>
      </c>
      <c r="C185" s="13" t="s">
        <v>1241</v>
      </c>
      <c r="D185" s="13" t="s">
        <v>1242</v>
      </c>
      <c r="E185" s="13" t="s">
        <v>51</v>
      </c>
      <c r="F185" s="13">
        <v>2025</v>
      </c>
      <c r="G185" s="13" t="s">
        <v>74</v>
      </c>
      <c r="H185" s="13" t="s">
        <v>53</v>
      </c>
      <c r="I185" s="13" t="s">
        <v>762</v>
      </c>
      <c r="J185" s="30" t="s">
        <v>567</v>
      </c>
      <c r="K185" s="2"/>
      <c r="L185" s="2"/>
      <c r="M185" s="2"/>
      <c r="N185" s="2"/>
      <c r="O185" s="2"/>
      <c r="P185" s="2"/>
      <c r="Q185" s="2"/>
      <c r="R185" s="2"/>
      <c r="S185" s="2"/>
      <c r="T185" s="2"/>
      <c r="U185" s="2"/>
      <c r="V185" s="2"/>
      <c r="W185" s="2"/>
      <c r="X185" s="2"/>
      <c r="Y185" s="2"/>
      <c r="Z185" s="2"/>
      <c r="AS185" s="20"/>
    </row>
    <row r="186" spans="1:45" ht="67.95" customHeight="1">
      <c r="A186" s="13" t="s">
        <v>1243</v>
      </c>
      <c r="B186" s="13" t="s">
        <v>1244</v>
      </c>
      <c r="C186" s="13" t="s">
        <v>1245</v>
      </c>
      <c r="D186" s="13" t="s">
        <v>1246</v>
      </c>
      <c r="E186" s="13" t="s">
        <v>51</v>
      </c>
      <c r="F186" s="13">
        <v>2022</v>
      </c>
      <c r="G186" s="13" t="s">
        <v>1247</v>
      </c>
      <c r="H186" s="13" t="s">
        <v>32</v>
      </c>
      <c r="I186" s="13" t="s">
        <v>762</v>
      </c>
      <c r="J186" s="30" t="s">
        <v>567</v>
      </c>
      <c r="K186" s="2"/>
      <c r="L186" s="2"/>
      <c r="M186" s="2"/>
      <c r="N186" s="2"/>
      <c r="O186" s="2"/>
      <c r="P186" s="2"/>
      <c r="Q186" s="2"/>
      <c r="R186" s="2"/>
      <c r="S186" s="2"/>
      <c r="T186" s="2"/>
      <c r="U186" s="2"/>
      <c r="V186" s="2"/>
      <c r="W186" s="2"/>
      <c r="X186" s="2"/>
      <c r="Y186" s="2"/>
      <c r="Z186" s="2"/>
      <c r="AS186" s="20"/>
    </row>
    <row r="187" spans="1:45" ht="67.95" customHeight="1">
      <c r="A187" s="13" t="s">
        <v>1248</v>
      </c>
      <c r="B187" s="13" t="s">
        <v>1249</v>
      </c>
      <c r="C187" s="13" t="s">
        <v>1250</v>
      </c>
      <c r="D187" s="13" t="s">
        <v>1251</v>
      </c>
      <c r="E187" s="13" t="s">
        <v>1252</v>
      </c>
      <c r="F187" s="13">
        <v>2017</v>
      </c>
      <c r="G187" s="13" t="s">
        <v>1253</v>
      </c>
      <c r="H187" s="13" t="s">
        <v>32</v>
      </c>
      <c r="I187" s="13" t="s">
        <v>762</v>
      </c>
      <c r="J187" s="30" t="s">
        <v>567</v>
      </c>
      <c r="K187" s="2"/>
      <c r="L187" s="2"/>
      <c r="M187" s="2"/>
      <c r="N187" s="2"/>
      <c r="O187" s="2"/>
      <c r="P187" s="2"/>
      <c r="Q187" s="2"/>
      <c r="R187" s="2"/>
      <c r="S187" s="2"/>
      <c r="T187" s="2"/>
      <c r="U187" s="2"/>
      <c r="V187" s="2"/>
      <c r="W187" s="2"/>
      <c r="X187" s="2"/>
      <c r="Y187" s="2"/>
      <c r="Z187" s="2"/>
      <c r="AS187" s="20"/>
    </row>
    <row r="188" spans="1:45" ht="67.95" customHeight="1">
      <c r="A188" s="13" t="s">
        <v>1254</v>
      </c>
      <c r="B188" s="13" t="s">
        <v>1255</v>
      </c>
      <c r="C188" s="13" t="s">
        <v>1256</v>
      </c>
      <c r="D188" s="13" t="s">
        <v>1257</v>
      </c>
      <c r="E188" s="13" t="s">
        <v>1258</v>
      </c>
      <c r="F188" s="13">
        <v>2022</v>
      </c>
      <c r="G188" s="13" t="s">
        <v>615</v>
      </c>
      <c r="H188" s="13" t="s">
        <v>32</v>
      </c>
      <c r="I188" s="13" t="s">
        <v>762</v>
      </c>
      <c r="J188" s="30" t="s">
        <v>567</v>
      </c>
      <c r="K188" s="2"/>
      <c r="L188" s="2"/>
      <c r="M188" s="2"/>
      <c r="N188" s="2"/>
      <c r="O188" s="2"/>
      <c r="P188" s="2"/>
      <c r="Q188" s="2"/>
      <c r="R188" s="2"/>
      <c r="S188" s="2"/>
      <c r="T188" s="2"/>
      <c r="U188" s="2"/>
      <c r="V188" s="2"/>
      <c r="W188" s="2"/>
      <c r="X188" s="2"/>
      <c r="Y188" s="2"/>
      <c r="Z188" s="2"/>
      <c r="AS188" s="20"/>
    </row>
    <row r="189" spans="1:45" ht="67.95" customHeight="1">
      <c r="A189" s="13" t="s">
        <v>1259</v>
      </c>
      <c r="B189" s="13" t="s">
        <v>1260</v>
      </c>
      <c r="C189" s="13" t="s">
        <v>1261</v>
      </c>
      <c r="D189" s="13" t="s">
        <v>1262</v>
      </c>
      <c r="E189" s="13" t="s">
        <v>51</v>
      </c>
      <c r="F189" s="13">
        <v>2024</v>
      </c>
      <c r="G189" s="13" t="s">
        <v>1263</v>
      </c>
      <c r="H189" s="13" t="s">
        <v>53</v>
      </c>
      <c r="I189" s="13" t="s">
        <v>762</v>
      </c>
      <c r="J189" s="30" t="s">
        <v>567</v>
      </c>
      <c r="K189" s="2"/>
      <c r="L189" s="2"/>
      <c r="M189" s="2"/>
      <c r="N189" s="2"/>
      <c r="O189" s="2"/>
      <c r="P189" s="2"/>
      <c r="Q189" s="2"/>
      <c r="R189" s="2"/>
      <c r="S189" s="2"/>
      <c r="T189" s="2"/>
      <c r="U189" s="2"/>
      <c r="V189" s="2"/>
      <c r="W189" s="2"/>
      <c r="X189" s="2"/>
      <c r="Y189" s="2"/>
      <c r="Z189" s="2"/>
      <c r="AS189" s="20"/>
    </row>
    <row r="190" spans="1:45" ht="67.95" customHeight="1">
      <c r="A190" s="13" t="s">
        <v>1264</v>
      </c>
      <c r="B190" s="13" t="s">
        <v>1265</v>
      </c>
      <c r="C190" s="13" t="s">
        <v>1266</v>
      </c>
      <c r="D190" s="13" t="s">
        <v>1267</v>
      </c>
      <c r="E190" s="13" t="s">
        <v>1268</v>
      </c>
      <c r="F190" s="13">
        <v>2019</v>
      </c>
      <c r="G190" s="13" t="s">
        <v>1269</v>
      </c>
      <c r="H190" s="13" t="s">
        <v>32</v>
      </c>
      <c r="I190" s="13" t="s">
        <v>762</v>
      </c>
      <c r="J190" s="30" t="s">
        <v>567</v>
      </c>
      <c r="K190" s="2"/>
      <c r="L190" s="2"/>
      <c r="M190" s="2"/>
      <c r="N190" s="2"/>
      <c r="O190" s="2"/>
      <c r="P190" s="2"/>
      <c r="Q190" s="2"/>
      <c r="R190" s="2"/>
      <c r="S190" s="2"/>
      <c r="T190" s="2"/>
      <c r="U190" s="2"/>
      <c r="V190" s="2"/>
      <c r="W190" s="2"/>
      <c r="X190" s="2"/>
      <c r="Y190" s="2"/>
      <c r="Z190" s="2"/>
      <c r="AS190" s="20"/>
    </row>
    <row r="191" spans="1:45" ht="67.95" customHeight="1">
      <c r="A191" s="13" t="s">
        <v>1270</v>
      </c>
      <c r="B191" s="13" t="s">
        <v>581</v>
      </c>
      <c r="C191" s="13" t="s">
        <v>1271</v>
      </c>
      <c r="D191" s="13" t="s">
        <v>1272</v>
      </c>
      <c r="E191" s="13" t="s">
        <v>1273</v>
      </c>
      <c r="F191" s="13">
        <v>2025</v>
      </c>
      <c r="G191" s="13" t="s">
        <v>1274</v>
      </c>
      <c r="H191" s="13" t="s">
        <v>32</v>
      </c>
      <c r="I191" s="13" t="s">
        <v>762</v>
      </c>
      <c r="J191" s="30" t="s">
        <v>536</v>
      </c>
      <c r="K191" s="2"/>
      <c r="L191" s="2"/>
      <c r="M191" s="2"/>
      <c r="N191" s="2"/>
      <c r="O191" s="2"/>
      <c r="P191" s="2"/>
      <c r="Q191" s="2"/>
      <c r="R191" s="2"/>
      <c r="S191" s="2"/>
      <c r="T191" s="2"/>
      <c r="U191" s="2"/>
      <c r="V191" s="2"/>
      <c r="W191" s="2"/>
      <c r="X191" s="2"/>
      <c r="Y191" s="2"/>
      <c r="Z191" s="2"/>
      <c r="AS191" s="20"/>
    </row>
    <row r="192" spans="1:45" ht="67.95" customHeight="1">
      <c r="A192" s="13" t="s">
        <v>1275</v>
      </c>
      <c r="B192" s="13" t="s">
        <v>1276</v>
      </c>
      <c r="C192" s="13" t="s">
        <v>1277</v>
      </c>
      <c r="D192" s="13" t="s">
        <v>1278</v>
      </c>
      <c r="E192" s="13" t="s">
        <v>1279</v>
      </c>
      <c r="F192" s="13">
        <v>2018</v>
      </c>
      <c r="G192" s="13" t="s">
        <v>694</v>
      </c>
      <c r="H192" s="13" t="s">
        <v>32</v>
      </c>
      <c r="I192" s="13" t="s">
        <v>762</v>
      </c>
      <c r="J192" s="30" t="s">
        <v>567</v>
      </c>
      <c r="K192" s="2"/>
      <c r="L192" s="2"/>
      <c r="M192" s="2"/>
      <c r="N192" s="2"/>
      <c r="O192" s="2"/>
      <c r="P192" s="2"/>
      <c r="Q192" s="2"/>
      <c r="R192" s="2"/>
      <c r="S192" s="2"/>
      <c r="T192" s="2"/>
      <c r="U192" s="2"/>
      <c r="V192" s="2"/>
      <c r="W192" s="2"/>
      <c r="X192" s="2"/>
      <c r="Y192" s="2"/>
      <c r="Z192" s="2"/>
      <c r="AS192" s="20"/>
    </row>
    <row r="193" spans="1:45" ht="67.95" customHeight="1">
      <c r="A193" s="13" t="s">
        <v>1280</v>
      </c>
      <c r="B193" s="13" t="s">
        <v>1281</v>
      </c>
      <c r="C193" s="13" t="s">
        <v>1282</v>
      </c>
      <c r="D193" s="13" t="s">
        <v>1283</v>
      </c>
      <c r="E193" s="13" t="s">
        <v>51</v>
      </c>
      <c r="F193" s="13">
        <v>2023</v>
      </c>
      <c r="G193" s="13" t="s">
        <v>1284</v>
      </c>
      <c r="H193" s="13" t="s">
        <v>136</v>
      </c>
      <c r="I193" s="13" t="s">
        <v>762</v>
      </c>
      <c r="J193" s="30" t="s">
        <v>567</v>
      </c>
      <c r="K193" s="2"/>
      <c r="L193" s="2"/>
      <c r="M193" s="2"/>
      <c r="N193" s="2"/>
      <c r="O193" s="2"/>
      <c r="P193" s="2"/>
      <c r="Q193" s="2"/>
      <c r="R193" s="2"/>
      <c r="S193" s="2"/>
      <c r="T193" s="2"/>
      <c r="U193" s="2"/>
      <c r="V193" s="2"/>
      <c r="W193" s="2"/>
      <c r="X193" s="2"/>
      <c r="Y193" s="2"/>
      <c r="Z193" s="2"/>
      <c r="AS193" s="20"/>
    </row>
    <row r="194" spans="1:45" ht="67.95" customHeight="1">
      <c r="A194" s="13" t="s">
        <v>1285</v>
      </c>
      <c r="B194" s="13" t="s">
        <v>1286</v>
      </c>
      <c r="C194" s="13" t="s">
        <v>1287</v>
      </c>
      <c r="D194" s="13" t="s">
        <v>1288</v>
      </c>
      <c r="E194" s="13" t="s">
        <v>1289</v>
      </c>
      <c r="F194" s="13">
        <v>2022</v>
      </c>
      <c r="G194" s="13" t="s">
        <v>1290</v>
      </c>
      <c r="H194" s="13" t="s">
        <v>53</v>
      </c>
      <c r="I194" s="13" t="s">
        <v>762</v>
      </c>
      <c r="J194" s="30" t="s">
        <v>536</v>
      </c>
      <c r="K194" s="2"/>
      <c r="L194" s="2"/>
      <c r="M194" s="2"/>
      <c r="N194" s="2"/>
      <c r="O194" s="2"/>
      <c r="P194" s="2"/>
      <c r="Q194" s="2"/>
      <c r="R194" s="2"/>
      <c r="S194" s="2"/>
      <c r="T194" s="2"/>
      <c r="U194" s="2"/>
      <c r="V194" s="2"/>
      <c r="W194" s="2"/>
      <c r="X194" s="2"/>
      <c r="Y194" s="2"/>
      <c r="Z194" s="2"/>
      <c r="AS194" s="20"/>
    </row>
    <row r="195" spans="1:45" ht="67.95" customHeight="1">
      <c r="A195" s="13" t="s">
        <v>1291</v>
      </c>
      <c r="B195" s="13" t="s">
        <v>1292</v>
      </c>
      <c r="C195" s="13" t="s">
        <v>1293</v>
      </c>
      <c r="D195" s="13" t="s">
        <v>1294</v>
      </c>
      <c r="E195" s="13" t="s">
        <v>1295</v>
      </c>
      <c r="F195" s="13">
        <v>2017</v>
      </c>
      <c r="G195" s="13" t="s">
        <v>1296</v>
      </c>
      <c r="H195" s="13" t="s">
        <v>32</v>
      </c>
      <c r="I195" s="13" t="s">
        <v>762</v>
      </c>
      <c r="J195" s="30" t="s">
        <v>646</v>
      </c>
      <c r="K195" s="2"/>
      <c r="L195" s="2"/>
      <c r="M195" s="2"/>
      <c r="N195" s="2"/>
      <c r="O195" s="2"/>
      <c r="P195" s="2"/>
      <c r="Q195" s="2"/>
      <c r="R195" s="2"/>
      <c r="S195" s="2"/>
      <c r="T195" s="2"/>
      <c r="U195" s="2"/>
      <c r="V195" s="2"/>
      <c r="W195" s="2"/>
      <c r="X195" s="2"/>
      <c r="Y195" s="2"/>
      <c r="Z195" s="2"/>
      <c r="AS195" s="20"/>
    </row>
    <row r="196" spans="1:45" ht="67.95" customHeight="1">
      <c r="A196" s="13" t="s">
        <v>1297</v>
      </c>
      <c r="B196" s="13" t="s">
        <v>1298</v>
      </c>
      <c r="C196" s="13" t="s">
        <v>1299</v>
      </c>
      <c r="D196" s="13" t="s">
        <v>1300</v>
      </c>
      <c r="E196" s="13" t="s">
        <v>1301</v>
      </c>
      <c r="F196" s="13">
        <v>2016</v>
      </c>
      <c r="G196" s="13" t="s">
        <v>1302</v>
      </c>
      <c r="H196" s="13" t="s">
        <v>32</v>
      </c>
      <c r="I196" s="13" t="s">
        <v>762</v>
      </c>
      <c r="J196" s="30" t="s">
        <v>646</v>
      </c>
      <c r="K196" s="2"/>
      <c r="L196" s="2"/>
      <c r="M196" s="2"/>
      <c r="N196" s="2"/>
      <c r="O196" s="2"/>
      <c r="P196" s="2"/>
      <c r="Q196" s="2"/>
      <c r="R196" s="2"/>
      <c r="S196" s="2"/>
      <c r="T196" s="2"/>
      <c r="U196" s="2"/>
      <c r="V196" s="2"/>
      <c r="W196" s="2"/>
      <c r="X196" s="2"/>
      <c r="Y196" s="2"/>
      <c r="Z196" s="2"/>
      <c r="AS196" s="20"/>
    </row>
    <row r="197" spans="1:45" ht="67.95" customHeight="1">
      <c r="A197" s="13" t="s">
        <v>1303</v>
      </c>
      <c r="B197" s="13" t="s">
        <v>1304</v>
      </c>
      <c r="C197" s="13" t="s">
        <v>1305</v>
      </c>
      <c r="D197" s="13" t="s">
        <v>1306</v>
      </c>
      <c r="E197" s="13" t="s">
        <v>1307</v>
      </c>
      <c r="F197" s="13">
        <v>2018</v>
      </c>
      <c r="G197" s="13" t="s">
        <v>1308</v>
      </c>
      <c r="H197" s="13" t="s">
        <v>53</v>
      </c>
      <c r="I197" s="13" t="s">
        <v>762</v>
      </c>
      <c r="J197" s="30" t="s">
        <v>536</v>
      </c>
      <c r="K197" s="2"/>
      <c r="L197" s="2"/>
      <c r="M197" s="2"/>
      <c r="N197" s="2"/>
      <c r="O197" s="2"/>
      <c r="P197" s="2"/>
      <c r="Q197" s="2"/>
      <c r="R197" s="2"/>
      <c r="S197" s="2"/>
      <c r="T197" s="2"/>
      <c r="U197" s="2"/>
      <c r="V197" s="2"/>
      <c r="W197" s="2"/>
      <c r="X197" s="2"/>
      <c r="Y197" s="2"/>
      <c r="Z197" s="2"/>
      <c r="AS197" s="20"/>
    </row>
    <row r="198" spans="1:45" ht="67.95" customHeight="1">
      <c r="A198" s="13" t="s">
        <v>1309</v>
      </c>
      <c r="B198" s="13" t="s">
        <v>1310</v>
      </c>
      <c r="C198" s="13" t="s">
        <v>1311</v>
      </c>
      <c r="D198" s="13" t="s">
        <v>1312</v>
      </c>
      <c r="E198" s="13" t="s">
        <v>1313</v>
      </c>
      <c r="F198" s="13">
        <v>2025</v>
      </c>
      <c r="G198" s="13" t="s">
        <v>627</v>
      </c>
      <c r="H198" s="13" t="s">
        <v>53</v>
      </c>
      <c r="I198" s="13" t="s">
        <v>762</v>
      </c>
      <c r="J198" s="30" t="s">
        <v>579</v>
      </c>
      <c r="K198" s="2"/>
      <c r="L198" s="2"/>
      <c r="M198" s="2"/>
      <c r="N198" s="2"/>
      <c r="O198" s="2"/>
      <c r="P198" s="2"/>
      <c r="Q198" s="2"/>
      <c r="R198" s="2"/>
      <c r="S198" s="2"/>
      <c r="T198" s="2"/>
      <c r="U198" s="2"/>
      <c r="V198" s="2"/>
      <c r="W198" s="2"/>
      <c r="X198" s="2"/>
      <c r="Y198" s="2"/>
      <c r="Z198" s="2"/>
      <c r="AS198" s="20"/>
    </row>
    <row r="199" spans="1:45" ht="67.95" customHeight="1">
      <c r="A199" s="13" t="s">
        <v>1314</v>
      </c>
      <c r="B199" s="13" t="s">
        <v>1315</v>
      </c>
      <c r="C199" s="13" t="s">
        <v>1316</v>
      </c>
      <c r="D199" s="13" t="s">
        <v>1317</v>
      </c>
      <c r="E199" s="13" t="s">
        <v>1318</v>
      </c>
      <c r="F199" s="13">
        <v>2024</v>
      </c>
      <c r="G199" s="13" t="s">
        <v>1319</v>
      </c>
      <c r="H199" s="13" t="s">
        <v>32</v>
      </c>
      <c r="I199" s="13" t="s">
        <v>762</v>
      </c>
      <c r="J199" s="30" t="s">
        <v>536</v>
      </c>
      <c r="K199" s="2"/>
      <c r="L199" s="2"/>
      <c r="M199" s="2"/>
      <c r="N199" s="2"/>
      <c r="O199" s="2"/>
      <c r="P199" s="2"/>
      <c r="Q199" s="2"/>
      <c r="R199" s="2"/>
      <c r="S199" s="2"/>
      <c r="T199" s="2"/>
      <c r="U199" s="2"/>
      <c r="V199" s="2"/>
      <c r="W199" s="2"/>
      <c r="X199" s="2"/>
      <c r="Y199" s="2"/>
      <c r="Z199" s="2"/>
      <c r="AS199" s="20"/>
    </row>
    <row r="200" spans="1:45" ht="67.95" customHeight="1">
      <c r="A200" s="13" t="s">
        <v>1320</v>
      </c>
      <c r="B200" s="13" t="s">
        <v>1321</v>
      </c>
      <c r="C200" s="13" t="s">
        <v>1322</v>
      </c>
      <c r="D200" s="13" t="s">
        <v>1323</v>
      </c>
      <c r="E200" s="13" t="s">
        <v>51</v>
      </c>
      <c r="F200" s="13">
        <v>2025</v>
      </c>
      <c r="G200" s="13" t="s">
        <v>1324</v>
      </c>
      <c r="H200" s="13" t="s">
        <v>32</v>
      </c>
      <c r="I200" s="13" t="s">
        <v>762</v>
      </c>
      <c r="J200" s="30" t="s">
        <v>567</v>
      </c>
      <c r="K200" s="2"/>
      <c r="L200" s="2"/>
      <c r="M200" s="2"/>
      <c r="N200" s="2"/>
      <c r="O200" s="2"/>
      <c r="P200" s="2"/>
      <c r="Q200" s="2"/>
      <c r="R200" s="2"/>
      <c r="S200" s="2"/>
      <c r="T200" s="2"/>
      <c r="U200" s="2"/>
      <c r="V200" s="2"/>
      <c r="W200" s="2"/>
      <c r="X200" s="2"/>
      <c r="Y200" s="2"/>
      <c r="Z200" s="2"/>
      <c r="AS200" s="20"/>
    </row>
    <row r="201" spans="1:45" ht="67.95" customHeight="1">
      <c r="A201" s="13" t="s">
        <v>1325</v>
      </c>
      <c r="B201" s="13" t="s">
        <v>1326</v>
      </c>
      <c r="C201" s="13" t="s">
        <v>1327</v>
      </c>
      <c r="D201" s="13" t="s">
        <v>1328</v>
      </c>
      <c r="E201" s="13" t="s">
        <v>1329</v>
      </c>
      <c r="F201" s="13">
        <v>2019</v>
      </c>
      <c r="G201" s="13" t="s">
        <v>1330</v>
      </c>
      <c r="H201" s="13" t="s">
        <v>32</v>
      </c>
      <c r="I201" s="13" t="s">
        <v>762</v>
      </c>
      <c r="J201" s="30" t="s">
        <v>567</v>
      </c>
      <c r="K201" s="2"/>
      <c r="L201" s="2"/>
      <c r="M201" s="2"/>
      <c r="N201" s="2"/>
      <c r="O201" s="2"/>
      <c r="P201" s="2"/>
      <c r="Q201" s="2"/>
      <c r="R201" s="2"/>
      <c r="S201" s="2"/>
      <c r="T201" s="2"/>
      <c r="U201" s="2"/>
      <c r="V201" s="2"/>
      <c r="W201" s="2"/>
      <c r="X201" s="2"/>
      <c r="Y201" s="2"/>
      <c r="Z201" s="2"/>
      <c r="AS201" s="20"/>
    </row>
    <row r="202" spans="1:45" ht="67.95" customHeight="1">
      <c r="A202" s="13" t="s">
        <v>1331</v>
      </c>
      <c r="B202" s="13" t="s">
        <v>1332</v>
      </c>
      <c r="C202" s="13" t="s">
        <v>1333</v>
      </c>
      <c r="D202" s="13" t="s">
        <v>1334</v>
      </c>
      <c r="E202" s="13" t="s">
        <v>1335</v>
      </c>
      <c r="F202" s="13">
        <v>2020</v>
      </c>
      <c r="G202" s="13" t="s">
        <v>813</v>
      </c>
      <c r="H202" s="13" t="s">
        <v>32</v>
      </c>
      <c r="I202" s="13" t="s">
        <v>762</v>
      </c>
      <c r="J202" s="30" t="s">
        <v>543</v>
      </c>
      <c r="K202" s="2"/>
      <c r="L202" s="2"/>
      <c r="M202" s="2"/>
      <c r="N202" s="2"/>
      <c r="O202" s="2"/>
      <c r="P202" s="2"/>
      <c r="Q202" s="2"/>
      <c r="R202" s="2"/>
      <c r="S202" s="2"/>
      <c r="T202" s="2"/>
      <c r="U202" s="2"/>
      <c r="V202" s="2"/>
      <c r="W202" s="2"/>
      <c r="X202" s="2"/>
      <c r="Y202" s="2"/>
      <c r="Z202" s="2"/>
      <c r="AS202" s="20"/>
    </row>
    <row r="203" spans="1:45" ht="67.95" customHeight="1">
      <c r="A203" s="13" t="s">
        <v>1336</v>
      </c>
      <c r="B203" s="13" t="s">
        <v>1337</v>
      </c>
      <c r="C203" s="13" t="s">
        <v>1338</v>
      </c>
      <c r="D203" s="13" t="s">
        <v>1339</v>
      </c>
      <c r="E203" s="13" t="s">
        <v>51</v>
      </c>
      <c r="F203" s="13">
        <v>2024</v>
      </c>
      <c r="G203" s="13" t="s">
        <v>31</v>
      </c>
      <c r="H203" s="13" t="s">
        <v>53</v>
      </c>
      <c r="I203" s="13" t="s">
        <v>762</v>
      </c>
      <c r="J203" s="30" t="s">
        <v>536</v>
      </c>
      <c r="K203" s="2"/>
      <c r="L203" s="2"/>
      <c r="M203" s="2"/>
      <c r="N203" s="2"/>
      <c r="O203" s="2"/>
      <c r="P203" s="2"/>
      <c r="Q203" s="2"/>
      <c r="R203" s="2"/>
      <c r="S203" s="2"/>
      <c r="T203" s="2"/>
      <c r="U203" s="2"/>
      <c r="V203" s="2"/>
      <c r="W203" s="2"/>
      <c r="X203" s="2"/>
      <c r="Y203" s="2"/>
      <c r="Z203" s="2"/>
      <c r="AS203" s="20"/>
    </row>
    <row r="204" spans="1:45" ht="67.95" customHeight="1">
      <c r="A204" s="13" t="s">
        <v>1340</v>
      </c>
      <c r="B204" s="13" t="s">
        <v>1341</v>
      </c>
      <c r="C204" s="13" t="s">
        <v>1342</v>
      </c>
      <c r="D204" s="13" t="s">
        <v>1343</v>
      </c>
      <c r="E204" s="13" t="s">
        <v>51</v>
      </c>
      <c r="F204" s="13">
        <v>2025</v>
      </c>
      <c r="G204" s="13" t="s">
        <v>688</v>
      </c>
      <c r="H204" s="13" t="s">
        <v>32</v>
      </c>
      <c r="I204" s="13" t="s">
        <v>762</v>
      </c>
      <c r="J204" s="30" t="s">
        <v>536</v>
      </c>
      <c r="K204" s="2"/>
      <c r="L204" s="2"/>
      <c r="M204" s="2"/>
      <c r="N204" s="2"/>
      <c r="O204" s="2"/>
      <c r="P204" s="2"/>
      <c r="Q204" s="2"/>
      <c r="R204" s="2"/>
      <c r="S204" s="2"/>
      <c r="T204" s="2"/>
      <c r="U204" s="2"/>
      <c r="V204" s="2"/>
      <c r="W204" s="2"/>
      <c r="X204" s="2"/>
      <c r="Y204" s="2"/>
      <c r="Z204" s="2"/>
      <c r="AS204" s="20"/>
    </row>
    <row r="205" spans="1:45" ht="67.95" customHeight="1">
      <c r="A205" s="13" t="s">
        <v>1344</v>
      </c>
      <c r="B205" s="13" t="s">
        <v>1345</v>
      </c>
      <c r="C205" s="13" t="s">
        <v>1346</v>
      </c>
      <c r="D205" s="13" t="s">
        <v>1347</v>
      </c>
      <c r="E205" s="13" t="s">
        <v>1348</v>
      </c>
      <c r="F205" s="13">
        <v>2025</v>
      </c>
      <c r="G205" s="13" t="s">
        <v>1349</v>
      </c>
      <c r="H205" s="13" t="s">
        <v>32</v>
      </c>
      <c r="I205" s="13" t="s">
        <v>762</v>
      </c>
      <c r="J205" s="30" t="s">
        <v>567</v>
      </c>
      <c r="K205" s="2"/>
      <c r="L205" s="2"/>
      <c r="M205" s="2"/>
      <c r="N205" s="2"/>
      <c r="O205" s="2"/>
      <c r="P205" s="2"/>
      <c r="Q205" s="2"/>
      <c r="R205" s="2"/>
      <c r="S205" s="2"/>
      <c r="T205" s="2"/>
      <c r="U205" s="2"/>
      <c r="V205" s="2"/>
      <c r="W205" s="2"/>
      <c r="X205" s="2"/>
      <c r="Y205" s="2"/>
      <c r="Z205" s="2"/>
      <c r="AS205" s="20"/>
    </row>
    <row r="206" spans="1:45" ht="67.95" customHeight="1">
      <c r="A206" s="13" t="s">
        <v>1350</v>
      </c>
      <c r="B206" s="13" t="s">
        <v>1351</v>
      </c>
      <c r="C206" s="13" t="s">
        <v>1352</v>
      </c>
      <c r="D206" s="13" t="s">
        <v>1353</v>
      </c>
      <c r="E206" s="13" t="s">
        <v>1354</v>
      </c>
      <c r="F206" s="13">
        <v>2023</v>
      </c>
      <c r="G206" s="13" t="s">
        <v>1355</v>
      </c>
      <c r="H206" s="13" t="s">
        <v>32</v>
      </c>
      <c r="I206" s="13" t="s">
        <v>762</v>
      </c>
      <c r="J206" s="30" t="s">
        <v>536</v>
      </c>
      <c r="K206" s="2"/>
      <c r="L206" s="2"/>
      <c r="M206" s="2"/>
      <c r="N206" s="2"/>
      <c r="O206" s="2"/>
      <c r="P206" s="2"/>
      <c r="Q206" s="2"/>
      <c r="R206" s="2"/>
      <c r="S206" s="2"/>
      <c r="T206" s="2"/>
      <c r="U206" s="2"/>
      <c r="V206" s="2"/>
      <c r="W206" s="2"/>
      <c r="X206" s="2"/>
      <c r="Y206" s="2"/>
      <c r="Z206" s="2"/>
      <c r="AS206" s="20"/>
    </row>
    <row r="207" spans="1:45" ht="67.95" customHeight="1">
      <c r="A207" s="13" t="s">
        <v>1356</v>
      </c>
      <c r="B207" s="13" t="s">
        <v>1357</v>
      </c>
      <c r="C207" s="13" t="s">
        <v>51</v>
      </c>
      <c r="D207" s="13" t="s">
        <v>1358</v>
      </c>
      <c r="E207" s="13" t="s">
        <v>1359</v>
      </c>
      <c r="F207" s="13">
        <v>2018</v>
      </c>
      <c r="G207" s="13" t="s">
        <v>65</v>
      </c>
      <c r="H207" s="13" t="s">
        <v>32</v>
      </c>
      <c r="I207" s="13" t="s">
        <v>762</v>
      </c>
      <c r="J207" s="30" t="s">
        <v>658</v>
      </c>
      <c r="K207" s="2"/>
      <c r="L207" s="2"/>
      <c r="M207" s="2"/>
      <c r="N207" s="2"/>
      <c r="O207" s="2"/>
      <c r="P207" s="2"/>
      <c r="Q207" s="2"/>
      <c r="R207" s="2"/>
      <c r="S207" s="2"/>
      <c r="T207" s="2"/>
      <c r="U207" s="2"/>
      <c r="V207" s="2"/>
      <c r="W207" s="2"/>
      <c r="X207" s="2"/>
      <c r="Y207" s="2"/>
      <c r="Z207" s="2"/>
      <c r="AS207" s="20"/>
    </row>
    <row r="208" spans="1:45" ht="67.95" customHeight="1">
      <c r="A208" s="13" t="s">
        <v>1360</v>
      </c>
      <c r="B208" s="13" t="s">
        <v>1361</v>
      </c>
      <c r="C208" s="13" t="s">
        <v>1362</v>
      </c>
      <c r="D208" s="13" t="s">
        <v>1363</v>
      </c>
      <c r="E208" s="13" t="s">
        <v>1364</v>
      </c>
      <c r="F208" s="13">
        <v>2025</v>
      </c>
      <c r="G208" s="13" t="s">
        <v>1365</v>
      </c>
      <c r="H208" s="13" t="s">
        <v>136</v>
      </c>
      <c r="I208" s="13" t="s">
        <v>762</v>
      </c>
      <c r="J208" s="30" t="s">
        <v>567</v>
      </c>
      <c r="K208" s="2"/>
      <c r="L208" s="2"/>
      <c r="M208" s="2"/>
      <c r="N208" s="2"/>
      <c r="O208" s="2"/>
      <c r="P208" s="2"/>
      <c r="Q208" s="2"/>
      <c r="R208" s="2"/>
      <c r="S208" s="2"/>
      <c r="T208" s="2"/>
      <c r="U208" s="2"/>
      <c r="V208" s="2"/>
      <c r="W208" s="2"/>
      <c r="X208" s="2"/>
      <c r="Y208" s="2"/>
      <c r="Z208" s="2"/>
      <c r="AS208" s="20"/>
    </row>
    <row r="209" spans="1:45" ht="67.95" customHeight="1">
      <c r="A209" s="13" t="s">
        <v>1366</v>
      </c>
      <c r="B209" s="13" t="s">
        <v>1367</v>
      </c>
      <c r="C209" s="13" t="s">
        <v>1368</v>
      </c>
      <c r="D209" s="13" t="s">
        <v>1369</v>
      </c>
      <c r="E209" s="13" t="s">
        <v>51</v>
      </c>
      <c r="F209" s="13">
        <v>2022</v>
      </c>
      <c r="G209" s="13" t="s">
        <v>74</v>
      </c>
      <c r="H209" s="13" t="s">
        <v>53</v>
      </c>
      <c r="I209" s="13" t="s">
        <v>762</v>
      </c>
      <c r="J209" s="30" t="s">
        <v>536</v>
      </c>
      <c r="K209" s="2"/>
      <c r="L209" s="2"/>
      <c r="M209" s="2"/>
      <c r="N209" s="2"/>
      <c r="O209" s="2"/>
      <c r="P209" s="2"/>
      <c r="Q209" s="2"/>
      <c r="R209" s="2"/>
      <c r="S209" s="2"/>
      <c r="T209" s="2"/>
      <c r="U209" s="2"/>
      <c r="V209" s="2"/>
      <c r="W209" s="2"/>
      <c r="X209" s="2"/>
      <c r="Y209" s="2"/>
      <c r="Z209" s="2"/>
      <c r="AS209" s="20"/>
    </row>
    <row r="210" spans="1:45" ht="67.95" customHeight="1">
      <c r="A210" s="13" t="s">
        <v>1370</v>
      </c>
      <c r="B210" s="13" t="s">
        <v>1371</v>
      </c>
      <c r="C210" s="13" t="s">
        <v>1372</v>
      </c>
      <c r="D210" s="13" t="s">
        <v>1373</v>
      </c>
      <c r="E210" s="13" t="s">
        <v>1374</v>
      </c>
      <c r="F210" s="13">
        <v>2021</v>
      </c>
      <c r="G210" s="13" t="s">
        <v>688</v>
      </c>
      <c r="H210" s="13" t="s">
        <v>32</v>
      </c>
      <c r="I210" s="13" t="s">
        <v>762</v>
      </c>
      <c r="J210" s="30" t="s">
        <v>579</v>
      </c>
      <c r="K210" s="2"/>
      <c r="L210" s="2"/>
      <c r="M210" s="2"/>
      <c r="N210" s="2"/>
      <c r="O210" s="2"/>
      <c r="P210" s="2"/>
      <c r="Q210" s="2"/>
      <c r="R210" s="2"/>
      <c r="S210" s="2"/>
      <c r="T210" s="2"/>
      <c r="U210" s="2"/>
      <c r="V210" s="2"/>
      <c r="W210" s="2"/>
      <c r="X210" s="2"/>
      <c r="Y210" s="2"/>
      <c r="Z210" s="2"/>
      <c r="AS210" s="20"/>
    </row>
    <row r="211" spans="1:45" ht="67.95" customHeight="1">
      <c r="A211" s="13" t="s">
        <v>1375</v>
      </c>
      <c r="B211" s="13" t="s">
        <v>1376</v>
      </c>
      <c r="C211" s="13" t="s">
        <v>1377</v>
      </c>
      <c r="D211" s="13" t="s">
        <v>1378</v>
      </c>
      <c r="E211" s="13" t="s">
        <v>1379</v>
      </c>
      <c r="F211" s="13">
        <v>2022</v>
      </c>
      <c r="G211" s="13" t="s">
        <v>1380</v>
      </c>
      <c r="H211" s="13" t="s">
        <v>53</v>
      </c>
      <c r="I211" s="13" t="s">
        <v>762</v>
      </c>
      <c r="J211" s="30" t="s">
        <v>536</v>
      </c>
      <c r="K211" s="2"/>
      <c r="L211" s="2"/>
      <c r="M211" s="2"/>
      <c r="N211" s="2"/>
      <c r="O211" s="2"/>
      <c r="P211" s="2"/>
      <c r="Q211" s="2"/>
      <c r="R211" s="2"/>
      <c r="S211" s="2"/>
      <c r="T211" s="2"/>
      <c r="U211" s="2"/>
      <c r="V211" s="2"/>
      <c r="W211" s="2"/>
      <c r="X211" s="2"/>
      <c r="Y211" s="2"/>
      <c r="Z211" s="2"/>
      <c r="AS211" s="20"/>
    </row>
    <row r="212" spans="1:45" ht="67.95" customHeight="1">
      <c r="A212" s="13" t="s">
        <v>1381</v>
      </c>
      <c r="B212" s="13" t="s">
        <v>1382</v>
      </c>
      <c r="C212" s="13" t="s">
        <v>1383</v>
      </c>
      <c r="D212" s="13" t="s">
        <v>1384</v>
      </c>
      <c r="E212" s="13" t="s">
        <v>1385</v>
      </c>
      <c r="F212" s="13">
        <v>2022</v>
      </c>
      <c r="G212" s="13" t="s">
        <v>1386</v>
      </c>
      <c r="H212" s="13" t="s">
        <v>136</v>
      </c>
      <c r="I212" s="13" t="s">
        <v>762</v>
      </c>
      <c r="J212" s="30" t="s">
        <v>567</v>
      </c>
      <c r="K212" s="2"/>
      <c r="L212" s="2"/>
      <c r="M212" s="2"/>
      <c r="N212" s="2"/>
      <c r="O212" s="2"/>
      <c r="P212" s="2"/>
      <c r="Q212" s="2"/>
      <c r="R212" s="2"/>
      <c r="S212" s="2"/>
      <c r="T212" s="2"/>
      <c r="U212" s="2"/>
      <c r="V212" s="2"/>
      <c r="W212" s="2"/>
      <c r="X212" s="2"/>
      <c r="Y212" s="2"/>
      <c r="Z212" s="2"/>
      <c r="AS212" s="20"/>
    </row>
    <row r="213" spans="1:45" ht="67.95" customHeight="1">
      <c r="A213" s="13" t="s">
        <v>1387</v>
      </c>
      <c r="B213" s="13" t="s">
        <v>1388</v>
      </c>
      <c r="C213" s="13" t="s">
        <v>1389</v>
      </c>
      <c r="D213" s="13" t="s">
        <v>1390</v>
      </c>
      <c r="E213" s="13" t="s">
        <v>51</v>
      </c>
      <c r="F213" s="13">
        <v>2017</v>
      </c>
      <c r="G213" s="13" t="s">
        <v>1391</v>
      </c>
      <c r="H213" s="13" t="s">
        <v>53</v>
      </c>
      <c r="I213" s="13" t="s">
        <v>762</v>
      </c>
      <c r="J213" s="30" t="s">
        <v>536</v>
      </c>
      <c r="K213" s="2"/>
      <c r="L213" s="2"/>
      <c r="M213" s="2"/>
      <c r="N213" s="2"/>
      <c r="O213" s="2"/>
      <c r="P213" s="2"/>
      <c r="Q213" s="2"/>
      <c r="R213" s="2"/>
      <c r="S213" s="2"/>
      <c r="T213" s="2"/>
      <c r="U213" s="2"/>
      <c r="V213" s="2"/>
      <c r="W213" s="2"/>
      <c r="X213" s="2"/>
      <c r="Y213" s="2"/>
      <c r="Z213" s="2"/>
      <c r="AS213" s="20"/>
    </row>
    <row r="214" spans="1:45" ht="67.95" customHeight="1">
      <c r="A214" s="13" t="s">
        <v>1392</v>
      </c>
      <c r="B214" s="13" t="s">
        <v>1393</v>
      </c>
      <c r="C214" s="13" t="s">
        <v>1394</v>
      </c>
      <c r="D214" s="13" t="s">
        <v>1395</v>
      </c>
      <c r="E214" s="13" t="s">
        <v>1396</v>
      </c>
      <c r="F214" s="13">
        <v>2015</v>
      </c>
      <c r="G214" s="13" t="s">
        <v>1016</v>
      </c>
      <c r="H214" s="13" t="s">
        <v>53</v>
      </c>
      <c r="I214" s="13" t="s">
        <v>762</v>
      </c>
      <c r="J214" s="30" t="s">
        <v>536</v>
      </c>
      <c r="K214" s="2"/>
      <c r="L214" s="2"/>
      <c r="M214" s="2"/>
      <c r="N214" s="2"/>
      <c r="O214" s="2"/>
      <c r="P214" s="2"/>
      <c r="Q214" s="2"/>
      <c r="R214" s="2"/>
      <c r="S214" s="2"/>
      <c r="T214" s="2"/>
      <c r="U214" s="2"/>
      <c r="V214" s="2"/>
      <c r="W214" s="2"/>
      <c r="X214" s="2"/>
      <c r="Y214" s="2"/>
      <c r="Z214" s="2"/>
      <c r="AS214" s="20"/>
    </row>
    <row r="215" spans="1:45" ht="67.95" customHeight="1">
      <c r="A215" s="13" t="s">
        <v>1397</v>
      </c>
      <c r="B215" s="13" t="s">
        <v>1398</v>
      </c>
      <c r="C215" s="13" t="s">
        <v>1399</v>
      </c>
      <c r="D215" s="13" t="s">
        <v>1400</v>
      </c>
      <c r="E215" s="13" t="s">
        <v>1401</v>
      </c>
      <c r="F215" s="13">
        <v>2019</v>
      </c>
      <c r="G215" s="13" t="s">
        <v>682</v>
      </c>
      <c r="H215" s="13" t="s">
        <v>53</v>
      </c>
      <c r="I215" s="13" t="s">
        <v>762</v>
      </c>
      <c r="J215" s="30" t="s">
        <v>536</v>
      </c>
      <c r="K215" s="2"/>
      <c r="L215" s="2"/>
      <c r="M215" s="2"/>
      <c r="N215" s="2"/>
      <c r="O215" s="2"/>
      <c r="P215" s="2"/>
      <c r="Q215" s="2"/>
      <c r="R215" s="2"/>
      <c r="S215" s="2"/>
      <c r="T215" s="2"/>
      <c r="U215" s="2"/>
      <c r="V215" s="2"/>
      <c r="W215" s="2"/>
      <c r="X215" s="2"/>
      <c r="Y215" s="2"/>
      <c r="Z215" s="2"/>
      <c r="AS215" s="20"/>
    </row>
    <row r="216" spans="1:45" ht="67.95" customHeight="1">
      <c r="A216" s="13" t="s">
        <v>1402</v>
      </c>
      <c r="B216" s="13" t="s">
        <v>1403</v>
      </c>
      <c r="C216" s="13" t="s">
        <v>1404</v>
      </c>
      <c r="D216" s="13" t="s">
        <v>1405</v>
      </c>
      <c r="E216" s="13" t="s">
        <v>1406</v>
      </c>
      <c r="F216" s="13">
        <v>2021</v>
      </c>
      <c r="G216" s="13" t="s">
        <v>1407</v>
      </c>
      <c r="H216" s="13" t="s">
        <v>32</v>
      </c>
      <c r="I216" s="13" t="s">
        <v>762</v>
      </c>
      <c r="J216" s="30" t="s">
        <v>567</v>
      </c>
      <c r="K216" s="2"/>
      <c r="L216" s="2"/>
      <c r="M216" s="2"/>
      <c r="N216" s="2"/>
      <c r="O216" s="2"/>
      <c r="P216" s="2"/>
      <c r="Q216" s="2"/>
      <c r="R216" s="2"/>
      <c r="S216" s="2"/>
      <c r="T216" s="2"/>
      <c r="U216" s="2"/>
      <c r="V216" s="2"/>
      <c r="W216" s="2"/>
      <c r="X216" s="2"/>
      <c r="Y216" s="2"/>
      <c r="Z216" s="2"/>
      <c r="AS216" s="20"/>
    </row>
    <row r="217" spans="1:45" ht="67.95" customHeight="1">
      <c r="A217" s="13" t="s">
        <v>1408</v>
      </c>
      <c r="B217" s="13" t="s">
        <v>1409</v>
      </c>
      <c r="C217" s="13" t="s">
        <v>1410</v>
      </c>
      <c r="D217" s="13" t="s">
        <v>1411</v>
      </c>
      <c r="E217" s="13" t="s">
        <v>1412</v>
      </c>
      <c r="F217" s="13">
        <v>2015</v>
      </c>
      <c r="G217" s="13" t="s">
        <v>1413</v>
      </c>
      <c r="H217" s="13" t="s">
        <v>53</v>
      </c>
      <c r="I217" s="13" t="s">
        <v>762</v>
      </c>
      <c r="J217" s="30" t="s">
        <v>536</v>
      </c>
      <c r="K217" s="2"/>
      <c r="L217" s="2"/>
      <c r="M217" s="2"/>
      <c r="N217" s="2"/>
      <c r="O217" s="2"/>
      <c r="P217" s="2"/>
      <c r="Q217" s="2"/>
      <c r="R217" s="2"/>
      <c r="S217" s="2"/>
      <c r="T217" s="2"/>
      <c r="U217" s="2"/>
      <c r="V217" s="2"/>
      <c r="W217" s="2"/>
      <c r="X217" s="2"/>
      <c r="Y217" s="2"/>
      <c r="Z217" s="2"/>
      <c r="AS217" s="20"/>
    </row>
    <row r="218" spans="1:45" ht="67.95" customHeight="1">
      <c r="A218" s="13" t="s">
        <v>1414</v>
      </c>
      <c r="B218" s="13" t="s">
        <v>1415</v>
      </c>
      <c r="C218" s="13" t="s">
        <v>1416</v>
      </c>
      <c r="D218" s="13" t="s">
        <v>1417</v>
      </c>
      <c r="E218" s="13" t="s">
        <v>1418</v>
      </c>
      <c r="F218" s="13">
        <v>2023</v>
      </c>
      <c r="G218" s="13" t="s">
        <v>682</v>
      </c>
      <c r="H218" s="13" t="s">
        <v>32</v>
      </c>
      <c r="I218" s="13" t="s">
        <v>762</v>
      </c>
      <c r="J218" s="30" t="s">
        <v>567</v>
      </c>
      <c r="K218" s="2"/>
      <c r="L218" s="2"/>
      <c r="M218" s="2"/>
      <c r="N218" s="2"/>
      <c r="O218" s="2"/>
      <c r="P218" s="2"/>
      <c r="Q218" s="2"/>
      <c r="R218" s="2"/>
      <c r="S218" s="2"/>
      <c r="T218" s="2"/>
      <c r="U218" s="2"/>
      <c r="V218" s="2"/>
      <c r="W218" s="2"/>
      <c r="X218" s="2"/>
      <c r="Y218" s="2"/>
      <c r="Z218" s="2"/>
      <c r="AS218" s="20"/>
    </row>
    <row r="219" spans="1:45" ht="67.95" customHeight="1">
      <c r="A219" s="13" t="s">
        <v>1419</v>
      </c>
      <c r="B219" s="13" t="s">
        <v>1420</v>
      </c>
      <c r="C219" s="13" t="s">
        <v>1421</v>
      </c>
      <c r="D219" s="13" t="s">
        <v>1422</v>
      </c>
      <c r="E219" s="13" t="s">
        <v>1423</v>
      </c>
      <c r="F219" s="13">
        <v>2018</v>
      </c>
      <c r="G219" s="13" t="s">
        <v>1424</v>
      </c>
      <c r="H219" s="13" t="s">
        <v>32</v>
      </c>
      <c r="I219" s="13" t="s">
        <v>762</v>
      </c>
      <c r="J219" s="30" t="s">
        <v>567</v>
      </c>
      <c r="K219" s="2"/>
      <c r="L219" s="2"/>
      <c r="M219" s="2"/>
      <c r="N219" s="2"/>
      <c r="O219" s="2"/>
      <c r="P219" s="2"/>
      <c r="Q219" s="2"/>
      <c r="R219" s="2"/>
      <c r="S219" s="2"/>
      <c r="T219" s="2"/>
      <c r="U219" s="2"/>
      <c r="V219" s="2"/>
      <c r="W219" s="2"/>
      <c r="X219" s="2"/>
      <c r="Y219" s="2"/>
      <c r="Z219" s="2"/>
      <c r="AS219" s="20"/>
    </row>
    <row r="220" spans="1:45" ht="67.95" customHeight="1">
      <c r="A220" s="13" t="s">
        <v>1425</v>
      </c>
      <c r="B220" s="13" t="s">
        <v>1426</v>
      </c>
      <c r="C220" s="13" t="s">
        <v>1427</v>
      </c>
      <c r="D220" s="13" t="s">
        <v>1428</v>
      </c>
      <c r="E220" s="13" t="s">
        <v>1429</v>
      </c>
      <c r="F220" s="13">
        <v>2023</v>
      </c>
      <c r="G220" s="13" t="s">
        <v>813</v>
      </c>
      <c r="H220" s="13" t="s">
        <v>32</v>
      </c>
      <c r="I220" s="13" t="s">
        <v>762</v>
      </c>
      <c r="J220" s="30" t="s">
        <v>567</v>
      </c>
      <c r="K220" s="2"/>
      <c r="L220" s="2"/>
      <c r="M220" s="2"/>
      <c r="N220" s="2"/>
      <c r="O220" s="2"/>
      <c r="P220" s="2"/>
      <c r="Q220" s="2"/>
      <c r="R220" s="2"/>
      <c r="S220" s="2"/>
      <c r="T220" s="2"/>
      <c r="U220" s="2"/>
      <c r="V220" s="2"/>
      <c r="W220" s="2"/>
      <c r="X220" s="2"/>
      <c r="Y220" s="2"/>
      <c r="Z220" s="2"/>
      <c r="AS220" s="20"/>
    </row>
    <row r="221" spans="1:45" ht="67.95" customHeight="1">
      <c r="A221" s="13" t="s">
        <v>1430</v>
      </c>
      <c r="B221" s="13" t="s">
        <v>1431</v>
      </c>
      <c r="C221" s="13" t="s">
        <v>1432</v>
      </c>
      <c r="D221" s="13" t="s">
        <v>1433</v>
      </c>
      <c r="E221" s="13" t="s">
        <v>1434</v>
      </c>
      <c r="F221" s="13">
        <v>2024</v>
      </c>
      <c r="G221" s="13" t="s">
        <v>1435</v>
      </c>
      <c r="H221" s="13" t="s">
        <v>53</v>
      </c>
      <c r="I221" s="13" t="s">
        <v>762</v>
      </c>
      <c r="J221" s="30" t="s">
        <v>536</v>
      </c>
      <c r="K221" s="2"/>
      <c r="L221" s="2"/>
      <c r="M221" s="2"/>
      <c r="N221" s="2"/>
      <c r="O221" s="2"/>
      <c r="P221" s="2"/>
      <c r="Q221" s="2"/>
      <c r="R221" s="2"/>
      <c r="S221" s="2"/>
      <c r="T221" s="2"/>
      <c r="U221" s="2"/>
      <c r="V221" s="2"/>
      <c r="W221" s="2"/>
      <c r="X221" s="2"/>
      <c r="Y221" s="2"/>
      <c r="Z221" s="2"/>
      <c r="AS221" s="20"/>
    </row>
    <row r="222" spans="1:45" ht="67.95" customHeight="1">
      <c r="A222" s="13" t="s">
        <v>1436</v>
      </c>
      <c r="B222" s="13" t="s">
        <v>1437</v>
      </c>
      <c r="C222" s="13" t="s">
        <v>1438</v>
      </c>
      <c r="D222" s="13" t="s">
        <v>1439</v>
      </c>
      <c r="E222" s="13" t="s">
        <v>1440</v>
      </c>
      <c r="F222" s="13">
        <v>2022</v>
      </c>
      <c r="G222" s="13" t="s">
        <v>101</v>
      </c>
      <c r="H222" s="13" t="s">
        <v>53</v>
      </c>
      <c r="I222" s="13" t="s">
        <v>762</v>
      </c>
      <c r="J222" s="30" t="s">
        <v>567</v>
      </c>
      <c r="K222" s="2"/>
      <c r="L222" s="2"/>
      <c r="M222" s="2"/>
      <c r="N222" s="2"/>
      <c r="O222" s="2"/>
      <c r="P222" s="2"/>
      <c r="Q222" s="2"/>
      <c r="R222" s="2"/>
      <c r="S222" s="2"/>
      <c r="T222" s="2"/>
      <c r="U222" s="2"/>
      <c r="V222" s="2"/>
      <c r="W222" s="2"/>
      <c r="X222" s="2"/>
      <c r="Y222" s="2"/>
      <c r="Z222" s="2"/>
      <c r="AS222" s="20"/>
    </row>
    <row r="223" spans="1:45" ht="67.95" customHeight="1">
      <c r="A223" s="13" t="s">
        <v>1441</v>
      </c>
      <c r="B223" s="13" t="s">
        <v>1442</v>
      </c>
      <c r="C223" s="13" t="s">
        <v>1443</v>
      </c>
      <c r="D223" s="13" t="s">
        <v>1444</v>
      </c>
      <c r="E223" s="13" t="s">
        <v>1445</v>
      </c>
      <c r="F223" s="13">
        <v>2021</v>
      </c>
      <c r="G223" s="13" t="s">
        <v>627</v>
      </c>
      <c r="H223" s="13" t="s">
        <v>32</v>
      </c>
      <c r="I223" s="13" t="s">
        <v>762</v>
      </c>
      <c r="J223" s="30" t="s">
        <v>646</v>
      </c>
      <c r="K223" s="2"/>
      <c r="L223" s="2"/>
      <c r="M223" s="2"/>
      <c r="N223" s="2"/>
      <c r="O223" s="2"/>
      <c r="P223" s="2"/>
      <c r="Q223" s="2"/>
      <c r="R223" s="2"/>
      <c r="S223" s="2"/>
      <c r="T223" s="2"/>
      <c r="U223" s="2"/>
      <c r="V223" s="2"/>
      <c r="W223" s="2"/>
      <c r="X223" s="2"/>
      <c r="Y223" s="2"/>
      <c r="Z223" s="2"/>
      <c r="AS223" s="20"/>
    </row>
    <row r="224" spans="1:45" ht="67.95" customHeight="1">
      <c r="A224" s="13" t="s">
        <v>1446</v>
      </c>
      <c r="B224" s="13" t="s">
        <v>1447</v>
      </c>
      <c r="C224" s="13" t="s">
        <v>1448</v>
      </c>
      <c r="D224" s="13" t="s">
        <v>1449</v>
      </c>
      <c r="E224" s="13" t="s">
        <v>1450</v>
      </c>
      <c r="F224" s="13">
        <v>2017</v>
      </c>
      <c r="G224" s="13" t="s">
        <v>1451</v>
      </c>
      <c r="H224" s="13" t="s">
        <v>32</v>
      </c>
      <c r="I224" s="13" t="s">
        <v>762</v>
      </c>
      <c r="J224" s="30" t="s">
        <v>567</v>
      </c>
      <c r="K224" s="2"/>
      <c r="L224" s="2"/>
      <c r="M224" s="2"/>
      <c r="N224" s="2"/>
      <c r="O224" s="2"/>
      <c r="P224" s="2"/>
      <c r="Q224" s="2"/>
      <c r="R224" s="2"/>
      <c r="S224" s="2"/>
      <c r="T224" s="2"/>
      <c r="U224" s="2"/>
      <c r="V224" s="2"/>
      <c r="W224" s="2"/>
      <c r="X224" s="2"/>
      <c r="Y224" s="2"/>
      <c r="Z224" s="2"/>
      <c r="AS224" s="20"/>
    </row>
    <row r="225" spans="1:45" ht="67.95" customHeight="1">
      <c r="A225" s="13" t="s">
        <v>1452</v>
      </c>
      <c r="B225" s="13" t="s">
        <v>1453</v>
      </c>
      <c r="C225" s="13" t="s">
        <v>1454</v>
      </c>
      <c r="D225" s="13" t="s">
        <v>1455</v>
      </c>
      <c r="E225" s="13" t="s">
        <v>1456</v>
      </c>
      <c r="F225" s="13">
        <v>2024</v>
      </c>
      <c r="G225" s="13" t="s">
        <v>676</v>
      </c>
      <c r="H225" s="13" t="s">
        <v>32</v>
      </c>
      <c r="I225" s="13" t="s">
        <v>762</v>
      </c>
      <c r="J225" s="30" t="s">
        <v>536</v>
      </c>
      <c r="K225" s="2"/>
      <c r="L225" s="2"/>
      <c r="M225" s="2"/>
      <c r="N225" s="2"/>
      <c r="O225" s="2"/>
      <c r="P225" s="2"/>
      <c r="Q225" s="2"/>
      <c r="R225" s="2"/>
      <c r="S225" s="2"/>
      <c r="T225" s="2"/>
      <c r="U225" s="2"/>
      <c r="V225" s="2"/>
      <c r="W225" s="2"/>
      <c r="X225" s="2"/>
      <c r="Y225" s="2"/>
      <c r="Z225" s="2"/>
      <c r="AS225" s="20"/>
    </row>
    <row r="226" spans="1:45" ht="67.95" customHeight="1">
      <c r="A226" s="13" t="s">
        <v>1457</v>
      </c>
      <c r="B226" s="13" t="s">
        <v>1458</v>
      </c>
      <c r="C226" s="13" t="s">
        <v>1459</v>
      </c>
      <c r="D226" s="13" t="s">
        <v>1460</v>
      </c>
      <c r="E226" s="13" t="s">
        <v>1461</v>
      </c>
      <c r="F226" s="13">
        <v>2023</v>
      </c>
      <c r="G226" s="13" t="s">
        <v>542</v>
      </c>
      <c r="H226" s="13" t="s">
        <v>32</v>
      </c>
      <c r="I226" s="13" t="s">
        <v>762</v>
      </c>
      <c r="J226" s="30" t="s">
        <v>567</v>
      </c>
      <c r="K226" s="2"/>
      <c r="L226" s="2"/>
      <c r="M226" s="2"/>
      <c r="N226" s="2"/>
      <c r="O226" s="2"/>
      <c r="P226" s="2"/>
      <c r="Q226" s="2"/>
      <c r="R226" s="2"/>
      <c r="S226" s="2"/>
      <c r="T226" s="2"/>
      <c r="U226" s="2"/>
      <c r="V226" s="2"/>
      <c r="W226" s="2"/>
      <c r="X226" s="2"/>
      <c r="Y226" s="2"/>
      <c r="Z226" s="2"/>
      <c r="AS226" s="20"/>
    </row>
    <row r="227" spans="1:45" ht="67.95" customHeight="1">
      <c r="A227" s="13" t="s">
        <v>1462</v>
      </c>
      <c r="B227" s="13" t="s">
        <v>1463</v>
      </c>
      <c r="C227" s="13" t="s">
        <v>1464</v>
      </c>
      <c r="D227" s="13" t="s">
        <v>1465</v>
      </c>
      <c r="E227" s="13" t="s">
        <v>1466</v>
      </c>
      <c r="F227" s="13">
        <v>2021</v>
      </c>
      <c r="G227" s="13" t="s">
        <v>1467</v>
      </c>
      <c r="H227" s="13" t="s">
        <v>53</v>
      </c>
      <c r="I227" s="13" t="s">
        <v>762</v>
      </c>
      <c r="J227" s="30" t="s">
        <v>536</v>
      </c>
      <c r="K227" s="2"/>
      <c r="L227" s="2"/>
      <c r="M227" s="2"/>
      <c r="N227" s="2"/>
      <c r="O227" s="2"/>
      <c r="P227" s="2"/>
      <c r="Q227" s="2"/>
      <c r="R227" s="2"/>
      <c r="S227" s="2"/>
      <c r="T227" s="2"/>
      <c r="U227" s="2"/>
      <c r="V227" s="2"/>
      <c r="W227" s="2"/>
      <c r="X227" s="2"/>
      <c r="Y227" s="2"/>
      <c r="Z227" s="2"/>
      <c r="AS227" s="20"/>
    </row>
    <row r="228" spans="1:45" ht="67.95" customHeight="1">
      <c r="A228" s="13" t="s">
        <v>1468</v>
      </c>
      <c r="B228" s="13" t="s">
        <v>1469</v>
      </c>
      <c r="C228" s="13" t="s">
        <v>1470</v>
      </c>
      <c r="D228" s="13" t="s">
        <v>1471</v>
      </c>
      <c r="E228" s="13" t="s">
        <v>1472</v>
      </c>
      <c r="F228" s="13">
        <v>2021</v>
      </c>
      <c r="G228" s="13" t="s">
        <v>1473</v>
      </c>
      <c r="H228" s="13" t="s">
        <v>32</v>
      </c>
      <c r="I228" s="13" t="s">
        <v>762</v>
      </c>
      <c r="J228" s="30" t="s">
        <v>646</v>
      </c>
      <c r="K228" s="2"/>
      <c r="L228" s="2"/>
      <c r="M228" s="2"/>
      <c r="N228" s="2"/>
      <c r="O228" s="2"/>
      <c r="P228" s="2"/>
      <c r="Q228" s="2"/>
      <c r="R228" s="2"/>
      <c r="S228" s="2"/>
      <c r="T228" s="2"/>
      <c r="U228" s="2"/>
      <c r="V228" s="2"/>
      <c r="W228" s="2"/>
      <c r="X228" s="2"/>
      <c r="Y228" s="2"/>
      <c r="Z228" s="2"/>
      <c r="AS228" s="20"/>
    </row>
    <row r="229" spans="1:45" ht="67.95" customHeight="1">
      <c r="A229" s="13" t="s">
        <v>1474</v>
      </c>
      <c r="B229" s="13" t="s">
        <v>51</v>
      </c>
      <c r="C229" s="13" t="s">
        <v>1475</v>
      </c>
      <c r="D229" s="13" t="s">
        <v>1476</v>
      </c>
      <c r="E229" s="13" t="s">
        <v>1477</v>
      </c>
      <c r="F229" s="13">
        <v>2023</v>
      </c>
      <c r="G229" s="13" t="s">
        <v>1478</v>
      </c>
      <c r="H229" s="13" t="s">
        <v>32</v>
      </c>
      <c r="I229" s="13" t="s">
        <v>762</v>
      </c>
      <c r="J229" s="30" t="s">
        <v>658</v>
      </c>
      <c r="K229" s="2"/>
      <c r="L229" s="2"/>
      <c r="M229" s="2"/>
      <c r="N229" s="2"/>
      <c r="O229" s="2"/>
      <c r="P229" s="2"/>
      <c r="Q229" s="2"/>
      <c r="R229" s="2"/>
      <c r="S229" s="2"/>
      <c r="T229" s="2"/>
      <c r="U229" s="2"/>
      <c r="V229" s="2"/>
      <c r="W229" s="2"/>
      <c r="X229" s="2"/>
      <c r="Y229" s="2"/>
      <c r="Z229" s="2"/>
      <c r="AS229" s="20"/>
    </row>
    <row r="230" spans="1:45" ht="67.95" customHeight="1">
      <c r="A230" s="13" t="s">
        <v>1479</v>
      </c>
      <c r="B230" s="13" t="s">
        <v>1480</v>
      </c>
      <c r="C230" s="13" t="s">
        <v>1481</v>
      </c>
      <c r="D230" s="13" t="s">
        <v>1482</v>
      </c>
      <c r="E230" s="13" t="s">
        <v>1483</v>
      </c>
      <c r="F230" s="13">
        <v>2020</v>
      </c>
      <c r="G230" s="13" t="s">
        <v>1484</v>
      </c>
      <c r="H230" s="13" t="s">
        <v>53</v>
      </c>
      <c r="I230" s="13" t="s">
        <v>762</v>
      </c>
      <c r="J230" s="30" t="s">
        <v>567</v>
      </c>
      <c r="K230" s="2"/>
      <c r="L230" s="2"/>
      <c r="M230" s="2"/>
      <c r="N230" s="2"/>
      <c r="O230" s="2"/>
      <c r="P230" s="2"/>
      <c r="Q230" s="2"/>
      <c r="R230" s="2"/>
      <c r="S230" s="2"/>
      <c r="T230" s="2"/>
      <c r="U230" s="2"/>
      <c r="V230" s="2"/>
      <c r="W230" s="2"/>
      <c r="X230" s="2"/>
      <c r="Y230" s="2"/>
      <c r="Z230" s="2"/>
      <c r="AS230" s="20"/>
    </row>
    <row r="231" spans="1:45" ht="67.95" customHeight="1">
      <c r="A231" s="13" t="s">
        <v>1485</v>
      </c>
      <c r="B231" s="13" t="s">
        <v>1486</v>
      </c>
      <c r="C231" s="13" t="s">
        <v>1487</v>
      </c>
      <c r="D231" s="13" t="s">
        <v>1488</v>
      </c>
      <c r="E231" s="13" t="s">
        <v>1489</v>
      </c>
      <c r="F231" s="13">
        <v>2021</v>
      </c>
      <c r="G231" s="13" t="s">
        <v>1490</v>
      </c>
      <c r="H231" s="13" t="s">
        <v>32</v>
      </c>
      <c r="I231" s="13" t="s">
        <v>762</v>
      </c>
      <c r="J231" s="30" t="s">
        <v>567</v>
      </c>
      <c r="K231" s="2"/>
      <c r="L231" s="2"/>
      <c r="M231" s="2"/>
      <c r="N231" s="2"/>
      <c r="O231" s="2"/>
      <c r="P231" s="2"/>
      <c r="Q231" s="2"/>
      <c r="R231" s="2"/>
      <c r="S231" s="2"/>
      <c r="T231" s="2"/>
      <c r="U231" s="2"/>
      <c r="V231" s="2"/>
      <c r="W231" s="2"/>
      <c r="X231" s="2"/>
      <c r="Y231" s="2"/>
      <c r="Z231" s="2"/>
      <c r="AS231" s="20"/>
    </row>
    <row r="232" spans="1:45" ht="67.95" customHeight="1">
      <c r="A232" s="13" t="s">
        <v>1491</v>
      </c>
      <c r="B232" s="13" t="s">
        <v>51</v>
      </c>
      <c r="C232" s="13" t="s">
        <v>51</v>
      </c>
      <c r="D232" s="13" t="s">
        <v>1492</v>
      </c>
      <c r="E232" s="13" t="s">
        <v>51</v>
      </c>
      <c r="F232" s="13">
        <v>2021</v>
      </c>
      <c r="G232" s="13" t="s">
        <v>1493</v>
      </c>
      <c r="H232" s="13" t="s">
        <v>32</v>
      </c>
      <c r="I232" s="13" t="s">
        <v>762</v>
      </c>
      <c r="J232" s="30" t="s">
        <v>658</v>
      </c>
      <c r="K232" s="2"/>
      <c r="L232" s="2"/>
      <c r="M232" s="2"/>
      <c r="N232" s="2"/>
      <c r="O232" s="2"/>
      <c r="P232" s="2"/>
      <c r="Q232" s="2"/>
      <c r="R232" s="2"/>
      <c r="S232" s="2"/>
      <c r="T232" s="2"/>
      <c r="U232" s="2"/>
      <c r="V232" s="2"/>
      <c r="W232" s="2"/>
      <c r="X232" s="2"/>
      <c r="Y232" s="2"/>
      <c r="Z232" s="2"/>
      <c r="AS232" s="20"/>
    </row>
    <row r="233" spans="1:45" ht="67.95" customHeight="1">
      <c r="A233" s="13" t="s">
        <v>1494</v>
      </c>
      <c r="B233" s="13" t="s">
        <v>1495</v>
      </c>
      <c r="C233" s="13" t="s">
        <v>51</v>
      </c>
      <c r="D233" s="13" t="s">
        <v>1496</v>
      </c>
      <c r="E233" s="13" t="s">
        <v>1497</v>
      </c>
      <c r="F233" s="13">
        <v>2024</v>
      </c>
      <c r="G233" s="13" t="s">
        <v>1493</v>
      </c>
      <c r="H233" s="13" t="s">
        <v>32</v>
      </c>
      <c r="I233" s="13" t="s">
        <v>762</v>
      </c>
      <c r="J233" s="30" t="s">
        <v>536</v>
      </c>
      <c r="K233" s="2"/>
      <c r="L233" s="2"/>
      <c r="M233" s="2"/>
      <c r="N233" s="2"/>
      <c r="O233" s="2"/>
      <c r="P233" s="2"/>
      <c r="Q233" s="2"/>
      <c r="R233" s="2"/>
      <c r="S233" s="2"/>
      <c r="T233" s="2"/>
      <c r="U233" s="2"/>
      <c r="V233" s="2"/>
      <c r="W233" s="2"/>
      <c r="X233" s="2"/>
      <c r="Y233" s="2"/>
      <c r="Z233" s="2"/>
      <c r="AS233" s="20"/>
    </row>
    <row r="234" spans="1:45" ht="67.95" customHeight="1">
      <c r="A234" s="13" t="s">
        <v>1498</v>
      </c>
      <c r="B234" s="13" t="s">
        <v>1499</v>
      </c>
      <c r="C234" s="13" t="s">
        <v>1500</v>
      </c>
      <c r="D234" s="13" t="s">
        <v>1501</v>
      </c>
      <c r="E234" s="13" t="s">
        <v>1502</v>
      </c>
      <c r="F234" s="13">
        <v>2023</v>
      </c>
      <c r="G234" s="13" t="s">
        <v>670</v>
      </c>
      <c r="H234" s="13" t="s">
        <v>32</v>
      </c>
      <c r="I234" s="13" t="s">
        <v>762</v>
      </c>
      <c r="J234" s="30" t="s">
        <v>567</v>
      </c>
      <c r="K234" s="2"/>
      <c r="L234" s="2"/>
      <c r="M234" s="2"/>
      <c r="N234" s="2"/>
      <c r="O234" s="2"/>
      <c r="P234" s="2"/>
      <c r="Q234" s="2"/>
      <c r="R234" s="2"/>
      <c r="S234" s="2"/>
      <c r="T234" s="2"/>
      <c r="U234" s="2"/>
      <c r="V234" s="2"/>
      <c r="W234" s="2"/>
      <c r="X234" s="2"/>
      <c r="Y234" s="2"/>
      <c r="Z234" s="2"/>
      <c r="AS234" s="20"/>
    </row>
    <row r="235" spans="1:45" ht="67.95" customHeight="1">
      <c r="A235" s="13" t="s">
        <v>1503</v>
      </c>
      <c r="B235" s="13" t="s">
        <v>1504</v>
      </c>
      <c r="C235" s="13" t="s">
        <v>1505</v>
      </c>
      <c r="D235" s="13" t="s">
        <v>1506</v>
      </c>
      <c r="E235" s="13" t="s">
        <v>1507</v>
      </c>
      <c r="F235" s="13">
        <v>2020</v>
      </c>
      <c r="G235" s="13" t="s">
        <v>627</v>
      </c>
      <c r="H235" s="13" t="s">
        <v>32</v>
      </c>
      <c r="I235" s="13" t="s">
        <v>762</v>
      </c>
      <c r="J235" s="30" t="s">
        <v>567</v>
      </c>
      <c r="K235" s="2"/>
      <c r="L235" s="2"/>
      <c r="M235" s="2"/>
      <c r="N235" s="2"/>
      <c r="O235" s="2"/>
      <c r="P235" s="2"/>
      <c r="Q235" s="2"/>
      <c r="R235" s="2"/>
      <c r="S235" s="2"/>
      <c r="T235" s="2"/>
      <c r="U235" s="2"/>
      <c r="V235" s="2"/>
      <c r="W235" s="2"/>
      <c r="X235" s="2"/>
      <c r="Y235" s="2"/>
      <c r="Z235" s="2"/>
      <c r="AS235" s="20"/>
    </row>
    <row r="236" spans="1:45" ht="67.95" customHeight="1">
      <c r="A236" s="13" t="s">
        <v>1508</v>
      </c>
      <c r="B236" s="13" t="s">
        <v>1509</v>
      </c>
      <c r="C236" s="13" t="s">
        <v>1510</v>
      </c>
      <c r="D236" s="13" t="s">
        <v>1511</v>
      </c>
      <c r="E236" s="13" t="s">
        <v>1512</v>
      </c>
      <c r="F236" s="13">
        <v>2024</v>
      </c>
      <c r="G236" s="13" t="s">
        <v>1513</v>
      </c>
      <c r="H236" s="13" t="s">
        <v>53</v>
      </c>
      <c r="I236" s="13" t="s">
        <v>762</v>
      </c>
      <c r="J236" s="30" t="s">
        <v>536</v>
      </c>
      <c r="K236" s="2"/>
      <c r="L236" s="2"/>
      <c r="M236" s="2"/>
      <c r="N236" s="2"/>
      <c r="O236" s="2"/>
      <c r="P236" s="2"/>
      <c r="Q236" s="2"/>
      <c r="R236" s="2"/>
      <c r="S236" s="2"/>
      <c r="T236" s="2"/>
      <c r="U236" s="2"/>
      <c r="V236" s="2"/>
      <c r="W236" s="2"/>
      <c r="X236" s="2"/>
      <c r="Y236" s="2"/>
      <c r="Z236" s="2"/>
      <c r="AS236" s="20"/>
    </row>
    <row r="237" spans="1:45" ht="67.95" customHeight="1">
      <c r="A237" s="13" t="s">
        <v>1514</v>
      </c>
      <c r="B237" s="13" t="s">
        <v>1515</v>
      </c>
      <c r="C237" s="13" t="s">
        <v>1516</v>
      </c>
      <c r="D237" s="13" t="s">
        <v>1517</v>
      </c>
      <c r="E237" s="13" t="s">
        <v>51</v>
      </c>
      <c r="F237" s="13">
        <v>2016</v>
      </c>
      <c r="G237" s="13" t="s">
        <v>1391</v>
      </c>
      <c r="H237" s="13" t="s">
        <v>53</v>
      </c>
      <c r="I237" s="13" t="s">
        <v>762</v>
      </c>
      <c r="J237" s="30" t="s">
        <v>646</v>
      </c>
      <c r="K237" s="2"/>
      <c r="L237" s="2"/>
      <c r="M237" s="2"/>
      <c r="N237" s="2"/>
      <c r="O237" s="2"/>
      <c r="P237" s="2"/>
      <c r="Q237" s="2"/>
      <c r="R237" s="2"/>
      <c r="S237" s="2"/>
      <c r="T237" s="2"/>
      <c r="U237" s="2"/>
      <c r="V237" s="2"/>
      <c r="W237" s="2"/>
      <c r="X237" s="2"/>
      <c r="Y237" s="2"/>
      <c r="Z237" s="2"/>
      <c r="AS237" s="20"/>
    </row>
    <row r="238" spans="1:45" ht="67.95" customHeight="1">
      <c r="A238" s="13" t="s">
        <v>1518</v>
      </c>
      <c r="B238" s="13" t="s">
        <v>1519</v>
      </c>
      <c r="C238" s="13" t="s">
        <v>1520</v>
      </c>
      <c r="D238" s="13" t="s">
        <v>1521</v>
      </c>
      <c r="E238" s="13" t="s">
        <v>1522</v>
      </c>
      <c r="F238" s="13">
        <v>2016</v>
      </c>
      <c r="G238" s="13" t="s">
        <v>756</v>
      </c>
      <c r="H238" s="13" t="s">
        <v>32</v>
      </c>
      <c r="I238" s="13" t="s">
        <v>762</v>
      </c>
      <c r="J238" s="30" t="s">
        <v>567</v>
      </c>
      <c r="K238" s="2"/>
      <c r="L238" s="2"/>
      <c r="M238" s="2"/>
      <c r="N238" s="2"/>
      <c r="O238" s="2"/>
      <c r="P238" s="2"/>
      <c r="Q238" s="2"/>
      <c r="R238" s="2"/>
      <c r="S238" s="2"/>
      <c r="T238" s="2"/>
      <c r="U238" s="2"/>
      <c r="V238" s="2"/>
      <c r="W238" s="2"/>
      <c r="X238" s="2"/>
      <c r="Y238" s="2"/>
      <c r="Z238" s="2"/>
      <c r="AS238" s="20"/>
    </row>
    <row r="239" spans="1:45" ht="67.95" customHeight="1">
      <c r="A239" s="13" t="s">
        <v>1523</v>
      </c>
      <c r="B239" s="13" t="s">
        <v>1524</v>
      </c>
      <c r="C239" s="13" t="s">
        <v>1525</v>
      </c>
      <c r="D239" s="13" t="s">
        <v>1526</v>
      </c>
      <c r="E239" s="13" t="s">
        <v>1527</v>
      </c>
      <c r="F239" s="13">
        <v>2019</v>
      </c>
      <c r="G239" s="13" t="s">
        <v>1391</v>
      </c>
      <c r="H239" s="13" t="s">
        <v>53</v>
      </c>
      <c r="I239" s="13" t="s">
        <v>762</v>
      </c>
      <c r="J239" s="30" t="s">
        <v>646</v>
      </c>
      <c r="K239" s="2"/>
      <c r="L239" s="2"/>
      <c r="M239" s="2"/>
      <c r="N239" s="2"/>
      <c r="O239" s="2"/>
      <c r="P239" s="2"/>
      <c r="Q239" s="2"/>
      <c r="R239" s="2"/>
      <c r="S239" s="2"/>
      <c r="T239" s="2"/>
      <c r="U239" s="2"/>
      <c r="V239" s="2"/>
      <c r="W239" s="2"/>
      <c r="X239" s="2"/>
      <c r="Y239" s="2"/>
      <c r="Z239" s="2"/>
      <c r="AS239" s="20"/>
    </row>
    <row r="240" spans="1:45" ht="67.95" customHeight="1">
      <c r="A240" s="13" t="s">
        <v>1528</v>
      </c>
      <c r="B240" s="13" t="s">
        <v>1529</v>
      </c>
      <c r="C240" s="13" t="s">
        <v>1530</v>
      </c>
      <c r="D240" s="13" t="s">
        <v>1531</v>
      </c>
      <c r="E240" s="13" t="s">
        <v>1532</v>
      </c>
      <c r="F240" s="13">
        <v>2018</v>
      </c>
      <c r="G240" s="13" t="s">
        <v>1391</v>
      </c>
      <c r="H240" s="13" t="s">
        <v>53</v>
      </c>
      <c r="I240" s="13" t="s">
        <v>762</v>
      </c>
      <c r="J240" s="30" t="s">
        <v>579</v>
      </c>
      <c r="K240" s="2"/>
      <c r="L240" s="2"/>
      <c r="M240" s="2"/>
      <c r="N240" s="2"/>
      <c r="O240" s="2"/>
      <c r="P240" s="2"/>
      <c r="Q240" s="2"/>
      <c r="R240" s="2"/>
      <c r="S240" s="2"/>
      <c r="T240" s="2"/>
      <c r="U240" s="2"/>
      <c r="V240" s="2"/>
      <c r="W240" s="2"/>
      <c r="X240" s="2"/>
      <c r="Y240" s="2"/>
      <c r="Z240" s="2"/>
      <c r="AS240" s="20"/>
    </row>
    <row r="241" spans="1:45" ht="67.95" customHeight="1">
      <c r="A241" s="13" t="s">
        <v>1533</v>
      </c>
      <c r="B241" s="13" t="s">
        <v>1534</v>
      </c>
      <c r="C241" s="13" t="s">
        <v>1535</v>
      </c>
      <c r="D241" s="13" t="s">
        <v>1536</v>
      </c>
      <c r="E241" s="13" t="s">
        <v>51</v>
      </c>
      <c r="F241" s="13">
        <v>2023</v>
      </c>
      <c r="G241" s="13" t="s">
        <v>31</v>
      </c>
      <c r="H241" s="13" t="s">
        <v>53</v>
      </c>
      <c r="I241" s="13" t="s">
        <v>762</v>
      </c>
      <c r="J241" s="30" t="s">
        <v>536</v>
      </c>
      <c r="K241" s="2"/>
      <c r="L241" s="2"/>
      <c r="M241" s="2"/>
      <c r="N241" s="2"/>
      <c r="O241" s="2"/>
      <c r="P241" s="2"/>
      <c r="Q241" s="2"/>
      <c r="R241" s="2"/>
      <c r="S241" s="2"/>
      <c r="T241" s="2"/>
      <c r="U241" s="2"/>
      <c r="V241" s="2"/>
      <c r="W241" s="2"/>
      <c r="X241" s="2"/>
      <c r="Y241" s="2"/>
      <c r="Z241" s="2"/>
      <c r="AS241" s="20"/>
    </row>
    <row r="242" spans="1:45" ht="67.95" customHeight="1">
      <c r="A242" s="13" t="s">
        <v>1537</v>
      </c>
      <c r="B242" s="13" t="s">
        <v>1538</v>
      </c>
      <c r="C242" s="13" t="s">
        <v>1539</v>
      </c>
      <c r="D242" s="13" t="s">
        <v>1540</v>
      </c>
      <c r="E242" s="13" t="s">
        <v>1541</v>
      </c>
      <c r="F242" s="13">
        <v>2019</v>
      </c>
      <c r="G242" s="13" t="s">
        <v>842</v>
      </c>
      <c r="H242" s="13" t="s">
        <v>32</v>
      </c>
      <c r="I242" s="13" t="s">
        <v>762</v>
      </c>
      <c r="J242" s="30" t="s">
        <v>543</v>
      </c>
      <c r="K242" s="2"/>
      <c r="L242" s="2"/>
      <c r="M242" s="2"/>
      <c r="N242" s="2"/>
      <c r="O242" s="2"/>
      <c r="P242" s="2"/>
      <c r="Q242" s="2"/>
      <c r="R242" s="2"/>
      <c r="S242" s="2"/>
      <c r="T242" s="2"/>
      <c r="U242" s="2"/>
      <c r="V242" s="2"/>
      <c r="W242" s="2"/>
      <c r="X242" s="2"/>
      <c r="Y242" s="2"/>
      <c r="Z242" s="2"/>
      <c r="AS242" s="20"/>
    </row>
    <row r="243" spans="1:45" ht="67.95" customHeight="1">
      <c r="A243" s="13" t="s">
        <v>1542</v>
      </c>
      <c r="B243" s="13" t="s">
        <v>1543</v>
      </c>
      <c r="C243" s="13" t="s">
        <v>1544</v>
      </c>
      <c r="D243" s="13" t="s">
        <v>1545</v>
      </c>
      <c r="E243" s="13" t="s">
        <v>1546</v>
      </c>
      <c r="F243" s="13">
        <v>2021</v>
      </c>
      <c r="G243" s="13" t="s">
        <v>728</v>
      </c>
      <c r="H243" s="13" t="s">
        <v>32</v>
      </c>
      <c r="I243" s="13" t="s">
        <v>762</v>
      </c>
      <c r="J243" s="30" t="s">
        <v>567</v>
      </c>
      <c r="K243" s="2"/>
      <c r="L243" s="2"/>
      <c r="M243" s="2"/>
      <c r="N243" s="2"/>
      <c r="O243" s="2"/>
      <c r="P243" s="2"/>
      <c r="Q243" s="2"/>
      <c r="R243" s="2"/>
      <c r="S243" s="2"/>
      <c r="T243" s="2"/>
      <c r="U243" s="2"/>
      <c r="V243" s="2"/>
      <c r="W243" s="2"/>
      <c r="X243" s="2"/>
      <c r="Y243" s="2"/>
      <c r="Z243" s="2"/>
      <c r="AS243" s="20"/>
    </row>
    <row r="244" spans="1:45" ht="67.95" customHeight="1">
      <c r="A244" s="13" t="s">
        <v>1547</v>
      </c>
      <c r="B244" s="13" t="s">
        <v>1548</v>
      </c>
      <c r="C244" s="13" t="s">
        <v>1549</v>
      </c>
      <c r="D244" s="13" t="s">
        <v>1550</v>
      </c>
      <c r="E244" s="13" t="s">
        <v>1551</v>
      </c>
      <c r="F244" s="13">
        <v>2020</v>
      </c>
      <c r="G244" s="13" t="s">
        <v>1552</v>
      </c>
      <c r="H244" s="13" t="s">
        <v>53</v>
      </c>
      <c r="I244" s="13" t="s">
        <v>762</v>
      </c>
      <c r="J244" s="30" t="s">
        <v>536</v>
      </c>
      <c r="K244" s="2"/>
      <c r="L244" s="2"/>
      <c r="M244" s="2"/>
      <c r="N244" s="2"/>
      <c r="O244" s="2"/>
      <c r="P244" s="2"/>
      <c r="Q244" s="2"/>
      <c r="R244" s="2"/>
      <c r="S244" s="2"/>
      <c r="T244" s="2"/>
      <c r="U244" s="2"/>
      <c r="V244" s="2"/>
      <c r="W244" s="2"/>
      <c r="X244" s="2"/>
      <c r="Y244" s="2"/>
      <c r="Z244" s="2"/>
      <c r="AS244" s="20"/>
    </row>
    <row r="245" spans="1:45" ht="67.95" customHeight="1">
      <c r="A245" s="13" t="s">
        <v>1553</v>
      </c>
      <c r="B245" s="13" t="s">
        <v>1554</v>
      </c>
      <c r="C245" s="13" t="s">
        <v>1555</v>
      </c>
      <c r="D245" s="13" t="s">
        <v>1556</v>
      </c>
      <c r="E245" s="13" t="s">
        <v>1557</v>
      </c>
      <c r="F245" s="13">
        <v>2017</v>
      </c>
      <c r="G245" s="13" t="s">
        <v>1558</v>
      </c>
      <c r="H245" s="13" t="s">
        <v>53</v>
      </c>
      <c r="I245" s="13" t="s">
        <v>762</v>
      </c>
      <c r="J245" s="30" t="s">
        <v>567</v>
      </c>
      <c r="K245" s="2"/>
      <c r="L245" s="2"/>
      <c r="M245" s="2"/>
      <c r="N245" s="2"/>
      <c r="O245" s="2"/>
      <c r="P245" s="2"/>
      <c r="Q245" s="2"/>
      <c r="R245" s="2"/>
      <c r="S245" s="2"/>
      <c r="T245" s="2"/>
      <c r="U245" s="2"/>
      <c r="V245" s="2"/>
      <c r="W245" s="2"/>
      <c r="X245" s="2"/>
      <c r="Y245" s="2"/>
      <c r="Z245" s="2"/>
      <c r="AS245" s="20"/>
    </row>
    <row r="246" spans="1:45" ht="67.95" customHeight="1">
      <c r="A246" s="13" t="s">
        <v>1559</v>
      </c>
      <c r="B246" s="13" t="s">
        <v>1560</v>
      </c>
      <c r="C246" s="13" t="s">
        <v>1561</v>
      </c>
      <c r="D246" s="13" t="s">
        <v>1562</v>
      </c>
      <c r="E246" s="13" t="s">
        <v>51</v>
      </c>
      <c r="F246" s="13">
        <v>2017</v>
      </c>
      <c r="G246" s="13" t="s">
        <v>1563</v>
      </c>
      <c r="H246" s="13" t="s">
        <v>53</v>
      </c>
      <c r="I246" s="13" t="s">
        <v>762</v>
      </c>
      <c r="J246" s="30" t="s">
        <v>536</v>
      </c>
      <c r="K246" s="2"/>
      <c r="L246" s="2"/>
      <c r="M246" s="2"/>
      <c r="N246" s="2"/>
      <c r="O246" s="2"/>
      <c r="P246" s="2"/>
      <c r="Q246" s="2"/>
      <c r="R246" s="2"/>
      <c r="S246" s="2"/>
      <c r="T246" s="2"/>
      <c r="U246" s="2"/>
      <c r="V246" s="2"/>
      <c r="W246" s="2"/>
      <c r="X246" s="2"/>
      <c r="Y246" s="2"/>
      <c r="Z246" s="2"/>
      <c r="AS246" s="20"/>
    </row>
    <row r="247" spans="1:45" ht="67.95" customHeight="1">
      <c r="A247" s="13" t="s">
        <v>1564</v>
      </c>
      <c r="B247" s="13" t="s">
        <v>1565</v>
      </c>
      <c r="C247" s="13" t="s">
        <v>1566</v>
      </c>
      <c r="D247" s="13" t="s">
        <v>1567</v>
      </c>
      <c r="E247" s="13" t="s">
        <v>1568</v>
      </c>
      <c r="F247" s="13">
        <v>2020</v>
      </c>
      <c r="G247" s="13" t="s">
        <v>1569</v>
      </c>
      <c r="H247" s="13" t="s">
        <v>53</v>
      </c>
      <c r="I247" s="13" t="s">
        <v>762</v>
      </c>
      <c r="J247" s="30" t="s">
        <v>536</v>
      </c>
      <c r="K247" s="2"/>
      <c r="L247" s="2"/>
      <c r="M247" s="2"/>
      <c r="N247" s="2"/>
      <c r="O247" s="2"/>
      <c r="P247" s="2"/>
      <c r="Q247" s="2"/>
      <c r="R247" s="2"/>
      <c r="S247" s="2"/>
      <c r="T247" s="2"/>
      <c r="U247" s="2"/>
      <c r="V247" s="2"/>
      <c r="W247" s="2"/>
      <c r="X247" s="2"/>
      <c r="Y247" s="2"/>
      <c r="Z247" s="2"/>
      <c r="AS247" s="20"/>
    </row>
    <row r="248" spans="1:45" ht="67.95" customHeight="1">
      <c r="A248" s="13" t="s">
        <v>1570</v>
      </c>
      <c r="B248" s="13" t="s">
        <v>1321</v>
      </c>
      <c r="C248" s="13" t="s">
        <v>1571</v>
      </c>
      <c r="D248" s="13" t="s">
        <v>1572</v>
      </c>
      <c r="E248" s="13" t="s">
        <v>1573</v>
      </c>
      <c r="F248" s="13">
        <v>2025</v>
      </c>
      <c r="G248" s="13" t="s">
        <v>615</v>
      </c>
      <c r="H248" s="13" t="s">
        <v>32</v>
      </c>
      <c r="I248" s="13" t="s">
        <v>762</v>
      </c>
      <c r="J248" s="30" t="s">
        <v>536</v>
      </c>
      <c r="K248" s="2"/>
      <c r="L248" s="2"/>
      <c r="M248" s="2"/>
      <c r="N248" s="2"/>
      <c r="O248" s="2"/>
      <c r="P248" s="2"/>
      <c r="Q248" s="2"/>
      <c r="R248" s="2"/>
      <c r="S248" s="2"/>
      <c r="T248" s="2"/>
      <c r="U248" s="2"/>
      <c r="V248" s="2"/>
      <c r="W248" s="2"/>
      <c r="X248" s="2"/>
      <c r="Y248" s="2"/>
      <c r="Z248" s="2"/>
      <c r="AS248" s="20"/>
    </row>
    <row r="249" spans="1:45" ht="67.95" customHeight="1">
      <c r="A249" s="13" t="s">
        <v>1574</v>
      </c>
      <c r="B249" s="13" t="s">
        <v>1575</v>
      </c>
      <c r="C249" s="13" t="s">
        <v>1576</v>
      </c>
      <c r="D249" s="13" t="s">
        <v>1577</v>
      </c>
      <c r="E249" s="13" t="s">
        <v>1578</v>
      </c>
      <c r="F249" s="13">
        <v>2019</v>
      </c>
      <c r="G249" s="13" t="s">
        <v>1579</v>
      </c>
      <c r="H249" s="13" t="s">
        <v>53</v>
      </c>
      <c r="I249" s="13" t="s">
        <v>762</v>
      </c>
      <c r="J249" s="30" t="s">
        <v>536</v>
      </c>
      <c r="K249" s="2"/>
      <c r="L249" s="2"/>
      <c r="M249" s="2"/>
      <c r="N249" s="2"/>
      <c r="O249" s="2"/>
      <c r="P249" s="2"/>
      <c r="Q249" s="2"/>
      <c r="R249" s="2"/>
      <c r="S249" s="2"/>
      <c r="T249" s="2"/>
      <c r="U249" s="2"/>
      <c r="V249" s="2"/>
      <c r="W249" s="2"/>
      <c r="X249" s="2"/>
      <c r="Y249" s="2"/>
      <c r="Z249" s="2"/>
      <c r="AS249" s="20"/>
    </row>
    <row r="250" spans="1:45" ht="67.95" customHeight="1">
      <c r="A250" s="13" t="s">
        <v>1580</v>
      </c>
      <c r="B250" s="13" t="s">
        <v>1581</v>
      </c>
      <c r="C250" s="13" t="s">
        <v>1582</v>
      </c>
      <c r="D250" s="13" t="s">
        <v>1583</v>
      </c>
      <c r="E250" s="13" t="s">
        <v>1584</v>
      </c>
      <c r="F250" s="13">
        <v>2021</v>
      </c>
      <c r="G250" s="13" t="s">
        <v>1585</v>
      </c>
      <c r="H250" s="13" t="s">
        <v>53</v>
      </c>
      <c r="I250" s="13" t="s">
        <v>762</v>
      </c>
      <c r="J250" s="30" t="s">
        <v>536</v>
      </c>
      <c r="K250" s="2"/>
      <c r="L250" s="2"/>
      <c r="M250" s="2"/>
      <c r="N250" s="2"/>
      <c r="O250" s="2"/>
      <c r="P250" s="2"/>
      <c r="Q250" s="2"/>
      <c r="R250" s="2"/>
      <c r="S250" s="2"/>
      <c r="T250" s="2"/>
      <c r="U250" s="2"/>
      <c r="V250" s="2"/>
      <c r="W250" s="2"/>
      <c r="X250" s="2"/>
      <c r="Y250" s="2"/>
      <c r="Z250" s="2"/>
      <c r="AS250" s="20"/>
    </row>
    <row r="251" spans="1:45" ht="67.95" customHeight="1">
      <c r="A251" s="13" t="s">
        <v>1586</v>
      </c>
      <c r="B251" s="13" t="s">
        <v>1587</v>
      </c>
      <c r="C251" s="13" t="s">
        <v>1588</v>
      </c>
      <c r="D251" s="13" t="s">
        <v>1589</v>
      </c>
      <c r="E251" s="13" t="s">
        <v>1590</v>
      </c>
      <c r="F251" s="13">
        <v>2022</v>
      </c>
      <c r="G251" s="13" t="s">
        <v>1591</v>
      </c>
      <c r="H251" s="13" t="s">
        <v>53</v>
      </c>
      <c r="I251" s="13" t="s">
        <v>762</v>
      </c>
      <c r="J251" s="30" t="s">
        <v>536</v>
      </c>
      <c r="K251" s="2"/>
      <c r="L251" s="2"/>
      <c r="M251" s="2"/>
      <c r="N251" s="2"/>
      <c r="O251" s="2"/>
      <c r="P251" s="2"/>
      <c r="Q251" s="2"/>
      <c r="R251" s="2"/>
      <c r="S251" s="2"/>
      <c r="T251" s="2"/>
      <c r="U251" s="2"/>
      <c r="V251" s="2"/>
      <c r="W251" s="2"/>
      <c r="X251" s="2"/>
      <c r="Y251" s="2"/>
      <c r="Z251" s="2"/>
      <c r="AS251" s="20"/>
    </row>
    <row r="252" spans="1:45" ht="67.95" customHeight="1">
      <c r="A252" s="13" t="s">
        <v>1592</v>
      </c>
      <c r="B252" s="13" t="s">
        <v>1593</v>
      </c>
      <c r="C252" s="13" t="s">
        <v>1594</v>
      </c>
      <c r="D252" s="13" t="s">
        <v>1595</v>
      </c>
      <c r="E252" s="13" t="s">
        <v>1596</v>
      </c>
      <c r="F252" s="13">
        <v>2022</v>
      </c>
      <c r="G252" s="13" t="s">
        <v>1597</v>
      </c>
      <c r="H252" s="13" t="s">
        <v>32</v>
      </c>
      <c r="I252" s="13" t="s">
        <v>762</v>
      </c>
      <c r="J252" s="30" t="s">
        <v>543</v>
      </c>
      <c r="K252" s="2"/>
      <c r="L252" s="2"/>
      <c r="M252" s="2"/>
      <c r="N252" s="2"/>
      <c r="O252" s="2"/>
      <c r="P252" s="2"/>
      <c r="Q252" s="2"/>
      <c r="R252" s="2"/>
      <c r="S252" s="2"/>
      <c r="T252" s="2"/>
      <c r="U252" s="2"/>
      <c r="V252" s="2"/>
      <c r="W252" s="2"/>
      <c r="X252" s="2"/>
      <c r="Y252" s="2"/>
      <c r="Z252" s="2"/>
      <c r="AS252" s="20"/>
    </row>
    <row r="253" spans="1:45" ht="67.95" customHeight="1">
      <c r="A253" s="13" t="s">
        <v>1598</v>
      </c>
      <c r="B253" s="13" t="s">
        <v>1599</v>
      </c>
      <c r="C253" s="13" t="s">
        <v>1600</v>
      </c>
      <c r="D253" s="13" t="s">
        <v>1601</v>
      </c>
      <c r="E253" s="13" t="s">
        <v>1602</v>
      </c>
      <c r="F253" s="13">
        <v>2021</v>
      </c>
      <c r="G253" s="13" t="s">
        <v>1513</v>
      </c>
      <c r="H253" s="13" t="s">
        <v>53</v>
      </c>
      <c r="I253" s="13" t="s">
        <v>762</v>
      </c>
      <c r="J253" s="30" t="s">
        <v>536</v>
      </c>
      <c r="K253" s="2"/>
      <c r="L253" s="2"/>
      <c r="M253" s="2"/>
      <c r="N253" s="2"/>
      <c r="O253" s="2"/>
      <c r="P253" s="2"/>
      <c r="Q253" s="2"/>
      <c r="R253" s="2"/>
      <c r="S253" s="2"/>
      <c r="T253" s="2"/>
      <c r="U253" s="2"/>
      <c r="V253" s="2"/>
      <c r="W253" s="2"/>
      <c r="X253" s="2"/>
      <c r="Y253" s="2"/>
      <c r="Z253" s="2"/>
      <c r="AS253" s="20"/>
    </row>
    <row r="254" spans="1:45" ht="67.95" customHeight="1">
      <c r="A254" s="13" t="s">
        <v>1603</v>
      </c>
      <c r="B254" s="13" t="s">
        <v>1604</v>
      </c>
      <c r="C254" s="13" t="s">
        <v>1605</v>
      </c>
      <c r="D254" s="13" t="s">
        <v>1606</v>
      </c>
      <c r="E254" s="13" t="s">
        <v>51</v>
      </c>
      <c r="F254" s="13">
        <v>2017</v>
      </c>
      <c r="G254" s="13" t="s">
        <v>1607</v>
      </c>
      <c r="H254" s="13" t="s">
        <v>53</v>
      </c>
      <c r="I254" s="13" t="s">
        <v>762</v>
      </c>
      <c r="J254" s="30" t="s">
        <v>543</v>
      </c>
      <c r="K254" s="2"/>
      <c r="L254" s="2"/>
      <c r="M254" s="2"/>
      <c r="N254" s="2"/>
      <c r="O254" s="2"/>
      <c r="P254" s="2"/>
      <c r="Q254" s="2"/>
      <c r="R254" s="2"/>
      <c r="S254" s="2"/>
      <c r="T254" s="2"/>
      <c r="U254" s="2"/>
      <c r="V254" s="2"/>
      <c r="W254" s="2"/>
      <c r="X254" s="2"/>
      <c r="Y254" s="2"/>
      <c r="Z254" s="2"/>
      <c r="AS254" s="20"/>
    </row>
    <row r="255" spans="1:45" ht="67.95" customHeight="1">
      <c r="A255" s="13" t="s">
        <v>1608</v>
      </c>
      <c r="B255" s="13" t="s">
        <v>1609</v>
      </c>
      <c r="C255" s="13" t="s">
        <v>1610</v>
      </c>
      <c r="D255" s="13" t="s">
        <v>1611</v>
      </c>
      <c r="E255" s="13" t="s">
        <v>1612</v>
      </c>
      <c r="F255" s="13">
        <v>2016</v>
      </c>
      <c r="G255" s="13" t="s">
        <v>1613</v>
      </c>
      <c r="H255" s="13" t="s">
        <v>32</v>
      </c>
      <c r="I255" s="13" t="s">
        <v>762</v>
      </c>
      <c r="J255" s="30" t="s">
        <v>579</v>
      </c>
      <c r="K255" s="2"/>
      <c r="L255" s="2"/>
      <c r="M255" s="2"/>
      <c r="N255" s="2"/>
      <c r="O255" s="2"/>
      <c r="P255" s="2"/>
      <c r="Q255" s="2"/>
      <c r="R255" s="2"/>
      <c r="S255" s="2"/>
      <c r="T255" s="2"/>
      <c r="U255" s="2"/>
      <c r="V255" s="2"/>
      <c r="W255" s="2"/>
      <c r="X255" s="2"/>
      <c r="Y255" s="2"/>
      <c r="Z255" s="2"/>
      <c r="AS255" s="20"/>
    </row>
    <row r="256" spans="1:45" ht="67.95" customHeight="1">
      <c r="A256" s="13" t="s">
        <v>1614</v>
      </c>
      <c r="B256" s="13" t="s">
        <v>1615</v>
      </c>
      <c r="C256" s="13" t="s">
        <v>1616</v>
      </c>
      <c r="D256" s="13" t="s">
        <v>1617</v>
      </c>
      <c r="E256" s="13" t="s">
        <v>1618</v>
      </c>
      <c r="F256" s="13">
        <v>2023</v>
      </c>
      <c r="G256" s="13" t="s">
        <v>688</v>
      </c>
      <c r="H256" s="13" t="s">
        <v>32</v>
      </c>
      <c r="I256" s="13" t="s">
        <v>762</v>
      </c>
      <c r="J256" s="30" t="s">
        <v>567</v>
      </c>
      <c r="K256" s="2"/>
      <c r="L256" s="2"/>
      <c r="M256" s="2"/>
      <c r="N256" s="2"/>
      <c r="O256" s="2"/>
      <c r="P256" s="2"/>
      <c r="Q256" s="2"/>
      <c r="R256" s="2"/>
      <c r="S256" s="2"/>
      <c r="T256" s="2"/>
      <c r="U256" s="2"/>
      <c r="V256" s="2"/>
      <c r="W256" s="2"/>
      <c r="X256" s="2"/>
      <c r="Y256" s="2"/>
      <c r="Z256" s="2"/>
      <c r="AS256" s="20"/>
    </row>
    <row r="257" spans="1:45" ht="67.95" customHeight="1">
      <c r="A257" s="13" t="s">
        <v>1619</v>
      </c>
      <c r="B257" s="13" t="s">
        <v>1620</v>
      </c>
      <c r="C257" s="13" t="s">
        <v>1621</v>
      </c>
      <c r="D257" s="13" t="s">
        <v>1622</v>
      </c>
      <c r="E257" s="13" t="s">
        <v>1623</v>
      </c>
      <c r="F257" s="13">
        <v>2021</v>
      </c>
      <c r="G257" s="13" t="s">
        <v>1624</v>
      </c>
      <c r="H257" s="13" t="s">
        <v>32</v>
      </c>
      <c r="I257" s="13" t="s">
        <v>762</v>
      </c>
      <c r="J257" s="30" t="s">
        <v>567</v>
      </c>
      <c r="K257" s="2"/>
      <c r="L257" s="2"/>
      <c r="M257" s="2"/>
      <c r="N257" s="2"/>
      <c r="O257" s="2"/>
      <c r="P257" s="2"/>
      <c r="Q257" s="2"/>
      <c r="R257" s="2"/>
      <c r="S257" s="2"/>
      <c r="T257" s="2"/>
      <c r="U257" s="2"/>
      <c r="V257" s="2"/>
      <c r="W257" s="2"/>
      <c r="X257" s="2"/>
      <c r="Y257" s="2"/>
      <c r="Z257" s="2"/>
      <c r="AS257" s="20"/>
    </row>
    <row r="258" spans="1:45" ht="67.95" customHeight="1">
      <c r="A258" s="13" t="s">
        <v>1625</v>
      </c>
      <c r="B258" s="13" t="s">
        <v>1626</v>
      </c>
      <c r="C258" s="13" t="s">
        <v>1627</v>
      </c>
      <c r="D258" s="13" t="s">
        <v>1628</v>
      </c>
      <c r="E258" s="13" t="s">
        <v>1629</v>
      </c>
      <c r="F258" s="13">
        <v>2024</v>
      </c>
      <c r="G258" s="13" t="s">
        <v>1630</v>
      </c>
      <c r="H258" s="13" t="s">
        <v>53</v>
      </c>
      <c r="I258" s="13" t="s">
        <v>762</v>
      </c>
      <c r="J258" s="30" t="s">
        <v>579</v>
      </c>
      <c r="K258" s="2"/>
      <c r="L258" s="2"/>
      <c r="M258" s="2"/>
      <c r="N258" s="2"/>
      <c r="O258" s="2"/>
      <c r="P258" s="2"/>
      <c r="Q258" s="2"/>
      <c r="R258" s="2"/>
      <c r="S258" s="2"/>
      <c r="T258" s="2"/>
      <c r="U258" s="2"/>
      <c r="V258" s="2"/>
      <c r="W258" s="2"/>
      <c r="X258" s="2"/>
      <c r="Y258" s="2"/>
      <c r="Z258" s="2"/>
      <c r="AS258" s="20"/>
    </row>
    <row r="259" spans="1:45" ht="67.95" customHeight="1">
      <c r="A259" s="13" t="s">
        <v>1631</v>
      </c>
      <c r="B259" s="13" t="s">
        <v>1632</v>
      </c>
      <c r="C259" s="13" t="s">
        <v>1633</v>
      </c>
      <c r="D259" s="13" t="s">
        <v>1634</v>
      </c>
      <c r="E259" s="13" t="s">
        <v>1635</v>
      </c>
      <c r="F259" s="13">
        <v>2019</v>
      </c>
      <c r="G259" s="13" t="s">
        <v>1636</v>
      </c>
      <c r="H259" s="13" t="s">
        <v>53</v>
      </c>
      <c r="I259" s="13" t="s">
        <v>762</v>
      </c>
      <c r="J259" s="30" t="s">
        <v>536</v>
      </c>
      <c r="K259" s="2"/>
      <c r="L259" s="2"/>
      <c r="M259" s="2"/>
      <c r="N259" s="2"/>
      <c r="O259" s="2"/>
      <c r="P259" s="2"/>
      <c r="Q259" s="2"/>
      <c r="R259" s="2"/>
      <c r="S259" s="2"/>
      <c r="T259" s="2"/>
      <c r="U259" s="2"/>
      <c r="V259" s="2"/>
      <c r="W259" s="2"/>
      <c r="X259" s="2"/>
      <c r="Y259" s="2"/>
      <c r="Z259" s="2"/>
      <c r="AS259" s="20"/>
    </row>
    <row r="260" spans="1:45" ht="67.95" customHeight="1">
      <c r="A260" s="13" t="s">
        <v>1637</v>
      </c>
      <c r="B260" s="13" t="s">
        <v>1638</v>
      </c>
      <c r="C260" s="13" t="s">
        <v>1639</v>
      </c>
      <c r="D260" s="13" t="s">
        <v>1640</v>
      </c>
      <c r="E260" s="13" t="s">
        <v>1641</v>
      </c>
      <c r="F260" s="13">
        <v>2021</v>
      </c>
      <c r="G260" s="13" t="s">
        <v>1642</v>
      </c>
      <c r="H260" s="13" t="s">
        <v>32</v>
      </c>
      <c r="I260" s="13" t="s">
        <v>762</v>
      </c>
      <c r="J260" s="30" t="s">
        <v>536</v>
      </c>
      <c r="K260" s="2"/>
      <c r="L260" s="2"/>
      <c r="M260" s="2"/>
      <c r="N260" s="2"/>
      <c r="O260" s="2"/>
      <c r="P260" s="2"/>
      <c r="Q260" s="2"/>
      <c r="R260" s="2"/>
      <c r="S260" s="2"/>
      <c r="T260" s="2"/>
      <c r="U260" s="2"/>
      <c r="V260" s="2"/>
      <c r="W260" s="2"/>
      <c r="X260" s="2"/>
      <c r="Y260" s="2"/>
      <c r="Z260" s="2"/>
      <c r="AS260" s="20"/>
    </row>
    <row r="261" spans="1:45" ht="67.95" customHeight="1">
      <c r="A261" s="13" t="s">
        <v>1643</v>
      </c>
      <c r="B261" s="13" t="s">
        <v>1644</v>
      </c>
      <c r="C261" s="13" t="s">
        <v>1645</v>
      </c>
      <c r="D261" s="13" t="s">
        <v>1646</v>
      </c>
      <c r="E261" s="13" t="s">
        <v>1647</v>
      </c>
      <c r="F261" s="13">
        <v>2023</v>
      </c>
      <c r="G261" s="13" t="s">
        <v>597</v>
      </c>
      <c r="H261" s="13" t="s">
        <v>32</v>
      </c>
      <c r="I261" s="13" t="s">
        <v>762</v>
      </c>
      <c r="J261" s="30" t="s">
        <v>543</v>
      </c>
      <c r="K261" s="2"/>
      <c r="L261" s="2"/>
      <c r="M261" s="2"/>
      <c r="N261" s="2"/>
      <c r="O261" s="2"/>
      <c r="P261" s="2"/>
      <c r="Q261" s="2"/>
      <c r="R261" s="2"/>
      <c r="S261" s="2"/>
      <c r="T261" s="2"/>
      <c r="U261" s="2"/>
      <c r="V261" s="2"/>
      <c r="W261" s="2"/>
      <c r="X261" s="2"/>
      <c r="Y261" s="2"/>
      <c r="Z261" s="2"/>
      <c r="AS261" s="20"/>
    </row>
    <row r="262" spans="1:45" ht="67.95" customHeight="1">
      <c r="A262" s="13" t="s">
        <v>1648</v>
      </c>
      <c r="B262" s="13" t="s">
        <v>1649</v>
      </c>
      <c r="C262" s="13" t="s">
        <v>1650</v>
      </c>
      <c r="D262" s="13" t="s">
        <v>1651</v>
      </c>
      <c r="E262" s="13" t="s">
        <v>1652</v>
      </c>
      <c r="F262" s="13">
        <v>2023</v>
      </c>
      <c r="G262" s="13" t="s">
        <v>676</v>
      </c>
      <c r="H262" s="13" t="s">
        <v>32</v>
      </c>
      <c r="I262" s="13" t="s">
        <v>762</v>
      </c>
      <c r="J262" s="30" t="s">
        <v>536</v>
      </c>
      <c r="K262" s="2"/>
      <c r="L262" s="2"/>
      <c r="M262" s="2"/>
      <c r="N262" s="2"/>
      <c r="O262" s="2"/>
      <c r="P262" s="2"/>
      <c r="Q262" s="2"/>
      <c r="R262" s="2"/>
      <c r="S262" s="2"/>
      <c r="T262" s="2"/>
      <c r="U262" s="2"/>
      <c r="V262" s="2"/>
      <c r="W262" s="2"/>
      <c r="X262" s="2"/>
      <c r="Y262" s="2"/>
      <c r="Z262" s="2"/>
      <c r="AS262" s="20"/>
    </row>
    <row r="263" spans="1:45" ht="67.95" customHeight="1">
      <c r="A263" s="13" t="s">
        <v>1653</v>
      </c>
      <c r="B263" s="13" t="s">
        <v>1654</v>
      </c>
      <c r="C263" s="13" t="s">
        <v>1655</v>
      </c>
      <c r="D263" s="13" t="s">
        <v>1656</v>
      </c>
      <c r="E263" s="13" t="s">
        <v>1657</v>
      </c>
      <c r="F263" s="13">
        <v>2024</v>
      </c>
      <c r="G263" s="13" t="s">
        <v>1658</v>
      </c>
      <c r="H263" s="13" t="s">
        <v>32</v>
      </c>
      <c r="I263" s="13" t="s">
        <v>762</v>
      </c>
      <c r="J263" s="30" t="s">
        <v>536</v>
      </c>
      <c r="K263" s="2"/>
      <c r="L263" s="2"/>
      <c r="M263" s="2"/>
      <c r="N263" s="2"/>
      <c r="O263" s="2"/>
      <c r="P263" s="2"/>
      <c r="Q263" s="2"/>
      <c r="R263" s="2"/>
      <c r="S263" s="2"/>
      <c r="T263" s="2"/>
      <c r="U263" s="2"/>
      <c r="V263" s="2"/>
      <c r="W263" s="2"/>
      <c r="X263" s="2"/>
      <c r="Y263" s="2"/>
      <c r="Z263" s="2"/>
      <c r="AS263" s="20"/>
    </row>
    <row r="264" spans="1:45" ht="67.95" customHeight="1">
      <c r="A264" s="13" t="s">
        <v>1659</v>
      </c>
      <c r="B264" s="13" t="s">
        <v>1660</v>
      </c>
      <c r="C264" s="13" t="s">
        <v>1661</v>
      </c>
      <c r="D264" s="13" t="s">
        <v>1662</v>
      </c>
      <c r="E264" s="13" t="s">
        <v>51</v>
      </c>
      <c r="F264" s="13">
        <v>2019</v>
      </c>
      <c r="G264" s="13" t="s">
        <v>916</v>
      </c>
      <c r="H264" s="13" t="s">
        <v>32</v>
      </c>
      <c r="I264" s="13" t="s">
        <v>762</v>
      </c>
      <c r="J264" s="30" t="s">
        <v>658</v>
      </c>
      <c r="K264" s="2"/>
      <c r="L264" s="2"/>
      <c r="M264" s="2"/>
      <c r="N264" s="2"/>
      <c r="O264" s="2"/>
      <c r="P264" s="2"/>
      <c r="Q264" s="2"/>
      <c r="R264" s="2"/>
      <c r="S264" s="2"/>
      <c r="T264" s="2"/>
      <c r="U264" s="2"/>
      <c r="V264" s="2"/>
      <c r="W264" s="2"/>
      <c r="X264" s="2"/>
      <c r="Y264" s="2"/>
      <c r="Z264" s="2"/>
      <c r="AS264" s="20"/>
    </row>
    <row r="265" spans="1:45" ht="67.95" customHeight="1">
      <c r="A265" s="13" t="s">
        <v>1663</v>
      </c>
      <c r="B265" s="13" t="s">
        <v>1664</v>
      </c>
      <c r="C265" s="13" t="s">
        <v>1665</v>
      </c>
      <c r="D265" s="13" t="s">
        <v>1666</v>
      </c>
      <c r="E265" s="13" t="s">
        <v>51</v>
      </c>
      <c r="F265" s="13">
        <v>2023</v>
      </c>
      <c r="G265" s="13" t="s">
        <v>1667</v>
      </c>
      <c r="H265" s="13" t="s">
        <v>53</v>
      </c>
      <c r="I265" s="13" t="s">
        <v>762</v>
      </c>
      <c r="J265" s="30" t="s">
        <v>536</v>
      </c>
      <c r="K265" s="2"/>
      <c r="L265" s="2"/>
      <c r="M265" s="2"/>
      <c r="N265" s="2"/>
      <c r="O265" s="2"/>
      <c r="P265" s="2"/>
      <c r="Q265" s="2"/>
      <c r="R265" s="2"/>
      <c r="S265" s="2"/>
      <c r="T265" s="2"/>
      <c r="U265" s="2"/>
      <c r="V265" s="2"/>
      <c r="W265" s="2"/>
      <c r="X265" s="2"/>
      <c r="Y265" s="2"/>
      <c r="Z265" s="2"/>
      <c r="AS265" s="20"/>
    </row>
    <row r="266" spans="1:45" ht="67.95" customHeight="1">
      <c r="A266" s="13" t="s">
        <v>1668</v>
      </c>
      <c r="B266" s="13" t="s">
        <v>1669</v>
      </c>
      <c r="C266" s="13" t="s">
        <v>1670</v>
      </c>
      <c r="D266" s="13" t="s">
        <v>1671</v>
      </c>
      <c r="E266" s="13" t="s">
        <v>1672</v>
      </c>
      <c r="F266" s="13">
        <v>2023</v>
      </c>
      <c r="G266" s="13" t="s">
        <v>670</v>
      </c>
      <c r="H266" s="13" t="s">
        <v>53</v>
      </c>
      <c r="I266" s="13" t="s">
        <v>762</v>
      </c>
      <c r="J266" s="30" t="s">
        <v>536</v>
      </c>
      <c r="K266" s="2"/>
      <c r="L266" s="2"/>
      <c r="M266" s="2"/>
      <c r="N266" s="2"/>
      <c r="O266" s="2"/>
      <c r="P266" s="2"/>
      <c r="Q266" s="2"/>
      <c r="R266" s="2"/>
      <c r="S266" s="2"/>
      <c r="T266" s="2"/>
      <c r="U266" s="2"/>
      <c r="V266" s="2"/>
      <c r="W266" s="2"/>
      <c r="X266" s="2"/>
      <c r="Y266" s="2"/>
      <c r="Z266" s="2"/>
      <c r="AS266" s="20"/>
    </row>
    <row r="267" spans="1:45" ht="67.95" customHeight="1">
      <c r="A267" s="13" t="s">
        <v>1673</v>
      </c>
      <c r="B267" s="13" t="s">
        <v>1674</v>
      </c>
      <c r="C267" s="13" t="s">
        <v>1675</v>
      </c>
      <c r="D267" s="13" t="s">
        <v>1676</v>
      </c>
      <c r="E267" s="13" t="s">
        <v>1677</v>
      </c>
      <c r="F267" s="13">
        <v>2023</v>
      </c>
      <c r="G267" s="13" t="s">
        <v>670</v>
      </c>
      <c r="H267" s="13" t="s">
        <v>32</v>
      </c>
      <c r="I267" s="13" t="s">
        <v>762</v>
      </c>
      <c r="J267" s="30" t="s">
        <v>543</v>
      </c>
      <c r="K267" s="2"/>
      <c r="L267" s="2"/>
      <c r="M267" s="2"/>
      <c r="N267" s="2"/>
      <c r="O267" s="2"/>
      <c r="P267" s="2"/>
      <c r="Q267" s="2"/>
      <c r="R267" s="2"/>
      <c r="S267" s="2"/>
      <c r="T267" s="2"/>
      <c r="U267" s="2"/>
      <c r="V267" s="2"/>
      <c r="W267" s="2"/>
      <c r="X267" s="2"/>
      <c r="Y267" s="2"/>
      <c r="Z267" s="2"/>
      <c r="AS267" s="20"/>
    </row>
    <row r="268" spans="1:45" ht="67.95" customHeight="1">
      <c r="A268" s="13" t="s">
        <v>1678</v>
      </c>
      <c r="B268" s="13" t="s">
        <v>1679</v>
      </c>
      <c r="C268" s="13" t="s">
        <v>1680</v>
      </c>
      <c r="D268" s="13" t="s">
        <v>1681</v>
      </c>
      <c r="E268" s="13" t="s">
        <v>1682</v>
      </c>
      <c r="F268" s="13">
        <v>2025</v>
      </c>
      <c r="G268" s="13" t="s">
        <v>1683</v>
      </c>
      <c r="H268" s="13" t="s">
        <v>32</v>
      </c>
      <c r="I268" s="13" t="s">
        <v>762</v>
      </c>
      <c r="J268" s="30" t="s">
        <v>536</v>
      </c>
      <c r="K268" s="2"/>
      <c r="L268" s="2"/>
      <c r="M268" s="2"/>
      <c r="N268" s="2"/>
      <c r="O268" s="2"/>
      <c r="P268" s="2"/>
      <c r="Q268" s="2"/>
      <c r="R268" s="2"/>
      <c r="S268" s="2"/>
      <c r="T268" s="2"/>
      <c r="U268" s="2"/>
      <c r="V268" s="2"/>
      <c r="W268" s="2"/>
      <c r="X268" s="2"/>
      <c r="Y268" s="2"/>
      <c r="Z268" s="2"/>
      <c r="AS268" s="20"/>
    </row>
    <row r="269" spans="1:45" ht="67.95" customHeight="1">
      <c r="A269" s="13" t="s">
        <v>1684</v>
      </c>
      <c r="B269" s="13" t="s">
        <v>51</v>
      </c>
      <c r="C269" s="13" t="s">
        <v>51</v>
      </c>
      <c r="D269" s="13" t="s">
        <v>1685</v>
      </c>
      <c r="E269" s="13" t="s">
        <v>1686</v>
      </c>
      <c r="F269" s="13">
        <v>2025</v>
      </c>
      <c r="G269" s="13" t="s">
        <v>1687</v>
      </c>
      <c r="H269" s="13" t="s">
        <v>32</v>
      </c>
      <c r="I269" s="13" t="s">
        <v>762</v>
      </c>
      <c r="J269" s="30" t="s">
        <v>658</v>
      </c>
      <c r="K269" s="2"/>
      <c r="L269" s="2"/>
      <c r="M269" s="2"/>
      <c r="N269" s="2"/>
      <c r="O269" s="2"/>
      <c r="P269" s="2"/>
      <c r="Q269" s="2"/>
      <c r="R269" s="2"/>
      <c r="S269" s="2"/>
      <c r="T269" s="2"/>
      <c r="U269" s="2"/>
      <c r="V269" s="2"/>
      <c r="W269" s="2"/>
      <c r="X269" s="2"/>
      <c r="Y269" s="2"/>
      <c r="Z269" s="2"/>
      <c r="AS269" s="20"/>
    </row>
    <row r="270" spans="1:45" ht="67.95" customHeight="1">
      <c r="A270" s="13" t="s">
        <v>1688</v>
      </c>
      <c r="B270" s="13" t="s">
        <v>1689</v>
      </c>
      <c r="C270" s="13" t="s">
        <v>1690</v>
      </c>
      <c r="D270" s="13" t="s">
        <v>1691</v>
      </c>
      <c r="E270" s="13" t="s">
        <v>1692</v>
      </c>
      <c r="F270" s="13">
        <v>2025</v>
      </c>
      <c r="G270" s="13" t="s">
        <v>1324</v>
      </c>
      <c r="H270" s="13" t="s">
        <v>32</v>
      </c>
      <c r="I270" s="13" t="s">
        <v>762</v>
      </c>
      <c r="J270" s="30" t="s">
        <v>543</v>
      </c>
      <c r="K270" s="2"/>
      <c r="L270" s="2"/>
      <c r="M270" s="2"/>
      <c r="N270" s="2"/>
      <c r="O270" s="2"/>
      <c r="P270" s="2"/>
      <c r="Q270" s="2"/>
      <c r="R270" s="2"/>
      <c r="S270" s="2"/>
      <c r="T270" s="2"/>
      <c r="U270" s="2"/>
      <c r="V270" s="2"/>
      <c r="W270" s="2"/>
      <c r="X270" s="2"/>
      <c r="Y270" s="2"/>
      <c r="Z270" s="2"/>
      <c r="AS270" s="20"/>
    </row>
    <row r="271" spans="1:45" ht="67.95" customHeight="1">
      <c r="A271" s="13" t="s">
        <v>1693</v>
      </c>
      <c r="B271" s="13" t="s">
        <v>1694</v>
      </c>
      <c r="C271" s="13" t="s">
        <v>1695</v>
      </c>
      <c r="D271" s="13" t="s">
        <v>1696</v>
      </c>
      <c r="E271" s="13" t="s">
        <v>1697</v>
      </c>
      <c r="F271" s="13">
        <v>2021</v>
      </c>
      <c r="G271" s="13" t="s">
        <v>1698</v>
      </c>
      <c r="H271" s="13" t="s">
        <v>32</v>
      </c>
      <c r="I271" s="13" t="s">
        <v>762</v>
      </c>
      <c r="J271" s="30" t="s">
        <v>567</v>
      </c>
      <c r="K271" s="2"/>
      <c r="L271" s="2"/>
      <c r="M271" s="2"/>
      <c r="N271" s="2"/>
      <c r="O271" s="2"/>
      <c r="P271" s="2"/>
      <c r="Q271" s="2"/>
      <c r="R271" s="2"/>
      <c r="S271" s="2"/>
      <c r="T271" s="2"/>
      <c r="U271" s="2"/>
      <c r="V271" s="2"/>
      <c r="W271" s="2"/>
      <c r="X271" s="2"/>
      <c r="Y271" s="2"/>
      <c r="Z271" s="2"/>
      <c r="AS271" s="20"/>
    </row>
    <row r="272" spans="1:45" ht="67.95" customHeight="1">
      <c r="A272" s="13" t="s">
        <v>1699</v>
      </c>
      <c r="B272" s="13" t="s">
        <v>1700</v>
      </c>
      <c r="C272" s="13" t="s">
        <v>1701</v>
      </c>
      <c r="D272" s="13" t="s">
        <v>1702</v>
      </c>
      <c r="E272" s="13" t="s">
        <v>51</v>
      </c>
      <c r="F272" s="13">
        <v>2021</v>
      </c>
      <c r="G272" s="13" t="s">
        <v>74</v>
      </c>
      <c r="H272" s="13" t="s">
        <v>53</v>
      </c>
      <c r="I272" s="13" t="s">
        <v>762</v>
      </c>
      <c r="J272" s="30" t="s">
        <v>579</v>
      </c>
      <c r="K272" s="2"/>
      <c r="L272" s="2"/>
      <c r="M272" s="2"/>
      <c r="N272" s="2"/>
      <c r="O272" s="2"/>
      <c r="P272" s="2"/>
      <c r="Q272" s="2"/>
      <c r="R272" s="2"/>
      <c r="S272" s="2"/>
      <c r="T272" s="2"/>
      <c r="U272" s="2"/>
      <c r="V272" s="2"/>
      <c r="W272" s="2"/>
      <c r="X272" s="2"/>
      <c r="Y272" s="2"/>
      <c r="Z272" s="2"/>
      <c r="AS272" s="20"/>
    </row>
    <row r="273" spans="1:45" ht="67.95" customHeight="1">
      <c r="A273" s="13" t="s">
        <v>1703</v>
      </c>
      <c r="B273" s="13" t="s">
        <v>1704</v>
      </c>
      <c r="C273" s="13" t="s">
        <v>1705</v>
      </c>
      <c r="D273" s="13" t="s">
        <v>1706</v>
      </c>
      <c r="E273" s="13" t="s">
        <v>1707</v>
      </c>
      <c r="F273" s="13">
        <v>2023</v>
      </c>
      <c r="G273" s="13" t="s">
        <v>1380</v>
      </c>
      <c r="H273" s="13" t="s">
        <v>53</v>
      </c>
      <c r="I273" s="13" t="s">
        <v>762</v>
      </c>
      <c r="J273" s="30" t="s">
        <v>536</v>
      </c>
      <c r="K273" s="2"/>
      <c r="L273" s="2"/>
      <c r="M273" s="2"/>
      <c r="N273" s="2"/>
      <c r="O273" s="2"/>
      <c r="P273" s="2"/>
      <c r="Q273" s="2"/>
      <c r="R273" s="2"/>
      <c r="S273" s="2"/>
      <c r="T273" s="2"/>
      <c r="U273" s="2"/>
      <c r="V273" s="2"/>
      <c r="W273" s="2"/>
      <c r="X273" s="2"/>
      <c r="Y273" s="2"/>
      <c r="Z273" s="2"/>
      <c r="AS273" s="20"/>
    </row>
    <row r="274" spans="1:45" ht="67.95" customHeight="1">
      <c r="A274" s="13" t="s">
        <v>1708</v>
      </c>
      <c r="B274" s="13" t="s">
        <v>1709</v>
      </c>
      <c r="C274" s="13" t="s">
        <v>1710</v>
      </c>
      <c r="D274" s="13" t="s">
        <v>1711</v>
      </c>
      <c r="E274" s="13" t="s">
        <v>1712</v>
      </c>
      <c r="F274" s="13">
        <v>2018</v>
      </c>
      <c r="G274" s="13" t="s">
        <v>1713</v>
      </c>
      <c r="H274" s="13" t="s">
        <v>32</v>
      </c>
      <c r="I274" s="13" t="s">
        <v>762</v>
      </c>
      <c r="J274" s="30" t="s">
        <v>567</v>
      </c>
      <c r="K274" s="2"/>
      <c r="L274" s="2"/>
      <c r="M274" s="2"/>
      <c r="N274" s="2"/>
      <c r="O274" s="2"/>
      <c r="P274" s="2"/>
      <c r="Q274" s="2"/>
      <c r="R274" s="2"/>
      <c r="S274" s="2"/>
      <c r="T274" s="2"/>
      <c r="U274" s="2"/>
      <c r="V274" s="2"/>
      <c r="W274" s="2"/>
      <c r="X274" s="2"/>
      <c r="Y274" s="2"/>
      <c r="Z274" s="2"/>
      <c r="AS274" s="20"/>
    </row>
    <row r="275" spans="1:45" ht="67.95" customHeight="1">
      <c r="A275" s="13" t="s">
        <v>1714</v>
      </c>
      <c r="B275" s="13" t="s">
        <v>51</v>
      </c>
      <c r="C275" s="13" t="s">
        <v>1715</v>
      </c>
      <c r="D275" s="13" t="s">
        <v>1716</v>
      </c>
      <c r="E275" s="13" t="s">
        <v>1717</v>
      </c>
      <c r="F275" s="13">
        <v>2025</v>
      </c>
      <c r="G275" s="13" t="s">
        <v>1718</v>
      </c>
      <c r="H275" s="13" t="s">
        <v>32</v>
      </c>
      <c r="I275" s="13" t="s">
        <v>762</v>
      </c>
      <c r="J275" s="30" t="s">
        <v>658</v>
      </c>
      <c r="K275" s="2"/>
      <c r="L275" s="2"/>
      <c r="M275" s="2"/>
      <c r="N275" s="2"/>
      <c r="O275" s="2"/>
      <c r="P275" s="2"/>
      <c r="Q275" s="2"/>
      <c r="R275" s="2"/>
      <c r="S275" s="2"/>
      <c r="T275" s="2"/>
      <c r="U275" s="2"/>
      <c r="V275" s="2"/>
      <c r="W275" s="2"/>
      <c r="X275" s="2"/>
      <c r="Y275" s="2"/>
      <c r="Z275" s="2"/>
      <c r="AS275" s="20"/>
    </row>
    <row r="276" spans="1:45" ht="67.95" customHeight="1">
      <c r="A276" s="13" t="s">
        <v>1719</v>
      </c>
      <c r="B276" s="13" t="s">
        <v>1720</v>
      </c>
      <c r="C276" s="13" t="s">
        <v>1721</v>
      </c>
      <c r="D276" s="13" t="s">
        <v>1722</v>
      </c>
      <c r="E276" s="13" t="s">
        <v>1723</v>
      </c>
      <c r="F276" s="13">
        <v>2016</v>
      </c>
      <c r="G276" s="13" t="s">
        <v>1724</v>
      </c>
      <c r="H276" s="13" t="s">
        <v>53</v>
      </c>
      <c r="I276" s="13" t="s">
        <v>762</v>
      </c>
      <c r="J276" s="30" t="s">
        <v>536</v>
      </c>
      <c r="K276" s="2"/>
      <c r="L276" s="2"/>
      <c r="M276" s="2"/>
      <c r="N276" s="2"/>
      <c r="O276" s="2"/>
      <c r="P276" s="2"/>
      <c r="Q276" s="2"/>
      <c r="R276" s="2"/>
      <c r="S276" s="2"/>
      <c r="T276" s="2"/>
      <c r="U276" s="2"/>
      <c r="V276" s="2"/>
      <c r="W276" s="2"/>
      <c r="X276" s="2"/>
      <c r="Y276" s="2"/>
      <c r="Z276" s="2"/>
      <c r="AS276" s="20"/>
    </row>
    <row r="277" spans="1:45" ht="67.95" customHeight="1">
      <c r="A277" s="13" t="s">
        <v>1725</v>
      </c>
      <c r="B277" s="13" t="s">
        <v>1726</v>
      </c>
      <c r="C277" s="13" t="s">
        <v>1727</v>
      </c>
      <c r="D277" s="13" t="s">
        <v>1728</v>
      </c>
      <c r="E277" s="13" t="s">
        <v>1729</v>
      </c>
      <c r="F277" s="13">
        <v>2021</v>
      </c>
      <c r="G277" s="13" t="s">
        <v>1597</v>
      </c>
      <c r="H277" s="13" t="s">
        <v>32</v>
      </c>
      <c r="I277" s="13" t="s">
        <v>762</v>
      </c>
      <c r="J277" s="30" t="s">
        <v>567</v>
      </c>
      <c r="K277" s="2"/>
      <c r="L277" s="2"/>
      <c r="M277" s="2"/>
      <c r="N277" s="2"/>
      <c r="O277" s="2"/>
      <c r="P277" s="2"/>
      <c r="Q277" s="2"/>
      <c r="R277" s="2"/>
      <c r="S277" s="2"/>
      <c r="T277" s="2"/>
      <c r="U277" s="2"/>
      <c r="V277" s="2"/>
      <c r="W277" s="2"/>
      <c r="X277" s="2"/>
      <c r="Y277" s="2"/>
      <c r="Z277" s="2"/>
      <c r="AS277" s="20"/>
    </row>
    <row r="278" spans="1:45" ht="67.95" customHeight="1">
      <c r="A278" s="13" t="s">
        <v>1730</v>
      </c>
      <c r="B278" s="13" t="s">
        <v>1731</v>
      </c>
      <c r="C278" s="13" t="s">
        <v>1732</v>
      </c>
      <c r="D278" s="13" t="s">
        <v>1733</v>
      </c>
      <c r="E278" s="13" t="s">
        <v>1734</v>
      </c>
      <c r="F278" s="13">
        <v>2022</v>
      </c>
      <c r="G278" s="13" t="s">
        <v>597</v>
      </c>
      <c r="H278" s="13" t="s">
        <v>32</v>
      </c>
      <c r="I278" s="13" t="s">
        <v>762</v>
      </c>
      <c r="J278" s="30" t="s">
        <v>543</v>
      </c>
      <c r="K278" s="2"/>
      <c r="L278" s="2"/>
      <c r="M278" s="2"/>
      <c r="N278" s="2"/>
      <c r="O278" s="2"/>
      <c r="P278" s="2"/>
      <c r="Q278" s="2"/>
      <c r="R278" s="2"/>
      <c r="S278" s="2"/>
      <c r="T278" s="2"/>
      <c r="U278" s="2"/>
      <c r="V278" s="2"/>
      <c r="W278" s="2"/>
      <c r="X278" s="2"/>
      <c r="Y278" s="2"/>
      <c r="Z278" s="2"/>
      <c r="AS278" s="20"/>
    </row>
    <row r="279" spans="1:45" ht="67.95" customHeight="1">
      <c r="A279" s="13" t="s">
        <v>1735</v>
      </c>
      <c r="B279" s="13" t="s">
        <v>1736</v>
      </c>
      <c r="C279" s="13" t="s">
        <v>1737</v>
      </c>
      <c r="D279" s="13" t="s">
        <v>1738</v>
      </c>
      <c r="E279" s="13" t="s">
        <v>1739</v>
      </c>
      <c r="F279" s="13">
        <v>2025</v>
      </c>
      <c r="G279" s="13" t="s">
        <v>627</v>
      </c>
      <c r="H279" s="13" t="s">
        <v>32</v>
      </c>
      <c r="I279" s="13" t="s">
        <v>762</v>
      </c>
      <c r="J279" s="30" t="s">
        <v>579</v>
      </c>
      <c r="K279" s="2"/>
      <c r="L279" s="2"/>
      <c r="M279" s="2"/>
      <c r="N279" s="2"/>
      <c r="O279" s="2"/>
      <c r="P279" s="2"/>
      <c r="Q279" s="2"/>
      <c r="R279" s="2"/>
      <c r="S279" s="2"/>
      <c r="T279" s="2"/>
      <c r="U279" s="2"/>
      <c r="V279" s="2"/>
      <c r="W279" s="2"/>
      <c r="X279" s="2"/>
      <c r="Y279" s="2"/>
      <c r="Z279" s="2"/>
      <c r="AS279" s="20"/>
    </row>
    <row r="280" spans="1:45" ht="67.95" customHeight="1">
      <c r="A280" s="13" t="s">
        <v>1740</v>
      </c>
      <c r="B280" s="13" t="s">
        <v>1741</v>
      </c>
      <c r="C280" s="13" t="s">
        <v>1742</v>
      </c>
      <c r="D280" s="13" t="s">
        <v>1743</v>
      </c>
      <c r="E280" s="13" t="s">
        <v>51</v>
      </c>
      <c r="F280" s="13">
        <v>2025</v>
      </c>
      <c r="G280" s="13" t="s">
        <v>1744</v>
      </c>
      <c r="H280" s="13" t="s">
        <v>32</v>
      </c>
      <c r="I280" s="13" t="s">
        <v>762</v>
      </c>
      <c r="J280" s="30" t="s">
        <v>567</v>
      </c>
      <c r="K280" s="2"/>
      <c r="L280" s="2"/>
      <c r="M280" s="2"/>
      <c r="N280" s="2"/>
      <c r="O280" s="2"/>
      <c r="P280" s="2"/>
      <c r="Q280" s="2"/>
      <c r="R280" s="2"/>
      <c r="S280" s="2"/>
      <c r="T280" s="2"/>
      <c r="U280" s="2"/>
      <c r="V280" s="2"/>
      <c r="W280" s="2"/>
      <c r="X280" s="2"/>
      <c r="Y280" s="2"/>
      <c r="Z280" s="2"/>
      <c r="AS280" s="20"/>
    </row>
    <row r="281" spans="1:45" ht="67.95" customHeight="1">
      <c r="A281" s="13" t="s">
        <v>1745</v>
      </c>
      <c r="B281" s="13" t="s">
        <v>1746</v>
      </c>
      <c r="C281" s="13" t="s">
        <v>1747</v>
      </c>
      <c r="D281" s="13" t="s">
        <v>1748</v>
      </c>
      <c r="E281" s="13" t="s">
        <v>1749</v>
      </c>
      <c r="F281" s="13">
        <v>2023</v>
      </c>
      <c r="G281" s="13" t="s">
        <v>1750</v>
      </c>
      <c r="H281" s="13" t="s">
        <v>32</v>
      </c>
      <c r="I281" s="13" t="s">
        <v>762</v>
      </c>
      <c r="J281" s="30" t="s">
        <v>567</v>
      </c>
      <c r="K281" s="2"/>
      <c r="L281" s="2"/>
      <c r="M281" s="2"/>
      <c r="N281" s="2"/>
      <c r="O281" s="2"/>
      <c r="P281" s="2"/>
      <c r="Q281" s="2"/>
      <c r="R281" s="2"/>
      <c r="S281" s="2"/>
      <c r="T281" s="2"/>
      <c r="U281" s="2"/>
      <c r="V281" s="2"/>
      <c r="W281" s="2"/>
      <c r="X281" s="2"/>
      <c r="Y281" s="2"/>
      <c r="Z281" s="2"/>
      <c r="AS281" s="20"/>
    </row>
    <row r="282" spans="1:45" ht="67.95" customHeight="1">
      <c r="A282" s="13" t="s">
        <v>1751</v>
      </c>
      <c r="B282" s="13" t="s">
        <v>1752</v>
      </c>
      <c r="C282" s="13" t="s">
        <v>1753</v>
      </c>
      <c r="D282" s="13" t="s">
        <v>1754</v>
      </c>
      <c r="E282" s="13" t="s">
        <v>51</v>
      </c>
      <c r="F282" s="13">
        <v>2025</v>
      </c>
      <c r="G282" s="13" t="s">
        <v>1755</v>
      </c>
      <c r="H282" s="13" t="s">
        <v>32</v>
      </c>
      <c r="I282" s="13" t="s">
        <v>762</v>
      </c>
      <c r="J282" s="30" t="s">
        <v>646</v>
      </c>
      <c r="K282" s="2"/>
      <c r="L282" s="2"/>
      <c r="M282" s="2"/>
      <c r="N282" s="2"/>
      <c r="O282" s="2"/>
      <c r="P282" s="2"/>
      <c r="Q282" s="2"/>
      <c r="R282" s="2"/>
      <c r="S282" s="2"/>
      <c r="T282" s="2"/>
      <c r="U282" s="2"/>
      <c r="V282" s="2"/>
      <c r="W282" s="2"/>
      <c r="X282" s="2"/>
      <c r="Y282" s="2"/>
      <c r="Z282" s="2"/>
      <c r="AS282" s="20"/>
    </row>
    <row r="283" spans="1:45" ht="67.95" customHeight="1">
      <c r="A283" s="13" t="s">
        <v>1756</v>
      </c>
      <c r="B283" s="13" t="s">
        <v>1757</v>
      </c>
      <c r="C283" s="13" t="s">
        <v>1758</v>
      </c>
      <c r="D283" s="13" t="s">
        <v>1759</v>
      </c>
      <c r="E283" s="13" t="s">
        <v>1760</v>
      </c>
      <c r="F283" s="13">
        <v>2020</v>
      </c>
      <c r="G283" s="13" t="s">
        <v>854</v>
      </c>
      <c r="H283" s="13" t="s">
        <v>32</v>
      </c>
      <c r="I283" s="13" t="s">
        <v>762</v>
      </c>
      <c r="J283" s="30" t="s">
        <v>579</v>
      </c>
      <c r="K283" s="2"/>
      <c r="L283" s="2"/>
      <c r="M283" s="2"/>
      <c r="N283" s="2"/>
      <c r="O283" s="2"/>
      <c r="P283" s="2"/>
      <c r="Q283" s="2"/>
      <c r="R283" s="2"/>
      <c r="S283" s="2"/>
      <c r="T283" s="2"/>
      <c r="U283" s="2"/>
      <c r="V283" s="2"/>
      <c r="W283" s="2"/>
      <c r="X283" s="2"/>
      <c r="Y283" s="2"/>
      <c r="Z283" s="2"/>
      <c r="AS283" s="20"/>
    </row>
    <row r="284" spans="1:45" ht="67.95" customHeight="1">
      <c r="A284" s="13" t="s">
        <v>1761</v>
      </c>
      <c r="B284" s="13" t="s">
        <v>1762</v>
      </c>
      <c r="C284" s="13" t="s">
        <v>1763</v>
      </c>
      <c r="D284" s="13" t="s">
        <v>1764</v>
      </c>
      <c r="E284" s="13" t="s">
        <v>1765</v>
      </c>
      <c r="F284" s="13">
        <v>2020</v>
      </c>
      <c r="G284" s="13" t="s">
        <v>688</v>
      </c>
      <c r="H284" s="13" t="s">
        <v>32</v>
      </c>
      <c r="I284" s="13" t="s">
        <v>762</v>
      </c>
      <c r="J284" s="30" t="s">
        <v>567</v>
      </c>
      <c r="K284" s="2"/>
      <c r="L284" s="2"/>
      <c r="M284" s="2"/>
      <c r="N284" s="2"/>
      <c r="O284" s="2"/>
      <c r="P284" s="2"/>
      <c r="Q284" s="2"/>
      <c r="R284" s="2"/>
      <c r="S284" s="2"/>
      <c r="T284" s="2"/>
      <c r="U284" s="2"/>
      <c r="V284" s="2"/>
      <c r="W284" s="2"/>
      <c r="X284" s="2"/>
      <c r="Y284" s="2"/>
      <c r="Z284" s="2"/>
      <c r="AS284" s="20"/>
    </row>
    <row r="285" spans="1:45" ht="67.95" customHeight="1">
      <c r="A285" s="13" t="s">
        <v>1766</v>
      </c>
      <c r="B285" s="13" t="s">
        <v>1767</v>
      </c>
      <c r="C285" s="13" t="s">
        <v>1768</v>
      </c>
      <c r="D285" s="13" t="s">
        <v>1769</v>
      </c>
      <c r="E285" s="13" t="s">
        <v>1770</v>
      </c>
      <c r="F285" s="13">
        <v>2023</v>
      </c>
      <c r="G285" s="13" t="s">
        <v>1771</v>
      </c>
      <c r="H285" s="13" t="s">
        <v>1772</v>
      </c>
      <c r="I285" s="13" t="s">
        <v>762</v>
      </c>
      <c r="J285" s="30" t="s">
        <v>536</v>
      </c>
      <c r="K285" s="2"/>
      <c r="L285" s="2"/>
      <c r="M285" s="2"/>
      <c r="N285" s="2"/>
      <c r="O285" s="2"/>
      <c r="P285" s="2"/>
      <c r="Q285" s="2"/>
      <c r="R285" s="2"/>
      <c r="S285" s="2"/>
      <c r="T285" s="2"/>
      <c r="U285" s="2"/>
      <c r="V285" s="2"/>
      <c r="W285" s="2"/>
      <c r="X285" s="2"/>
      <c r="Y285" s="2"/>
      <c r="Z285" s="2"/>
      <c r="AS285" s="20"/>
    </row>
    <row r="286" spans="1:45" ht="67.95" customHeight="1">
      <c r="A286" s="13" t="s">
        <v>1773</v>
      </c>
      <c r="B286" s="13" t="s">
        <v>1774</v>
      </c>
      <c r="C286" s="13" t="s">
        <v>1775</v>
      </c>
      <c r="D286" s="13" t="s">
        <v>1776</v>
      </c>
      <c r="E286" s="13" t="s">
        <v>1777</v>
      </c>
      <c r="F286" s="13">
        <v>2019</v>
      </c>
      <c r="G286" s="13" t="s">
        <v>842</v>
      </c>
      <c r="H286" s="13" t="s">
        <v>32</v>
      </c>
      <c r="I286" s="13" t="s">
        <v>762</v>
      </c>
      <c r="J286" s="30" t="s">
        <v>543</v>
      </c>
      <c r="K286" s="2"/>
      <c r="L286" s="2"/>
      <c r="M286" s="2"/>
      <c r="N286" s="2"/>
      <c r="O286" s="2"/>
      <c r="P286" s="2"/>
      <c r="Q286" s="2"/>
      <c r="R286" s="2"/>
      <c r="S286" s="2"/>
      <c r="T286" s="2"/>
      <c r="U286" s="2"/>
      <c r="V286" s="2"/>
      <c r="W286" s="2"/>
      <c r="X286" s="2"/>
      <c r="Y286" s="2"/>
      <c r="Z286" s="2"/>
      <c r="AS286" s="20"/>
    </row>
    <row r="287" spans="1:45" ht="67.95" customHeight="1">
      <c r="A287" s="13" t="s">
        <v>1778</v>
      </c>
      <c r="B287" s="13" t="s">
        <v>1779</v>
      </c>
      <c r="C287" s="13" t="s">
        <v>1780</v>
      </c>
      <c r="D287" s="13" t="s">
        <v>1781</v>
      </c>
      <c r="E287" s="13" t="s">
        <v>1782</v>
      </c>
      <c r="F287" s="13">
        <v>2022</v>
      </c>
      <c r="G287" s="13" t="s">
        <v>1783</v>
      </c>
      <c r="H287" s="13" t="s">
        <v>53</v>
      </c>
      <c r="I287" s="13" t="s">
        <v>762</v>
      </c>
      <c r="J287" s="30" t="s">
        <v>646</v>
      </c>
      <c r="K287" s="2"/>
      <c r="L287" s="2"/>
      <c r="M287" s="2"/>
      <c r="N287" s="2"/>
      <c r="O287" s="2"/>
      <c r="P287" s="2"/>
      <c r="Q287" s="2"/>
      <c r="R287" s="2"/>
      <c r="S287" s="2"/>
      <c r="T287" s="2"/>
      <c r="U287" s="2"/>
      <c r="V287" s="2"/>
      <c r="W287" s="2"/>
      <c r="X287" s="2"/>
      <c r="Y287" s="2"/>
      <c r="Z287" s="2"/>
      <c r="AS287" s="20"/>
    </row>
    <row r="288" spans="1:45" ht="67.95" customHeight="1">
      <c r="A288" s="13" t="s">
        <v>1784</v>
      </c>
      <c r="B288" s="13" t="s">
        <v>1785</v>
      </c>
      <c r="C288" s="13" t="s">
        <v>1786</v>
      </c>
      <c r="D288" s="13" t="s">
        <v>1787</v>
      </c>
      <c r="E288" s="13" t="s">
        <v>51</v>
      </c>
      <c r="F288" s="13">
        <v>2022</v>
      </c>
      <c r="G288" s="13" t="s">
        <v>1788</v>
      </c>
      <c r="H288" s="13" t="s">
        <v>32</v>
      </c>
      <c r="I288" s="13" t="s">
        <v>762</v>
      </c>
      <c r="J288" s="30" t="s">
        <v>567</v>
      </c>
      <c r="K288" s="2"/>
      <c r="L288" s="2"/>
      <c r="M288" s="2"/>
      <c r="N288" s="2"/>
      <c r="O288" s="2"/>
      <c r="P288" s="2"/>
      <c r="Q288" s="2"/>
      <c r="R288" s="2"/>
      <c r="S288" s="2"/>
      <c r="T288" s="2"/>
      <c r="U288" s="2"/>
      <c r="V288" s="2"/>
      <c r="W288" s="2"/>
      <c r="X288" s="2"/>
      <c r="Y288" s="2"/>
      <c r="Z288" s="2"/>
      <c r="AS288" s="20"/>
    </row>
    <row r="289" spans="1:45" ht="67.95" customHeight="1">
      <c r="A289" s="13" t="s">
        <v>1789</v>
      </c>
      <c r="B289" s="13" t="s">
        <v>1790</v>
      </c>
      <c r="C289" s="13" t="s">
        <v>1791</v>
      </c>
      <c r="D289" s="13" t="s">
        <v>1792</v>
      </c>
      <c r="E289" s="13" t="s">
        <v>1793</v>
      </c>
      <c r="F289" s="13">
        <v>2019</v>
      </c>
      <c r="G289" s="13" t="s">
        <v>1794</v>
      </c>
      <c r="H289" s="13" t="s">
        <v>32</v>
      </c>
      <c r="I289" s="13" t="s">
        <v>762</v>
      </c>
      <c r="J289" s="30" t="s">
        <v>536</v>
      </c>
      <c r="K289" s="2"/>
      <c r="L289" s="2"/>
      <c r="M289" s="2"/>
      <c r="N289" s="2"/>
      <c r="O289" s="2"/>
      <c r="P289" s="2"/>
      <c r="Q289" s="2"/>
      <c r="R289" s="2"/>
      <c r="S289" s="2"/>
      <c r="T289" s="2"/>
      <c r="U289" s="2"/>
      <c r="V289" s="2"/>
      <c r="W289" s="2"/>
      <c r="X289" s="2"/>
      <c r="Y289" s="2"/>
      <c r="Z289" s="2"/>
      <c r="AS289" s="20"/>
    </row>
    <row r="290" spans="1:45" ht="67.95" customHeight="1">
      <c r="A290" s="13" t="s">
        <v>1795</v>
      </c>
      <c r="B290" s="13" t="s">
        <v>1796</v>
      </c>
      <c r="C290" s="13" t="s">
        <v>1797</v>
      </c>
      <c r="D290" s="13" t="s">
        <v>1798</v>
      </c>
      <c r="E290" s="13" t="s">
        <v>1799</v>
      </c>
      <c r="F290" s="13">
        <v>2023</v>
      </c>
      <c r="G290" s="13" t="s">
        <v>1800</v>
      </c>
      <c r="H290" s="13" t="s">
        <v>32</v>
      </c>
      <c r="I290" s="13" t="s">
        <v>762</v>
      </c>
      <c r="J290" s="30" t="s">
        <v>567</v>
      </c>
      <c r="K290" s="2"/>
      <c r="L290" s="2"/>
      <c r="M290" s="2"/>
      <c r="N290" s="2"/>
      <c r="O290" s="2"/>
      <c r="P290" s="2"/>
      <c r="Q290" s="2"/>
      <c r="R290" s="2"/>
      <c r="S290" s="2"/>
      <c r="T290" s="2"/>
      <c r="U290" s="2"/>
      <c r="V290" s="2"/>
      <c r="W290" s="2"/>
      <c r="X290" s="2"/>
      <c r="Y290" s="2"/>
      <c r="Z290" s="2"/>
      <c r="AS290" s="20"/>
    </row>
    <row r="291" spans="1:45" ht="67.95" customHeight="1">
      <c r="A291" s="13" t="s">
        <v>1801</v>
      </c>
      <c r="B291" s="13" t="s">
        <v>1802</v>
      </c>
      <c r="C291" s="13" t="s">
        <v>1803</v>
      </c>
      <c r="D291" s="13" t="s">
        <v>1804</v>
      </c>
      <c r="E291" s="13" t="s">
        <v>1805</v>
      </c>
      <c r="F291" s="13">
        <v>2022</v>
      </c>
      <c r="G291" s="13" t="s">
        <v>1806</v>
      </c>
      <c r="H291" s="13" t="s">
        <v>53</v>
      </c>
      <c r="I291" s="13" t="s">
        <v>762</v>
      </c>
      <c r="J291" s="30" t="s">
        <v>536</v>
      </c>
      <c r="K291" s="2"/>
      <c r="L291" s="2"/>
      <c r="M291" s="2"/>
      <c r="N291" s="2"/>
      <c r="O291" s="2"/>
      <c r="P291" s="2"/>
      <c r="Q291" s="2"/>
      <c r="R291" s="2"/>
      <c r="S291" s="2"/>
      <c r="T291" s="2"/>
      <c r="U291" s="2"/>
      <c r="V291" s="2"/>
      <c r="W291" s="2"/>
      <c r="X291" s="2"/>
      <c r="Y291" s="2"/>
      <c r="Z291" s="2"/>
      <c r="AS291" s="20"/>
    </row>
    <row r="292" spans="1:45" ht="67.95" customHeight="1">
      <c r="A292" s="13" t="s">
        <v>1807</v>
      </c>
      <c r="B292" s="13" t="s">
        <v>1808</v>
      </c>
      <c r="C292" s="13" t="s">
        <v>1809</v>
      </c>
      <c r="D292" s="13" t="s">
        <v>1810</v>
      </c>
      <c r="E292" s="13" t="s">
        <v>51</v>
      </c>
      <c r="F292" s="13">
        <v>2021</v>
      </c>
      <c r="G292" s="13" t="s">
        <v>1284</v>
      </c>
      <c r="H292" s="13" t="s">
        <v>136</v>
      </c>
      <c r="I292" s="13" t="s">
        <v>762</v>
      </c>
      <c r="J292" s="30" t="s">
        <v>567</v>
      </c>
      <c r="K292" s="2"/>
      <c r="L292" s="2"/>
      <c r="M292" s="2"/>
      <c r="N292" s="2"/>
      <c r="O292" s="2"/>
      <c r="P292" s="2"/>
      <c r="Q292" s="2"/>
      <c r="R292" s="2"/>
      <c r="S292" s="2"/>
      <c r="T292" s="2"/>
      <c r="U292" s="2"/>
      <c r="V292" s="2"/>
      <c r="W292" s="2"/>
      <c r="X292" s="2"/>
      <c r="Y292" s="2"/>
      <c r="Z292" s="2"/>
      <c r="AS292" s="20"/>
    </row>
    <row r="293" spans="1:45" ht="67.95" customHeight="1">
      <c r="A293" s="13" t="s">
        <v>1811</v>
      </c>
      <c r="B293" s="13" t="s">
        <v>1812</v>
      </c>
      <c r="C293" s="13" t="s">
        <v>1813</v>
      </c>
      <c r="D293" s="13" t="s">
        <v>1814</v>
      </c>
      <c r="E293" s="13" t="s">
        <v>1815</v>
      </c>
      <c r="F293" s="13">
        <v>2022</v>
      </c>
      <c r="G293" s="13" t="s">
        <v>1816</v>
      </c>
      <c r="H293" s="13" t="s">
        <v>53</v>
      </c>
      <c r="I293" s="13" t="s">
        <v>762</v>
      </c>
      <c r="J293" s="30" t="s">
        <v>567</v>
      </c>
      <c r="K293" s="2"/>
      <c r="L293" s="2"/>
      <c r="M293" s="2"/>
      <c r="N293" s="2"/>
      <c r="O293" s="2"/>
      <c r="P293" s="2"/>
      <c r="Q293" s="2"/>
      <c r="R293" s="2"/>
      <c r="S293" s="2"/>
      <c r="T293" s="2"/>
      <c r="U293" s="2"/>
      <c r="V293" s="2"/>
      <c r="W293" s="2"/>
      <c r="X293" s="2"/>
      <c r="Y293" s="2"/>
      <c r="Z293" s="2"/>
      <c r="AS293" s="20"/>
    </row>
    <row r="294" spans="1:45" ht="67.95" customHeight="1">
      <c r="A294" s="13" t="s">
        <v>1817</v>
      </c>
      <c r="B294" s="13" t="s">
        <v>1818</v>
      </c>
      <c r="C294" s="13" t="s">
        <v>1819</v>
      </c>
      <c r="D294" s="13" t="s">
        <v>1820</v>
      </c>
      <c r="E294" s="13" t="s">
        <v>1821</v>
      </c>
      <c r="F294" s="13">
        <v>2019</v>
      </c>
      <c r="G294" s="13" t="s">
        <v>1713</v>
      </c>
      <c r="H294" s="13" t="s">
        <v>32</v>
      </c>
      <c r="I294" s="13" t="s">
        <v>762</v>
      </c>
      <c r="J294" s="30" t="s">
        <v>543</v>
      </c>
      <c r="K294" s="2"/>
      <c r="L294" s="2"/>
      <c r="M294" s="2"/>
      <c r="N294" s="2"/>
      <c r="O294" s="2"/>
      <c r="P294" s="2"/>
      <c r="Q294" s="2"/>
      <c r="R294" s="2"/>
      <c r="S294" s="2"/>
      <c r="T294" s="2"/>
      <c r="U294" s="2"/>
      <c r="V294" s="2"/>
      <c r="W294" s="2"/>
      <c r="X294" s="2"/>
      <c r="Y294" s="2"/>
      <c r="Z294" s="2"/>
      <c r="AS294" s="20"/>
    </row>
    <row r="295" spans="1:45" ht="67.95" customHeight="1">
      <c r="A295" s="13" t="s">
        <v>1822</v>
      </c>
      <c r="B295" s="13" t="s">
        <v>1823</v>
      </c>
      <c r="C295" s="13" t="s">
        <v>1824</v>
      </c>
      <c r="D295" s="13" t="s">
        <v>1825</v>
      </c>
      <c r="E295" s="13" t="s">
        <v>1826</v>
      </c>
      <c r="F295" s="13">
        <v>2022</v>
      </c>
      <c r="G295" s="13" t="s">
        <v>1827</v>
      </c>
      <c r="H295" s="13" t="s">
        <v>53</v>
      </c>
      <c r="I295" s="13" t="s">
        <v>762</v>
      </c>
      <c r="J295" s="30" t="s">
        <v>567</v>
      </c>
      <c r="K295" s="2"/>
      <c r="L295" s="2"/>
      <c r="M295" s="2"/>
      <c r="N295" s="2"/>
      <c r="O295" s="2"/>
      <c r="P295" s="2"/>
      <c r="Q295" s="2"/>
      <c r="R295" s="2"/>
      <c r="S295" s="2"/>
      <c r="T295" s="2"/>
      <c r="U295" s="2"/>
      <c r="V295" s="2"/>
      <c r="W295" s="2"/>
      <c r="X295" s="2"/>
      <c r="Y295" s="2"/>
      <c r="Z295" s="2"/>
      <c r="AS295" s="20"/>
    </row>
    <row r="296" spans="1:45" ht="67.95" customHeight="1">
      <c r="A296" s="13" t="s">
        <v>1828</v>
      </c>
      <c r="B296" s="13" t="s">
        <v>1829</v>
      </c>
      <c r="C296" s="13" t="s">
        <v>1830</v>
      </c>
      <c r="D296" s="13" t="s">
        <v>1831</v>
      </c>
      <c r="E296" s="13" t="s">
        <v>1832</v>
      </c>
      <c r="F296" s="13">
        <v>2022</v>
      </c>
      <c r="G296" s="13" t="s">
        <v>1833</v>
      </c>
      <c r="H296" s="13" t="s">
        <v>32</v>
      </c>
      <c r="I296" s="13" t="s">
        <v>762</v>
      </c>
      <c r="J296" s="30" t="s">
        <v>567</v>
      </c>
      <c r="K296" s="2"/>
      <c r="L296" s="2"/>
      <c r="M296" s="2"/>
      <c r="N296" s="2"/>
      <c r="O296" s="2"/>
      <c r="P296" s="2"/>
      <c r="Q296" s="2"/>
      <c r="R296" s="2"/>
      <c r="S296" s="2"/>
      <c r="T296" s="2"/>
      <c r="U296" s="2"/>
      <c r="V296" s="2"/>
      <c r="W296" s="2"/>
      <c r="X296" s="2"/>
      <c r="Y296" s="2"/>
      <c r="Z296" s="2"/>
      <c r="AS296" s="20"/>
    </row>
    <row r="297" spans="1:45" ht="67.95" customHeight="1">
      <c r="A297" s="13" t="s">
        <v>1834</v>
      </c>
      <c r="B297" s="13" t="s">
        <v>1835</v>
      </c>
      <c r="C297" s="13" t="s">
        <v>1836</v>
      </c>
      <c r="D297" s="13" t="s">
        <v>1837</v>
      </c>
      <c r="E297" s="13" t="s">
        <v>1838</v>
      </c>
      <c r="F297" s="13">
        <v>2020</v>
      </c>
      <c r="G297" s="13" t="s">
        <v>1839</v>
      </c>
      <c r="H297" s="13" t="s">
        <v>32</v>
      </c>
      <c r="I297" s="13" t="s">
        <v>762</v>
      </c>
      <c r="J297" s="30" t="s">
        <v>567</v>
      </c>
      <c r="K297" s="2"/>
      <c r="L297" s="2"/>
      <c r="M297" s="2"/>
      <c r="N297" s="2"/>
      <c r="O297" s="2"/>
      <c r="P297" s="2"/>
      <c r="Q297" s="2"/>
      <c r="R297" s="2"/>
      <c r="S297" s="2"/>
      <c r="T297" s="2"/>
      <c r="U297" s="2"/>
      <c r="V297" s="2"/>
      <c r="W297" s="2"/>
      <c r="X297" s="2"/>
      <c r="Y297" s="2"/>
      <c r="Z297" s="2"/>
      <c r="AS297" s="20"/>
    </row>
    <row r="298" spans="1:45" ht="67.95" customHeight="1">
      <c r="A298" s="13" t="s">
        <v>1840</v>
      </c>
      <c r="B298" s="13" t="s">
        <v>1841</v>
      </c>
      <c r="C298" s="13" t="s">
        <v>1842</v>
      </c>
      <c r="D298" s="13" t="s">
        <v>1843</v>
      </c>
      <c r="E298" s="13" t="s">
        <v>1844</v>
      </c>
      <c r="F298" s="13">
        <v>2021</v>
      </c>
      <c r="G298" s="13" t="s">
        <v>1845</v>
      </c>
      <c r="H298" s="13" t="s">
        <v>136</v>
      </c>
      <c r="I298" s="13" t="s">
        <v>762</v>
      </c>
      <c r="J298" s="30" t="s">
        <v>567</v>
      </c>
      <c r="K298" s="2"/>
      <c r="L298" s="2"/>
      <c r="M298" s="2"/>
      <c r="N298" s="2"/>
      <c r="O298" s="2"/>
      <c r="P298" s="2"/>
      <c r="Q298" s="2"/>
      <c r="R298" s="2"/>
      <c r="S298" s="2"/>
      <c r="T298" s="2"/>
      <c r="U298" s="2"/>
      <c r="V298" s="2"/>
      <c r="W298" s="2"/>
      <c r="X298" s="2"/>
      <c r="Y298" s="2"/>
      <c r="Z298" s="2"/>
      <c r="AS298" s="20"/>
    </row>
    <row r="299" spans="1:45" ht="67.95" customHeight="1">
      <c r="A299" s="13" t="s">
        <v>1846</v>
      </c>
      <c r="B299" s="13" t="s">
        <v>1847</v>
      </c>
      <c r="C299" s="13" t="s">
        <v>1848</v>
      </c>
      <c r="D299" s="13" t="s">
        <v>1849</v>
      </c>
      <c r="E299" s="13" t="s">
        <v>1850</v>
      </c>
      <c r="F299" s="13">
        <v>2025</v>
      </c>
      <c r="G299" s="13" t="s">
        <v>694</v>
      </c>
      <c r="H299" s="13" t="s">
        <v>32</v>
      </c>
      <c r="I299" s="13" t="s">
        <v>762</v>
      </c>
      <c r="J299" s="30" t="s">
        <v>567</v>
      </c>
      <c r="K299" s="2"/>
      <c r="L299" s="2"/>
      <c r="M299" s="2"/>
      <c r="N299" s="2"/>
      <c r="O299" s="2"/>
      <c r="P299" s="2"/>
      <c r="Q299" s="2"/>
      <c r="R299" s="2"/>
      <c r="S299" s="2"/>
      <c r="T299" s="2"/>
      <c r="U299" s="2"/>
      <c r="V299" s="2"/>
      <c r="W299" s="2"/>
      <c r="X299" s="2"/>
      <c r="Y299" s="2"/>
      <c r="Z299" s="2"/>
      <c r="AS299" s="20"/>
    </row>
    <row r="300" spans="1:45" ht="67.95" customHeight="1">
      <c r="A300" s="13" t="s">
        <v>1851</v>
      </c>
      <c r="B300" s="13" t="s">
        <v>1852</v>
      </c>
      <c r="C300" s="13" t="s">
        <v>1853</v>
      </c>
      <c r="D300" s="13" t="s">
        <v>1854</v>
      </c>
      <c r="E300" s="13" t="s">
        <v>1855</v>
      </c>
      <c r="F300" s="13">
        <v>2019</v>
      </c>
      <c r="G300" s="13" t="s">
        <v>1856</v>
      </c>
      <c r="H300" s="13" t="s">
        <v>53</v>
      </c>
      <c r="I300" s="13" t="s">
        <v>762</v>
      </c>
      <c r="J300" s="30" t="s">
        <v>536</v>
      </c>
      <c r="K300" s="2"/>
      <c r="L300" s="2"/>
      <c r="M300" s="2"/>
      <c r="N300" s="2"/>
      <c r="O300" s="2"/>
      <c r="P300" s="2"/>
      <c r="Q300" s="2"/>
      <c r="R300" s="2"/>
      <c r="S300" s="2"/>
      <c r="T300" s="2"/>
      <c r="U300" s="2"/>
      <c r="V300" s="2"/>
      <c r="W300" s="2"/>
      <c r="X300" s="2"/>
      <c r="Y300" s="2"/>
      <c r="Z300" s="2"/>
      <c r="AS300" s="20"/>
    </row>
    <row r="301" spans="1:45" ht="67.95" customHeight="1">
      <c r="A301" s="13" t="s">
        <v>1857</v>
      </c>
      <c r="B301" s="13" t="s">
        <v>1858</v>
      </c>
      <c r="C301" s="13" t="s">
        <v>1859</v>
      </c>
      <c r="D301" s="13" t="s">
        <v>1860</v>
      </c>
      <c r="E301" s="13" t="s">
        <v>1861</v>
      </c>
      <c r="F301" s="13">
        <v>2016</v>
      </c>
      <c r="G301" s="13" t="s">
        <v>1862</v>
      </c>
      <c r="H301" s="13" t="s">
        <v>53</v>
      </c>
      <c r="I301" s="13" t="s">
        <v>762</v>
      </c>
      <c r="J301" s="30" t="s">
        <v>536</v>
      </c>
      <c r="K301" s="2"/>
      <c r="L301" s="2"/>
      <c r="M301" s="2"/>
      <c r="N301" s="2"/>
      <c r="O301" s="2"/>
      <c r="P301" s="2"/>
      <c r="Q301" s="2"/>
      <c r="R301" s="2"/>
      <c r="S301" s="2"/>
      <c r="T301" s="2"/>
      <c r="U301" s="2"/>
      <c r="V301" s="2"/>
      <c r="W301" s="2"/>
      <c r="X301" s="2"/>
      <c r="Y301" s="2"/>
      <c r="Z301" s="2"/>
      <c r="AS301" s="20"/>
    </row>
    <row r="302" spans="1:45" ht="67.95" customHeight="1">
      <c r="A302" s="13" t="s">
        <v>1863</v>
      </c>
      <c r="B302" s="13" t="s">
        <v>1864</v>
      </c>
      <c r="C302" s="13" t="s">
        <v>1865</v>
      </c>
      <c r="D302" s="13" t="s">
        <v>1866</v>
      </c>
      <c r="E302" s="13" t="s">
        <v>1867</v>
      </c>
      <c r="F302" s="13">
        <v>2017</v>
      </c>
      <c r="G302" s="13" t="s">
        <v>1016</v>
      </c>
      <c r="H302" s="13" t="s">
        <v>53</v>
      </c>
      <c r="I302" s="13" t="s">
        <v>762</v>
      </c>
      <c r="J302" s="30" t="s">
        <v>536</v>
      </c>
      <c r="K302" s="2"/>
      <c r="L302" s="2"/>
      <c r="M302" s="2"/>
      <c r="N302" s="2"/>
      <c r="O302" s="2"/>
      <c r="P302" s="2"/>
      <c r="Q302" s="2"/>
      <c r="R302" s="2"/>
      <c r="S302" s="2"/>
      <c r="T302" s="2"/>
      <c r="U302" s="2"/>
      <c r="V302" s="2"/>
      <c r="W302" s="2"/>
      <c r="X302" s="2"/>
      <c r="Y302" s="2"/>
      <c r="Z302" s="2"/>
      <c r="AS302" s="20"/>
    </row>
    <row r="303" spans="1:45" ht="67.95" customHeight="1">
      <c r="A303" s="13" t="s">
        <v>1868</v>
      </c>
      <c r="B303" s="13" t="s">
        <v>1869</v>
      </c>
      <c r="C303" s="13" t="s">
        <v>1870</v>
      </c>
      <c r="D303" s="13" t="s">
        <v>1871</v>
      </c>
      <c r="E303" s="13" t="s">
        <v>1872</v>
      </c>
      <c r="F303" s="13">
        <v>2024</v>
      </c>
      <c r="G303" s="13" t="s">
        <v>670</v>
      </c>
      <c r="H303" s="13" t="s">
        <v>32</v>
      </c>
      <c r="I303" s="13" t="s">
        <v>762</v>
      </c>
      <c r="J303" s="30" t="s">
        <v>536</v>
      </c>
      <c r="K303" s="2"/>
      <c r="L303" s="2"/>
      <c r="M303" s="2"/>
      <c r="N303" s="2"/>
      <c r="O303" s="2"/>
      <c r="P303" s="2"/>
      <c r="Q303" s="2"/>
      <c r="R303" s="2"/>
      <c r="S303" s="2"/>
      <c r="T303" s="2"/>
      <c r="U303" s="2"/>
      <c r="V303" s="2"/>
      <c r="W303" s="2"/>
      <c r="X303" s="2"/>
      <c r="Y303" s="2"/>
      <c r="Z303" s="2"/>
      <c r="AS303" s="20"/>
    </row>
    <row r="304" spans="1:45" ht="67.95" customHeight="1">
      <c r="A304" s="13" t="s">
        <v>1873</v>
      </c>
      <c r="B304" s="13" t="s">
        <v>1874</v>
      </c>
      <c r="C304" s="13" t="s">
        <v>1875</v>
      </c>
      <c r="D304" s="13" t="s">
        <v>1876</v>
      </c>
      <c r="E304" s="13" t="s">
        <v>1877</v>
      </c>
      <c r="F304" s="13">
        <v>2016</v>
      </c>
      <c r="G304" s="13" t="s">
        <v>1513</v>
      </c>
      <c r="H304" s="13" t="s">
        <v>53</v>
      </c>
      <c r="I304" s="13" t="s">
        <v>762</v>
      </c>
      <c r="J304" s="30" t="s">
        <v>536</v>
      </c>
      <c r="K304" s="2"/>
      <c r="L304" s="2"/>
      <c r="M304" s="2"/>
      <c r="N304" s="2"/>
      <c r="O304" s="2"/>
      <c r="P304" s="2"/>
      <c r="Q304" s="2"/>
      <c r="R304" s="2"/>
      <c r="S304" s="2"/>
      <c r="T304" s="2"/>
      <c r="U304" s="2"/>
      <c r="V304" s="2"/>
      <c r="W304" s="2"/>
      <c r="X304" s="2"/>
      <c r="Y304" s="2"/>
      <c r="Z304" s="2"/>
      <c r="AS304" s="20"/>
    </row>
    <row r="305" spans="1:45" ht="67.95" customHeight="1">
      <c r="A305" s="13" t="s">
        <v>1878</v>
      </c>
      <c r="B305" s="13" t="s">
        <v>51</v>
      </c>
      <c r="C305" s="13" t="s">
        <v>51</v>
      </c>
      <c r="D305" s="13" t="s">
        <v>1879</v>
      </c>
      <c r="E305" s="13" t="s">
        <v>51</v>
      </c>
      <c r="F305" s="13">
        <v>2023</v>
      </c>
      <c r="G305" s="13" t="s">
        <v>1880</v>
      </c>
      <c r="H305" s="13" t="s">
        <v>32</v>
      </c>
      <c r="I305" s="13" t="s">
        <v>762</v>
      </c>
      <c r="J305" s="30" t="s">
        <v>658</v>
      </c>
      <c r="K305" s="2"/>
      <c r="L305" s="2"/>
      <c r="M305" s="2"/>
      <c r="N305" s="2"/>
      <c r="O305" s="2"/>
      <c r="P305" s="2"/>
      <c r="Q305" s="2"/>
      <c r="R305" s="2"/>
      <c r="S305" s="2"/>
      <c r="T305" s="2"/>
      <c r="U305" s="2"/>
      <c r="V305" s="2"/>
      <c r="W305" s="2"/>
      <c r="X305" s="2"/>
      <c r="Y305" s="2"/>
      <c r="Z305" s="2"/>
      <c r="AS305" s="20"/>
    </row>
    <row r="306" spans="1:45" ht="67.95" customHeight="1">
      <c r="A306" s="13" t="s">
        <v>1881</v>
      </c>
      <c r="B306" s="13" t="s">
        <v>1882</v>
      </c>
      <c r="C306" s="13" t="s">
        <v>1883</v>
      </c>
      <c r="D306" s="13" t="s">
        <v>1884</v>
      </c>
      <c r="E306" s="13" t="s">
        <v>1885</v>
      </c>
      <c r="F306" s="13">
        <v>2023</v>
      </c>
      <c r="G306" s="13" t="s">
        <v>627</v>
      </c>
      <c r="H306" s="13" t="s">
        <v>32</v>
      </c>
      <c r="I306" s="13" t="s">
        <v>762</v>
      </c>
      <c r="J306" s="30" t="s">
        <v>567</v>
      </c>
      <c r="K306" s="2"/>
      <c r="L306" s="2"/>
      <c r="M306" s="2"/>
      <c r="N306" s="2"/>
      <c r="O306" s="2"/>
      <c r="P306" s="2"/>
      <c r="Q306" s="2"/>
      <c r="R306" s="2"/>
      <c r="S306" s="2"/>
      <c r="T306" s="2"/>
      <c r="U306" s="2"/>
      <c r="V306" s="2"/>
      <c r="W306" s="2"/>
      <c r="X306" s="2"/>
      <c r="Y306" s="2"/>
      <c r="Z306" s="2"/>
      <c r="AS306" s="20"/>
    </row>
    <row r="307" spans="1:45" ht="67.95" customHeight="1">
      <c r="A307" s="13" t="s">
        <v>1886</v>
      </c>
      <c r="B307" s="13" t="s">
        <v>1887</v>
      </c>
      <c r="C307" s="13" t="s">
        <v>1888</v>
      </c>
      <c r="D307" s="13" t="s">
        <v>1889</v>
      </c>
      <c r="E307" s="13" t="s">
        <v>1890</v>
      </c>
      <c r="F307" s="13">
        <v>2022</v>
      </c>
      <c r="G307" s="13" t="s">
        <v>1891</v>
      </c>
      <c r="H307" s="13" t="s">
        <v>32</v>
      </c>
      <c r="I307" s="13" t="s">
        <v>762</v>
      </c>
      <c r="J307" s="30" t="s">
        <v>567</v>
      </c>
      <c r="K307" s="2"/>
      <c r="L307" s="2"/>
      <c r="M307" s="2"/>
      <c r="N307" s="2"/>
      <c r="O307" s="2"/>
      <c r="P307" s="2"/>
      <c r="Q307" s="2"/>
      <c r="R307" s="2"/>
      <c r="S307" s="2"/>
      <c r="T307" s="2"/>
      <c r="U307" s="2"/>
      <c r="V307" s="2"/>
      <c r="W307" s="2"/>
      <c r="X307" s="2"/>
      <c r="Y307" s="2"/>
      <c r="Z307" s="2"/>
      <c r="AS307" s="20"/>
    </row>
    <row r="308" spans="1:45" ht="67.95" customHeight="1">
      <c r="A308" s="13" t="s">
        <v>1892</v>
      </c>
      <c r="B308" s="13" t="s">
        <v>1893</v>
      </c>
      <c r="C308" s="13" t="s">
        <v>1894</v>
      </c>
      <c r="D308" s="13" t="s">
        <v>1895</v>
      </c>
      <c r="E308" s="13" t="s">
        <v>1896</v>
      </c>
      <c r="F308" s="13">
        <v>2023</v>
      </c>
      <c r="G308" s="13" t="s">
        <v>1794</v>
      </c>
      <c r="H308" s="13" t="s">
        <v>32</v>
      </c>
      <c r="I308" s="13" t="s">
        <v>762</v>
      </c>
      <c r="J308" s="30" t="s">
        <v>543</v>
      </c>
      <c r="K308" s="2"/>
      <c r="L308" s="2"/>
      <c r="M308" s="2"/>
      <c r="N308" s="2"/>
      <c r="O308" s="2"/>
      <c r="P308" s="2"/>
      <c r="Q308" s="2"/>
      <c r="R308" s="2"/>
      <c r="S308" s="2"/>
      <c r="T308" s="2"/>
      <c r="U308" s="2"/>
      <c r="V308" s="2"/>
      <c r="W308" s="2"/>
      <c r="X308" s="2"/>
      <c r="Y308" s="2"/>
      <c r="Z308" s="2"/>
      <c r="AS308" s="20"/>
    </row>
    <row r="309" spans="1:45" ht="67.95" customHeight="1">
      <c r="A309" s="13" t="s">
        <v>1897</v>
      </c>
      <c r="B309" s="13" t="s">
        <v>1898</v>
      </c>
      <c r="C309" s="13" t="s">
        <v>1899</v>
      </c>
      <c r="D309" s="13" t="s">
        <v>1900</v>
      </c>
      <c r="E309" s="13" t="s">
        <v>1901</v>
      </c>
      <c r="F309" s="13">
        <v>2023</v>
      </c>
      <c r="G309" s="13" t="s">
        <v>1856</v>
      </c>
      <c r="H309" s="13" t="s">
        <v>53</v>
      </c>
      <c r="I309" s="13" t="s">
        <v>762</v>
      </c>
      <c r="J309" s="30" t="s">
        <v>567</v>
      </c>
      <c r="K309" s="2"/>
      <c r="L309" s="2"/>
      <c r="M309" s="2"/>
      <c r="N309" s="2"/>
      <c r="O309" s="2"/>
      <c r="P309" s="2"/>
      <c r="Q309" s="2"/>
      <c r="R309" s="2"/>
      <c r="S309" s="2"/>
      <c r="T309" s="2"/>
      <c r="U309" s="2"/>
      <c r="V309" s="2"/>
      <c r="W309" s="2"/>
      <c r="X309" s="2"/>
      <c r="Y309" s="2"/>
      <c r="Z309" s="2"/>
      <c r="AS309" s="20"/>
    </row>
    <row r="310" spans="1:45" ht="67.95" customHeight="1">
      <c r="A310" s="13" t="s">
        <v>1902</v>
      </c>
      <c r="B310" s="13" t="s">
        <v>1903</v>
      </c>
      <c r="C310" s="13" t="s">
        <v>1904</v>
      </c>
      <c r="D310" s="13" t="s">
        <v>1905</v>
      </c>
      <c r="E310" s="13" t="s">
        <v>1906</v>
      </c>
      <c r="F310" s="13">
        <v>2023</v>
      </c>
      <c r="G310" s="13" t="s">
        <v>1597</v>
      </c>
      <c r="H310" s="13" t="s">
        <v>32</v>
      </c>
      <c r="I310" s="13" t="s">
        <v>762</v>
      </c>
      <c r="J310" s="30" t="s">
        <v>567</v>
      </c>
      <c r="K310" s="2"/>
      <c r="L310" s="2"/>
      <c r="M310" s="2"/>
      <c r="N310" s="2"/>
      <c r="O310" s="2"/>
      <c r="P310" s="2"/>
      <c r="Q310" s="2"/>
      <c r="R310" s="2"/>
      <c r="S310" s="2"/>
      <c r="T310" s="2"/>
      <c r="U310" s="2"/>
      <c r="V310" s="2"/>
      <c r="W310" s="2"/>
      <c r="X310" s="2"/>
      <c r="Y310" s="2"/>
      <c r="Z310" s="2"/>
      <c r="AS310" s="20"/>
    </row>
    <row r="311" spans="1:45" ht="67.95" customHeight="1">
      <c r="A311" s="13" t="s">
        <v>1907</v>
      </c>
      <c r="B311" s="13" t="s">
        <v>1908</v>
      </c>
      <c r="C311" s="13" t="s">
        <v>1909</v>
      </c>
      <c r="D311" s="13" t="s">
        <v>1910</v>
      </c>
      <c r="E311" s="13" t="s">
        <v>51</v>
      </c>
      <c r="F311" s="13">
        <v>2017</v>
      </c>
      <c r="G311" s="13" t="s">
        <v>359</v>
      </c>
      <c r="H311" s="13" t="s">
        <v>53</v>
      </c>
      <c r="I311" s="13" t="s">
        <v>762</v>
      </c>
      <c r="J311" s="30" t="s">
        <v>536</v>
      </c>
      <c r="K311" s="2"/>
      <c r="L311" s="2"/>
      <c r="M311" s="2"/>
      <c r="N311" s="2"/>
      <c r="O311" s="2"/>
      <c r="P311" s="2"/>
      <c r="Q311" s="2"/>
      <c r="R311" s="2"/>
      <c r="S311" s="2"/>
      <c r="T311" s="2"/>
      <c r="U311" s="2"/>
      <c r="V311" s="2"/>
      <c r="W311" s="2"/>
      <c r="X311" s="2"/>
      <c r="Y311" s="2"/>
      <c r="Z311" s="2"/>
      <c r="AS311" s="20"/>
    </row>
    <row r="312" spans="1:45" ht="67.95" customHeight="1">
      <c r="A312" s="13" t="s">
        <v>1911</v>
      </c>
      <c r="B312" s="13" t="s">
        <v>1912</v>
      </c>
      <c r="C312" s="13" t="s">
        <v>1913</v>
      </c>
      <c r="D312" s="13" t="s">
        <v>1914</v>
      </c>
      <c r="E312" s="13" t="s">
        <v>51</v>
      </c>
      <c r="F312" s="13">
        <v>2019</v>
      </c>
      <c r="G312" s="13" t="s">
        <v>1915</v>
      </c>
      <c r="H312" s="13" t="s">
        <v>53</v>
      </c>
      <c r="I312" s="13" t="s">
        <v>762</v>
      </c>
      <c r="J312" s="30" t="s">
        <v>543</v>
      </c>
      <c r="K312" s="2"/>
      <c r="L312" s="2"/>
      <c r="M312" s="2"/>
      <c r="N312" s="2"/>
      <c r="O312" s="2"/>
      <c r="P312" s="2"/>
      <c r="Q312" s="2"/>
      <c r="R312" s="2"/>
      <c r="S312" s="2"/>
      <c r="T312" s="2"/>
      <c r="U312" s="2"/>
      <c r="V312" s="2"/>
      <c r="W312" s="2"/>
      <c r="X312" s="2"/>
      <c r="Y312" s="2"/>
      <c r="Z312" s="2"/>
      <c r="AS312" s="20"/>
    </row>
    <row r="313" spans="1:45" ht="67.95" customHeight="1">
      <c r="A313" s="13" t="s">
        <v>1916</v>
      </c>
      <c r="B313" s="13" t="s">
        <v>51</v>
      </c>
      <c r="C313" s="13" t="s">
        <v>1917</v>
      </c>
      <c r="D313" s="13" t="s">
        <v>1918</v>
      </c>
      <c r="E313" s="13" t="s">
        <v>51</v>
      </c>
      <c r="F313" s="13">
        <v>2020</v>
      </c>
      <c r="G313" s="13" t="s">
        <v>916</v>
      </c>
      <c r="H313" s="13" t="s">
        <v>32</v>
      </c>
      <c r="I313" s="13" t="s">
        <v>762</v>
      </c>
      <c r="J313" s="30" t="s">
        <v>658</v>
      </c>
      <c r="K313" s="2"/>
      <c r="L313" s="2"/>
      <c r="M313" s="2"/>
      <c r="N313" s="2"/>
      <c r="O313" s="2"/>
      <c r="P313" s="2"/>
      <c r="Q313" s="2"/>
      <c r="R313" s="2"/>
      <c r="S313" s="2"/>
      <c r="T313" s="2"/>
      <c r="U313" s="2"/>
      <c r="V313" s="2"/>
      <c r="W313" s="2"/>
      <c r="X313" s="2"/>
      <c r="Y313" s="2"/>
      <c r="Z313" s="2"/>
      <c r="AS313" s="20"/>
    </row>
    <row r="314" spans="1:45" ht="67.95" customHeight="1">
      <c r="A314" s="13" t="s">
        <v>1919</v>
      </c>
      <c r="B314" s="13" t="s">
        <v>1920</v>
      </c>
      <c r="C314" s="13" t="s">
        <v>1921</v>
      </c>
      <c r="D314" s="13" t="s">
        <v>1922</v>
      </c>
      <c r="E314" s="13" t="s">
        <v>1923</v>
      </c>
      <c r="F314" s="13">
        <v>2025</v>
      </c>
      <c r="G314" s="13" t="s">
        <v>694</v>
      </c>
      <c r="H314" s="13" t="s">
        <v>32</v>
      </c>
      <c r="I314" s="13" t="s">
        <v>762</v>
      </c>
      <c r="J314" s="30" t="s">
        <v>567</v>
      </c>
      <c r="K314" s="2"/>
      <c r="L314" s="2"/>
      <c r="M314" s="2"/>
      <c r="N314" s="2"/>
      <c r="O314" s="2"/>
      <c r="P314" s="2"/>
      <c r="Q314" s="2"/>
      <c r="R314" s="2"/>
      <c r="S314" s="2"/>
      <c r="T314" s="2"/>
      <c r="U314" s="2"/>
      <c r="V314" s="2"/>
      <c r="W314" s="2"/>
      <c r="X314" s="2"/>
      <c r="Y314" s="2"/>
      <c r="Z314" s="2"/>
      <c r="AS314" s="20"/>
    </row>
    <row r="315" spans="1:45" ht="67.95" customHeight="1">
      <c r="A315" s="13" t="s">
        <v>1924</v>
      </c>
      <c r="B315" s="13" t="s">
        <v>1925</v>
      </c>
      <c r="C315" s="13" t="s">
        <v>1926</v>
      </c>
      <c r="D315" s="13" t="s">
        <v>1927</v>
      </c>
      <c r="E315" s="13" t="s">
        <v>1928</v>
      </c>
      <c r="F315" s="13">
        <v>2024</v>
      </c>
      <c r="G315" s="13" t="s">
        <v>694</v>
      </c>
      <c r="H315" s="13" t="s">
        <v>32</v>
      </c>
      <c r="I315" s="13" t="s">
        <v>762</v>
      </c>
      <c r="J315" s="30" t="s">
        <v>567</v>
      </c>
      <c r="K315" s="2"/>
      <c r="L315" s="2"/>
      <c r="M315" s="2"/>
      <c r="N315" s="2"/>
      <c r="O315" s="2"/>
      <c r="P315" s="2"/>
      <c r="Q315" s="2"/>
      <c r="R315" s="2"/>
      <c r="S315" s="2"/>
      <c r="T315" s="2"/>
      <c r="U315" s="2"/>
      <c r="V315" s="2"/>
      <c r="W315" s="2"/>
      <c r="X315" s="2"/>
      <c r="Y315" s="2"/>
      <c r="Z315" s="2"/>
      <c r="AS315" s="20"/>
    </row>
    <row r="316" spans="1:45" ht="67.95" customHeight="1">
      <c r="A316" s="13" t="s">
        <v>1929</v>
      </c>
      <c r="B316" s="13" t="s">
        <v>1930</v>
      </c>
      <c r="C316" s="13" t="s">
        <v>1931</v>
      </c>
      <c r="D316" s="13" t="s">
        <v>1932</v>
      </c>
      <c r="E316" s="13" t="s">
        <v>1933</v>
      </c>
      <c r="F316" s="13">
        <v>2025</v>
      </c>
      <c r="G316" s="13" t="s">
        <v>694</v>
      </c>
      <c r="H316" s="13" t="s">
        <v>32</v>
      </c>
      <c r="I316" s="13" t="s">
        <v>762</v>
      </c>
      <c r="J316" s="30" t="s">
        <v>543</v>
      </c>
      <c r="K316" s="2"/>
      <c r="L316" s="2"/>
      <c r="M316" s="2"/>
      <c r="N316" s="2"/>
      <c r="O316" s="2"/>
      <c r="P316" s="2"/>
      <c r="Q316" s="2"/>
      <c r="R316" s="2"/>
      <c r="S316" s="2"/>
      <c r="T316" s="2"/>
      <c r="U316" s="2"/>
      <c r="V316" s="2"/>
      <c r="W316" s="2"/>
      <c r="X316" s="2"/>
      <c r="Y316" s="2"/>
      <c r="Z316" s="2"/>
      <c r="AS316" s="20"/>
    </row>
    <row r="317" spans="1:45" ht="67.95" customHeight="1">
      <c r="A317" s="13" t="s">
        <v>1934</v>
      </c>
      <c r="B317" s="13" t="s">
        <v>1935</v>
      </c>
      <c r="C317" s="13" t="s">
        <v>1936</v>
      </c>
      <c r="D317" s="13" t="s">
        <v>1937</v>
      </c>
      <c r="E317" s="13" t="s">
        <v>1938</v>
      </c>
      <c r="F317" s="13">
        <v>2019</v>
      </c>
      <c r="G317" s="13" t="s">
        <v>813</v>
      </c>
      <c r="H317" s="13" t="s">
        <v>32</v>
      </c>
      <c r="I317" s="13" t="s">
        <v>762</v>
      </c>
      <c r="J317" s="30" t="s">
        <v>646</v>
      </c>
      <c r="K317" s="2"/>
      <c r="L317" s="2"/>
      <c r="M317" s="2"/>
      <c r="N317" s="2"/>
      <c r="O317" s="2"/>
      <c r="P317" s="2"/>
      <c r="Q317" s="2"/>
      <c r="R317" s="2"/>
      <c r="S317" s="2"/>
      <c r="T317" s="2"/>
      <c r="U317" s="2"/>
      <c r="V317" s="2"/>
      <c r="W317" s="2"/>
      <c r="X317" s="2"/>
      <c r="Y317" s="2"/>
      <c r="Z317" s="2"/>
      <c r="AS317" s="20"/>
    </row>
    <row r="318" spans="1:45" ht="67.95" customHeight="1">
      <c r="A318" s="13" t="s">
        <v>1939</v>
      </c>
      <c r="B318" s="13" t="s">
        <v>1940</v>
      </c>
      <c r="C318" s="13" t="s">
        <v>1941</v>
      </c>
      <c r="D318" s="13" t="s">
        <v>1942</v>
      </c>
      <c r="E318" s="13" t="s">
        <v>51</v>
      </c>
      <c r="F318" s="13">
        <v>2018</v>
      </c>
      <c r="G318" s="13" t="s">
        <v>1943</v>
      </c>
      <c r="H318" s="13" t="s">
        <v>32</v>
      </c>
      <c r="I318" s="13" t="s">
        <v>762</v>
      </c>
      <c r="J318" s="30" t="s">
        <v>882</v>
      </c>
      <c r="K318" s="2"/>
      <c r="L318" s="2"/>
      <c r="M318" s="2"/>
      <c r="N318" s="2"/>
      <c r="O318" s="2"/>
      <c r="P318" s="2"/>
      <c r="Q318" s="2"/>
      <c r="R318" s="2"/>
      <c r="S318" s="2"/>
      <c r="T318" s="2"/>
      <c r="U318" s="2"/>
      <c r="V318" s="2"/>
      <c r="W318" s="2"/>
      <c r="X318" s="2"/>
      <c r="Y318" s="2"/>
      <c r="Z318" s="2"/>
      <c r="AS318" s="20"/>
    </row>
    <row r="319" spans="1:45" ht="67.95" customHeight="1">
      <c r="A319" s="13" t="s">
        <v>1944</v>
      </c>
      <c r="B319" s="13" t="s">
        <v>51</v>
      </c>
      <c r="C319" s="13" t="s">
        <v>51</v>
      </c>
      <c r="D319" s="13" t="s">
        <v>1945</v>
      </c>
      <c r="E319" s="13" t="s">
        <v>51</v>
      </c>
      <c r="F319" s="13">
        <v>2023</v>
      </c>
      <c r="G319" s="13" t="s">
        <v>1946</v>
      </c>
      <c r="H319" s="13" t="s">
        <v>32</v>
      </c>
      <c r="I319" s="13" t="s">
        <v>762</v>
      </c>
      <c r="J319" s="30" t="s">
        <v>658</v>
      </c>
      <c r="K319" s="2"/>
      <c r="L319" s="2"/>
      <c r="M319" s="2"/>
      <c r="N319" s="2"/>
      <c r="O319" s="2"/>
      <c r="P319" s="2"/>
      <c r="Q319" s="2"/>
      <c r="R319" s="2"/>
      <c r="S319" s="2"/>
      <c r="T319" s="2"/>
      <c r="U319" s="2"/>
      <c r="V319" s="2"/>
      <c r="W319" s="2"/>
      <c r="X319" s="2"/>
      <c r="Y319" s="2"/>
      <c r="Z319" s="2"/>
      <c r="AS319" s="20"/>
    </row>
    <row r="320" spans="1:45" ht="67.95" customHeight="1">
      <c r="A320" s="13" t="s">
        <v>1947</v>
      </c>
      <c r="B320" s="13" t="s">
        <v>1948</v>
      </c>
      <c r="C320" s="13" t="s">
        <v>1949</v>
      </c>
      <c r="D320" s="13" t="s">
        <v>1950</v>
      </c>
      <c r="E320" s="13" t="s">
        <v>1951</v>
      </c>
      <c r="F320" s="13">
        <v>2023</v>
      </c>
      <c r="G320" s="13" t="s">
        <v>1952</v>
      </c>
      <c r="H320" s="13" t="s">
        <v>32</v>
      </c>
      <c r="I320" s="13" t="s">
        <v>762</v>
      </c>
      <c r="J320" s="30" t="s">
        <v>536</v>
      </c>
      <c r="K320" s="2"/>
      <c r="L320" s="2"/>
      <c r="M320" s="2"/>
      <c r="N320" s="2"/>
      <c r="O320" s="2"/>
      <c r="P320" s="2"/>
      <c r="Q320" s="2"/>
      <c r="R320" s="2"/>
      <c r="S320" s="2"/>
      <c r="T320" s="2"/>
      <c r="U320" s="2"/>
      <c r="V320" s="2"/>
      <c r="W320" s="2"/>
      <c r="X320" s="2"/>
      <c r="Y320" s="2"/>
      <c r="Z320" s="2"/>
      <c r="AS320" s="20"/>
    </row>
    <row r="321" spans="1:45" ht="67.95" customHeight="1">
      <c r="A321" s="13" t="s">
        <v>1953</v>
      </c>
      <c r="B321" s="13" t="s">
        <v>1954</v>
      </c>
      <c r="C321" s="13" t="s">
        <v>1955</v>
      </c>
      <c r="D321" s="13" t="s">
        <v>1956</v>
      </c>
      <c r="E321" s="13" t="s">
        <v>1957</v>
      </c>
      <c r="F321" s="13">
        <v>2023</v>
      </c>
      <c r="G321" s="13" t="s">
        <v>1958</v>
      </c>
      <c r="H321" s="13" t="s">
        <v>32</v>
      </c>
      <c r="I321" s="13" t="s">
        <v>762</v>
      </c>
      <c r="J321" s="30" t="s">
        <v>536</v>
      </c>
      <c r="K321" s="2"/>
      <c r="L321" s="2"/>
      <c r="M321" s="2"/>
      <c r="N321" s="2"/>
      <c r="O321" s="2"/>
      <c r="P321" s="2"/>
      <c r="Q321" s="2"/>
      <c r="R321" s="2"/>
      <c r="S321" s="2"/>
      <c r="T321" s="2"/>
      <c r="U321" s="2"/>
      <c r="V321" s="2"/>
      <c r="W321" s="2"/>
      <c r="X321" s="2"/>
      <c r="Y321" s="2"/>
      <c r="Z321" s="2"/>
      <c r="AS321" s="20"/>
    </row>
    <row r="322" spans="1:45" ht="67.95" customHeight="1">
      <c r="A322" s="13" t="s">
        <v>1959</v>
      </c>
      <c r="B322" s="13" t="s">
        <v>1960</v>
      </c>
      <c r="C322" s="13" t="s">
        <v>1961</v>
      </c>
      <c r="D322" s="13" t="s">
        <v>1962</v>
      </c>
      <c r="E322" s="13" t="s">
        <v>1963</v>
      </c>
      <c r="F322" s="13">
        <v>2024</v>
      </c>
      <c r="G322" s="13" t="s">
        <v>1964</v>
      </c>
      <c r="H322" s="13" t="s">
        <v>53</v>
      </c>
      <c r="I322" s="13" t="s">
        <v>762</v>
      </c>
      <c r="J322" s="30" t="s">
        <v>646</v>
      </c>
      <c r="K322" s="2"/>
      <c r="L322" s="2"/>
      <c r="M322" s="2"/>
      <c r="N322" s="2"/>
      <c r="O322" s="2"/>
      <c r="P322" s="2"/>
      <c r="Q322" s="2"/>
      <c r="R322" s="2"/>
      <c r="S322" s="2"/>
      <c r="T322" s="2"/>
      <c r="U322" s="2"/>
      <c r="V322" s="2"/>
      <c r="W322" s="2"/>
      <c r="X322" s="2"/>
      <c r="Y322" s="2"/>
      <c r="Z322" s="2"/>
      <c r="AS322" s="20"/>
    </row>
    <row r="323" spans="1:45" ht="67.95" customHeight="1">
      <c r="A323" s="13" t="s">
        <v>1965</v>
      </c>
      <c r="B323" s="13" t="s">
        <v>1966</v>
      </c>
      <c r="C323" s="13" t="s">
        <v>1967</v>
      </c>
      <c r="D323" s="13" t="s">
        <v>1968</v>
      </c>
      <c r="E323" s="13" t="s">
        <v>1969</v>
      </c>
      <c r="F323" s="13">
        <v>2024</v>
      </c>
      <c r="G323" s="13" t="s">
        <v>1970</v>
      </c>
      <c r="H323" s="13" t="s">
        <v>53</v>
      </c>
      <c r="I323" s="13" t="s">
        <v>762</v>
      </c>
      <c r="J323" s="30" t="s">
        <v>536</v>
      </c>
      <c r="K323" s="2"/>
      <c r="L323" s="2"/>
      <c r="M323" s="2"/>
      <c r="N323" s="2"/>
      <c r="O323" s="2"/>
      <c r="P323" s="2"/>
      <c r="Q323" s="2"/>
      <c r="R323" s="2"/>
      <c r="S323" s="2"/>
      <c r="T323" s="2"/>
      <c r="U323" s="2"/>
      <c r="V323" s="2"/>
      <c r="W323" s="2"/>
      <c r="X323" s="2"/>
      <c r="Y323" s="2"/>
      <c r="Z323" s="2"/>
      <c r="AS323" s="20"/>
    </row>
    <row r="324" spans="1:45" ht="67.95" customHeight="1">
      <c r="A324" s="13" t="s">
        <v>1971</v>
      </c>
      <c r="B324" s="13" t="s">
        <v>51</v>
      </c>
      <c r="C324" s="13" t="s">
        <v>51</v>
      </c>
      <c r="D324" s="13" t="s">
        <v>1972</v>
      </c>
      <c r="E324" s="13" t="s">
        <v>51</v>
      </c>
      <c r="F324" s="13">
        <v>2021</v>
      </c>
      <c r="G324" s="13" t="s">
        <v>1880</v>
      </c>
      <c r="H324" s="13" t="s">
        <v>32</v>
      </c>
      <c r="I324" s="13" t="s">
        <v>762</v>
      </c>
      <c r="J324" s="30" t="s">
        <v>658</v>
      </c>
      <c r="K324" s="2"/>
      <c r="L324" s="2"/>
      <c r="M324" s="2"/>
      <c r="N324" s="2"/>
      <c r="O324" s="2"/>
      <c r="P324" s="2"/>
      <c r="Q324" s="2"/>
      <c r="R324" s="2"/>
      <c r="S324" s="2"/>
      <c r="T324" s="2"/>
      <c r="U324" s="2"/>
      <c r="V324" s="2"/>
      <c r="W324" s="2"/>
      <c r="X324" s="2"/>
      <c r="Y324" s="2"/>
      <c r="Z324" s="2"/>
      <c r="AS324" s="20"/>
    </row>
    <row r="325" spans="1:45" ht="67.95" customHeight="1">
      <c r="A325" s="13" t="s">
        <v>1973</v>
      </c>
      <c r="B325" s="13" t="s">
        <v>1974</v>
      </c>
      <c r="C325" s="13" t="s">
        <v>1975</v>
      </c>
      <c r="D325" s="13" t="s">
        <v>1976</v>
      </c>
      <c r="E325" s="13" t="s">
        <v>1977</v>
      </c>
      <c r="F325" s="13">
        <v>2021</v>
      </c>
      <c r="G325" s="13" t="s">
        <v>1713</v>
      </c>
      <c r="H325" s="13" t="s">
        <v>32</v>
      </c>
      <c r="I325" s="13" t="s">
        <v>762</v>
      </c>
      <c r="J325" s="30" t="s">
        <v>536</v>
      </c>
      <c r="K325" s="2"/>
      <c r="L325" s="2"/>
      <c r="M325" s="2"/>
      <c r="N325" s="2"/>
      <c r="O325" s="2"/>
      <c r="P325" s="2"/>
      <c r="Q325" s="2"/>
      <c r="R325" s="2"/>
      <c r="S325" s="2"/>
      <c r="T325" s="2"/>
      <c r="U325" s="2"/>
      <c r="V325" s="2"/>
      <c r="W325" s="2"/>
      <c r="X325" s="2"/>
      <c r="Y325" s="2"/>
      <c r="Z325" s="2"/>
      <c r="AS325" s="20"/>
    </row>
    <row r="326" spans="1:45" ht="67.95" customHeight="1">
      <c r="A326" s="13" t="s">
        <v>1978</v>
      </c>
      <c r="B326" s="13" t="s">
        <v>1979</v>
      </c>
      <c r="C326" s="13" t="s">
        <v>1980</v>
      </c>
      <c r="D326" s="13" t="s">
        <v>1981</v>
      </c>
      <c r="E326" s="13" t="s">
        <v>1982</v>
      </c>
      <c r="F326" s="13">
        <v>2025</v>
      </c>
      <c r="G326" s="13" t="s">
        <v>1983</v>
      </c>
      <c r="H326" s="13" t="s">
        <v>32</v>
      </c>
      <c r="I326" s="13" t="s">
        <v>762</v>
      </c>
      <c r="J326" s="30" t="s">
        <v>567</v>
      </c>
      <c r="K326" s="2"/>
      <c r="L326" s="2"/>
      <c r="M326" s="2"/>
      <c r="N326" s="2"/>
      <c r="O326" s="2"/>
      <c r="P326" s="2"/>
      <c r="Q326" s="2"/>
      <c r="R326" s="2"/>
      <c r="S326" s="2"/>
      <c r="T326" s="2"/>
      <c r="U326" s="2"/>
      <c r="V326" s="2"/>
      <c r="W326" s="2"/>
      <c r="X326" s="2"/>
      <c r="Y326" s="2"/>
      <c r="Z326" s="2"/>
      <c r="AS326" s="20"/>
    </row>
    <row r="327" spans="1:45" ht="67.95" customHeight="1">
      <c r="A327" s="13" t="s">
        <v>1984</v>
      </c>
      <c r="B327" s="13" t="s">
        <v>1985</v>
      </c>
      <c r="C327" s="13" t="s">
        <v>1986</v>
      </c>
      <c r="D327" s="13" t="s">
        <v>1987</v>
      </c>
      <c r="E327" s="13" t="s">
        <v>1988</v>
      </c>
      <c r="F327" s="13">
        <v>2024</v>
      </c>
      <c r="G327" s="13" t="s">
        <v>1989</v>
      </c>
      <c r="H327" s="13" t="s">
        <v>32</v>
      </c>
      <c r="I327" s="13" t="s">
        <v>762</v>
      </c>
      <c r="J327" s="30" t="s">
        <v>536</v>
      </c>
      <c r="K327" s="2"/>
      <c r="L327" s="2"/>
      <c r="M327" s="2"/>
      <c r="N327" s="2"/>
      <c r="O327" s="2"/>
      <c r="P327" s="2"/>
      <c r="Q327" s="2"/>
      <c r="R327" s="2"/>
      <c r="S327" s="2"/>
      <c r="T327" s="2"/>
      <c r="U327" s="2"/>
      <c r="V327" s="2"/>
      <c r="W327" s="2"/>
      <c r="X327" s="2"/>
      <c r="Y327" s="2"/>
      <c r="Z327" s="2"/>
      <c r="AS327" s="20"/>
    </row>
    <row r="328" spans="1:45" ht="67.95" customHeight="1">
      <c r="A328" s="13" t="s">
        <v>1990</v>
      </c>
      <c r="B328" s="13" t="s">
        <v>1991</v>
      </c>
      <c r="C328" s="13" t="s">
        <v>1992</v>
      </c>
      <c r="D328" s="13" t="s">
        <v>1993</v>
      </c>
      <c r="E328" s="13" t="s">
        <v>1994</v>
      </c>
      <c r="F328" s="13">
        <v>2019</v>
      </c>
      <c r="G328" s="13" t="s">
        <v>639</v>
      </c>
      <c r="H328" s="13" t="s">
        <v>32</v>
      </c>
      <c r="I328" s="13" t="s">
        <v>762</v>
      </c>
      <c r="J328" s="30" t="s">
        <v>567</v>
      </c>
      <c r="K328" s="2"/>
      <c r="L328" s="2"/>
      <c r="M328" s="2"/>
      <c r="N328" s="2"/>
      <c r="O328" s="2"/>
      <c r="P328" s="2"/>
      <c r="Q328" s="2"/>
      <c r="R328" s="2"/>
      <c r="S328" s="2"/>
      <c r="T328" s="2"/>
      <c r="U328" s="2"/>
      <c r="V328" s="2"/>
      <c r="W328" s="2"/>
      <c r="X328" s="2"/>
      <c r="Y328" s="2"/>
      <c r="Z328" s="2"/>
      <c r="AS328" s="20"/>
    </row>
    <row r="329" spans="1:45" ht="67.95" customHeight="1">
      <c r="A329" s="13" t="s">
        <v>1995</v>
      </c>
      <c r="B329" s="13" t="s">
        <v>1996</v>
      </c>
      <c r="C329" s="13" t="s">
        <v>1997</v>
      </c>
      <c r="D329" s="13" t="s">
        <v>1998</v>
      </c>
      <c r="E329" s="13" t="s">
        <v>1999</v>
      </c>
      <c r="F329" s="13">
        <v>2023</v>
      </c>
      <c r="G329" s="13" t="s">
        <v>854</v>
      </c>
      <c r="H329" s="13" t="s">
        <v>32</v>
      </c>
      <c r="I329" s="13" t="s">
        <v>762</v>
      </c>
      <c r="J329" s="30" t="s">
        <v>579</v>
      </c>
      <c r="K329" s="2"/>
      <c r="L329" s="2"/>
      <c r="M329" s="2"/>
      <c r="N329" s="2"/>
      <c r="O329" s="2"/>
      <c r="P329" s="2"/>
      <c r="Q329" s="2"/>
      <c r="R329" s="2"/>
      <c r="S329" s="2"/>
      <c r="T329" s="2"/>
      <c r="U329" s="2"/>
      <c r="V329" s="2"/>
      <c r="W329" s="2"/>
      <c r="X329" s="2"/>
      <c r="Y329" s="2"/>
      <c r="Z329" s="2"/>
      <c r="AS329" s="20"/>
    </row>
    <row r="330" spans="1:45" ht="67.95" customHeight="1">
      <c r="A330" s="13" t="s">
        <v>2000</v>
      </c>
      <c r="B330" s="13" t="s">
        <v>51</v>
      </c>
      <c r="C330" s="13" t="s">
        <v>51</v>
      </c>
      <c r="D330" s="13" t="s">
        <v>2001</v>
      </c>
      <c r="E330" s="13" t="s">
        <v>51</v>
      </c>
      <c r="F330" s="13">
        <v>2019</v>
      </c>
      <c r="G330" s="13" t="s">
        <v>2002</v>
      </c>
      <c r="H330" s="13" t="s">
        <v>32</v>
      </c>
      <c r="I330" s="13" t="s">
        <v>762</v>
      </c>
      <c r="J330" s="30" t="s">
        <v>658</v>
      </c>
      <c r="K330" s="2"/>
      <c r="L330" s="2"/>
      <c r="M330" s="2"/>
      <c r="N330" s="2"/>
      <c r="O330" s="2"/>
      <c r="P330" s="2"/>
      <c r="Q330" s="2"/>
      <c r="R330" s="2"/>
      <c r="S330" s="2"/>
      <c r="T330" s="2"/>
      <c r="U330" s="2"/>
      <c r="V330" s="2"/>
      <c r="W330" s="2"/>
      <c r="X330" s="2"/>
      <c r="Y330" s="2"/>
      <c r="Z330" s="2"/>
      <c r="AS330" s="20"/>
    </row>
    <row r="331" spans="1:45" ht="67.95" customHeight="1">
      <c r="A331" s="13" t="s">
        <v>2003</v>
      </c>
      <c r="B331" s="13" t="s">
        <v>2004</v>
      </c>
      <c r="C331" s="13" t="s">
        <v>2005</v>
      </c>
      <c r="D331" s="13" t="s">
        <v>2006</v>
      </c>
      <c r="E331" s="13" t="s">
        <v>51</v>
      </c>
      <c r="F331" s="13">
        <v>2023</v>
      </c>
      <c r="G331" s="13" t="s">
        <v>2007</v>
      </c>
      <c r="H331" s="13" t="s">
        <v>53</v>
      </c>
      <c r="I331" s="13" t="s">
        <v>762</v>
      </c>
      <c r="J331" s="30" t="s">
        <v>567</v>
      </c>
      <c r="K331" s="2"/>
      <c r="L331" s="2"/>
      <c r="M331" s="2"/>
      <c r="N331" s="2"/>
      <c r="O331" s="2"/>
      <c r="P331" s="2"/>
      <c r="Q331" s="2"/>
      <c r="R331" s="2"/>
      <c r="S331" s="2"/>
      <c r="T331" s="2"/>
      <c r="U331" s="2"/>
      <c r="V331" s="2"/>
      <c r="W331" s="2"/>
      <c r="X331" s="2"/>
      <c r="Y331" s="2"/>
      <c r="Z331" s="2"/>
      <c r="AS331" s="20"/>
    </row>
    <row r="332" spans="1:45" ht="67.95" customHeight="1">
      <c r="A332" s="13" t="s">
        <v>2008</v>
      </c>
      <c r="B332" s="13" t="s">
        <v>2009</v>
      </c>
      <c r="C332" s="13" t="s">
        <v>2010</v>
      </c>
      <c r="D332" s="13" t="s">
        <v>2011</v>
      </c>
      <c r="E332" s="13" t="s">
        <v>2012</v>
      </c>
      <c r="F332" s="13">
        <v>2023</v>
      </c>
      <c r="G332" s="13" t="s">
        <v>2013</v>
      </c>
      <c r="H332" s="13" t="s">
        <v>32</v>
      </c>
      <c r="I332" s="13" t="s">
        <v>762</v>
      </c>
      <c r="J332" s="30" t="s">
        <v>567</v>
      </c>
      <c r="K332" s="2"/>
      <c r="L332" s="2"/>
      <c r="M332" s="2"/>
      <c r="N332" s="2"/>
      <c r="O332" s="2"/>
      <c r="P332" s="2"/>
      <c r="Q332" s="2"/>
      <c r="R332" s="2"/>
      <c r="S332" s="2"/>
      <c r="T332" s="2"/>
      <c r="U332" s="2"/>
      <c r="V332" s="2"/>
      <c r="W332" s="2"/>
      <c r="X332" s="2"/>
      <c r="Y332" s="2"/>
      <c r="Z332" s="2"/>
      <c r="AS332" s="20"/>
    </row>
    <row r="333" spans="1:45" ht="67.95" customHeight="1">
      <c r="A333" s="13" t="s">
        <v>2014</v>
      </c>
      <c r="B333" s="13" t="s">
        <v>1321</v>
      </c>
      <c r="C333" s="13" t="s">
        <v>2015</v>
      </c>
      <c r="D333" s="13" t="s">
        <v>2016</v>
      </c>
      <c r="E333" s="13" t="s">
        <v>2017</v>
      </c>
      <c r="F333" s="13">
        <v>2025</v>
      </c>
      <c r="G333" s="13" t="s">
        <v>615</v>
      </c>
      <c r="H333" s="13" t="s">
        <v>32</v>
      </c>
      <c r="I333" s="13" t="s">
        <v>762</v>
      </c>
      <c r="J333" s="30" t="s">
        <v>536</v>
      </c>
      <c r="K333" s="2"/>
      <c r="L333" s="2"/>
      <c r="M333" s="2"/>
      <c r="N333" s="2"/>
      <c r="O333" s="2"/>
      <c r="P333" s="2"/>
      <c r="Q333" s="2"/>
      <c r="R333" s="2"/>
      <c r="S333" s="2"/>
      <c r="T333" s="2"/>
      <c r="U333" s="2"/>
      <c r="V333" s="2"/>
      <c r="W333" s="2"/>
      <c r="X333" s="2"/>
      <c r="Y333" s="2"/>
      <c r="Z333" s="2"/>
      <c r="AS333" s="20"/>
    </row>
    <row r="334" spans="1:45" ht="67.95" customHeight="1">
      <c r="A334" s="13" t="s">
        <v>2018</v>
      </c>
      <c r="B334" s="13" t="s">
        <v>2019</v>
      </c>
      <c r="C334" s="13" t="s">
        <v>2020</v>
      </c>
      <c r="D334" s="13" t="s">
        <v>2021</v>
      </c>
      <c r="E334" s="13" t="s">
        <v>2022</v>
      </c>
      <c r="F334" s="13">
        <v>2023</v>
      </c>
      <c r="G334" s="13" t="s">
        <v>1597</v>
      </c>
      <c r="H334" s="13" t="s">
        <v>32</v>
      </c>
      <c r="I334" s="13" t="s">
        <v>762</v>
      </c>
      <c r="J334" s="30" t="s">
        <v>567</v>
      </c>
      <c r="K334" s="2"/>
      <c r="L334" s="2"/>
      <c r="M334" s="2"/>
      <c r="N334" s="2"/>
      <c r="O334" s="2"/>
      <c r="P334" s="2"/>
      <c r="Q334" s="2"/>
      <c r="R334" s="2"/>
      <c r="S334" s="2"/>
      <c r="T334" s="2"/>
      <c r="U334" s="2"/>
      <c r="V334" s="2"/>
      <c r="W334" s="2"/>
      <c r="X334" s="2"/>
      <c r="Y334" s="2"/>
      <c r="Z334" s="2"/>
      <c r="AS334" s="20"/>
    </row>
    <row r="335" spans="1:45" ht="67.95" customHeight="1">
      <c r="A335" s="13" t="s">
        <v>2023</v>
      </c>
      <c r="B335" s="13" t="s">
        <v>2024</v>
      </c>
      <c r="C335" s="13" t="s">
        <v>2025</v>
      </c>
      <c r="D335" s="13" t="s">
        <v>2026</v>
      </c>
      <c r="E335" s="13" t="s">
        <v>2027</v>
      </c>
      <c r="F335" s="13">
        <v>2024</v>
      </c>
      <c r="G335" s="13" t="s">
        <v>2028</v>
      </c>
      <c r="H335" s="13" t="s">
        <v>136</v>
      </c>
      <c r="I335" s="13" t="s">
        <v>762</v>
      </c>
      <c r="J335" s="30" t="s">
        <v>567</v>
      </c>
      <c r="K335" s="2"/>
      <c r="L335" s="2"/>
      <c r="M335" s="2"/>
      <c r="N335" s="2"/>
      <c r="O335" s="2"/>
      <c r="P335" s="2"/>
      <c r="Q335" s="2"/>
      <c r="R335" s="2"/>
      <c r="S335" s="2"/>
      <c r="T335" s="2"/>
      <c r="U335" s="2"/>
      <c r="V335" s="2"/>
      <c r="W335" s="2"/>
      <c r="X335" s="2"/>
      <c r="Y335" s="2"/>
      <c r="Z335" s="2"/>
      <c r="AS335" s="20"/>
    </row>
    <row r="336" spans="1:45" ht="67.95" customHeight="1">
      <c r="A336" s="13" t="s">
        <v>2029</v>
      </c>
      <c r="B336" s="13" t="s">
        <v>2030</v>
      </c>
      <c r="C336" s="13" t="s">
        <v>2031</v>
      </c>
      <c r="D336" s="13" t="s">
        <v>2032</v>
      </c>
      <c r="E336" s="13" t="s">
        <v>2033</v>
      </c>
      <c r="F336" s="13">
        <v>2019</v>
      </c>
      <c r="G336" s="13" t="s">
        <v>842</v>
      </c>
      <c r="H336" s="13" t="s">
        <v>32</v>
      </c>
      <c r="I336" s="13" t="s">
        <v>762</v>
      </c>
      <c r="J336" s="30" t="s">
        <v>567</v>
      </c>
      <c r="K336" s="2"/>
      <c r="L336" s="2"/>
      <c r="M336" s="2"/>
      <c r="N336" s="2"/>
      <c r="O336" s="2"/>
      <c r="P336" s="2"/>
      <c r="Q336" s="2"/>
      <c r="R336" s="2"/>
      <c r="S336" s="2"/>
      <c r="T336" s="2"/>
      <c r="U336" s="2"/>
      <c r="V336" s="2"/>
      <c r="W336" s="2"/>
      <c r="X336" s="2"/>
      <c r="Y336" s="2"/>
      <c r="Z336" s="2"/>
      <c r="AS336" s="20"/>
    </row>
    <row r="337" spans="1:45" ht="67.95" customHeight="1">
      <c r="A337" s="13" t="s">
        <v>2034</v>
      </c>
      <c r="B337" s="13" t="s">
        <v>2035</v>
      </c>
      <c r="C337" s="13" t="s">
        <v>2036</v>
      </c>
      <c r="D337" s="13" t="s">
        <v>2037</v>
      </c>
      <c r="E337" s="13" t="s">
        <v>2038</v>
      </c>
      <c r="F337" s="13">
        <v>2022</v>
      </c>
      <c r="G337" s="13" t="s">
        <v>694</v>
      </c>
      <c r="H337" s="13" t="s">
        <v>32</v>
      </c>
      <c r="I337" s="13" t="s">
        <v>762</v>
      </c>
      <c r="J337" s="30" t="s">
        <v>567</v>
      </c>
      <c r="K337" s="2"/>
      <c r="L337" s="2"/>
      <c r="M337" s="2"/>
      <c r="N337" s="2"/>
      <c r="O337" s="2"/>
      <c r="P337" s="2"/>
      <c r="Q337" s="2"/>
      <c r="R337" s="2"/>
      <c r="S337" s="2"/>
      <c r="T337" s="2"/>
      <c r="U337" s="2"/>
      <c r="V337" s="2"/>
      <c r="W337" s="2"/>
      <c r="X337" s="2"/>
      <c r="Y337" s="2"/>
      <c r="Z337" s="2"/>
      <c r="AS337" s="20"/>
    </row>
    <row r="338" spans="1:45" ht="67.95" customHeight="1">
      <c r="A338" s="13" t="s">
        <v>2039</v>
      </c>
      <c r="B338" s="13" t="s">
        <v>2040</v>
      </c>
      <c r="C338" s="13" t="s">
        <v>2041</v>
      </c>
      <c r="D338" s="13" t="s">
        <v>2042</v>
      </c>
      <c r="E338" s="13" t="s">
        <v>2043</v>
      </c>
      <c r="F338" s="13">
        <v>2020</v>
      </c>
      <c r="G338" s="13" t="s">
        <v>1552</v>
      </c>
      <c r="H338" s="13" t="s">
        <v>53</v>
      </c>
      <c r="I338" s="13" t="s">
        <v>762</v>
      </c>
      <c r="J338" s="30" t="s">
        <v>567</v>
      </c>
      <c r="K338" s="2"/>
      <c r="L338" s="2"/>
      <c r="M338" s="2"/>
      <c r="N338" s="2"/>
      <c r="O338" s="2"/>
      <c r="P338" s="2"/>
      <c r="Q338" s="2"/>
      <c r="R338" s="2"/>
      <c r="S338" s="2"/>
      <c r="T338" s="2"/>
      <c r="U338" s="2"/>
      <c r="V338" s="2"/>
      <c r="W338" s="2"/>
      <c r="X338" s="2"/>
      <c r="Y338" s="2"/>
      <c r="Z338" s="2"/>
      <c r="AS338" s="20"/>
    </row>
    <row r="339" spans="1:45" ht="67.95" customHeight="1">
      <c r="A339" s="13" t="s">
        <v>2044</v>
      </c>
      <c r="B339" s="13" t="s">
        <v>2045</v>
      </c>
      <c r="C339" s="13" t="s">
        <v>2046</v>
      </c>
      <c r="D339" s="13" t="s">
        <v>2047</v>
      </c>
      <c r="E339" s="13" t="s">
        <v>2048</v>
      </c>
      <c r="F339" s="13">
        <v>2024</v>
      </c>
      <c r="G339" s="13" t="s">
        <v>682</v>
      </c>
      <c r="H339" s="13" t="s">
        <v>53</v>
      </c>
      <c r="I339" s="13" t="s">
        <v>762</v>
      </c>
      <c r="J339" s="30" t="s">
        <v>536</v>
      </c>
      <c r="K339" s="2"/>
      <c r="L339" s="2"/>
      <c r="M339" s="2"/>
      <c r="N339" s="2"/>
      <c r="O339" s="2"/>
      <c r="P339" s="2"/>
      <c r="Q339" s="2"/>
      <c r="R339" s="2"/>
      <c r="S339" s="2"/>
      <c r="T339" s="2"/>
      <c r="U339" s="2"/>
      <c r="V339" s="2"/>
      <c r="W339" s="2"/>
      <c r="X339" s="2"/>
      <c r="Y339" s="2"/>
      <c r="Z339" s="2"/>
      <c r="AS339" s="20"/>
    </row>
    <row r="340" spans="1:45" ht="67.95" customHeight="1">
      <c r="A340" s="13" t="s">
        <v>2049</v>
      </c>
      <c r="B340" s="13" t="s">
        <v>2050</v>
      </c>
      <c r="C340" s="13" t="s">
        <v>2051</v>
      </c>
      <c r="D340" s="13" t="s">
        <v>2052</v>
      </c>
      <c r="E340" s="13" t="s">
        <v>2053</v>
      </c>
      <c r="F340" s="13">
        <v>2017</v>
      </c>
      <c r="G340" s="13" t="s">
        <v>688</v>
      </c>
      <c r="H340" s="13" t="s">
        <v>32</v>
      </c>
      <c r="I340" s="13" t="s">
        <v>762</v>
      </c>
      <c r="J340" s="30" t="s">
        <v>536</v>
      </c>
      <c r="K340" s="2"/>
      <c r="L340" s="2"/>
      <c r="M340" s="2"/>
      <c r="N340" s="2"/>
      <c r="O340" s="2"/>
      <c r="P340" s="2"/>
      <c r="Q340" s="2"/>
      <c r="R340" s="2"/>
      <c r="S340" s="2"/>
      <c r="T340" s="2"/>
      <c r="U340" s="2"/>
      <c r="V340" s="2"/>
      <c r="W340" s="2"/>
      <c r="X340" s="2"/>
      <c r="Y340" s="2"/>
      <c r="Z340" s="2"/>
      <c r="AS340" s="20"/>
    </row>
    <row r="341" spans="1:45" ht="67.95" customHeight="1">
      <c r="A341" s="13" t="s">
        <v>2054</v>
      </c>
      <c r="B341" s="13" t="s">
        <v>2055</v>
      </c>
      <c r="C341" s="13" t="s">
        <v>2056</v>
      </c>
      <c r="D341" s="13" t="s">
        <v>2057</v>
      </c>
      <c r="E341" s="13" t="s">
        <v>2058</v>
      </c>
      <c r="F341" s="13">
        <v>2020</v>
      </c>
      <c r="G341" s="13" t="s">
        <v>813</v>
      </c>
      <c r="H341" s="13" t="s">
        <v>32</v>
      </c>
      <c r="I341" s="13" t="s">
        <v>762</v>
      </c>
      <c r="J341" s="30" t="s">
        <v>567</v>
      </c>
      <c r="K341" s="2"/>
      <c r="L341" s="2"/>
      <c r="M341" s="2"/>
      <c r="N341" s="2"/>
      <c r="O341" s="2"/>
      <c r="P341" s="2"/>
      <c r="Q341" s="2"/>
      <c r="R341" s="2"/>
      <c r="S341" s="2"/>
      <c r="T341" s="2"/>
      <c r="U341" s="2"/>
      <c r="V341" s="2"/>
      <c r="W341" s="2"/>
      <c r="X341" s="2"/>
      <c r="Y341" s="2"/>
      <c r="Z341" s="2"/>
      <c r="AS341" s="20"/>
    </row>
    <row r="342" spans="1:45" ht="67.95" customHeight="1">
      <c r="A342" s="13" t="s">
        <v>2059</v>
      </c>
      <c r="B342" s="13" t="s">
        <v>2060</v>
      </c>
      <c r="C342" s="13" t="s">
        <v>2061</v>
      </c>
      <c r="D342" s="13" t="s">
        <v>2062</v>
      </c>
      <c r="E342" s="13" t="s">
        <v>2063</v>
      </c>
      <c r="F342" s="13">
        <v>2019</v>
      </c>
      <c r="G342" s="13" t="s">
        <v>688</v>
      </c>
      <c r="H342" s="13" t="s">
        <v>32</v>
      </c>
      <c r="I342" s="13" t="s">
        <v>762</v>
      </c>
      <c r="J342" s="30" t="s">
        <v>567</v>
      </c>
      <c r="K342" s="2"/>
      <c r="L342" s="2"/>
      <c r="M342" s="2"/>
      <c r="N342" s="2"/>
      <c r="O342" s="2"/>
      <c r="P342" s="2"/>
      <c r="Q342" s="2"/>
      <c r="R342" s="2"/>
      <c r="S342" s="2"/>
      <c r="T342" s="2"/>
      <c r="U342" s="2"/>
      <c r="V342" s="2"/>
      <c r="W342" s="2"/>
      <c r="X342" s="2"/>
      <c r="Y342" s="2"/>
      <c r="Z342" s="2"/>
      <c r="AS342" s="20"/>
    </row>
    <row r="343" spans="1:45" ht="67.95" customHeight="1">
      <c r="A343" s="13" t="s">
        <v>2064</v>
      </c>
      <c r="B343" s="13" t="s">
        <v>2065</v>
      </c>
      <c r="C343" s="13" t="s">
        <v>2066</v>
      </c>
      <c r="D343" s="13" t="s">
        <v>2067</v>
      </c>
      <c r="E343" s="13" t="s">
        <v>51</v>
      </c>
      <c r="F343" s="13">
        <v>2022</v>
      </c>
      <c r="G343" s="13" t="s">
        <v>2068</v>
      </c>
      <c r="H343" s="13" t="s">
        <v>53</v>
      </c>
      <c r="I343" s="13" t="s">
        <v>762</v>
      </c>
      <c r="J343" s="30" t="s">
        <v>536</v>
      </c>
      <c r="K343" s="2"/>
      <c r="L343" s="2"/>
      <c r="M343" s="2"/>
      <c r="N343" s="2"/>
      <c r="O343" s="2"/>
      <c r="P343" s="2"/>
      <c r="Q343" s="2"/>
      <c r="R343" s="2"/>
      <c r="S343" s="2"/>
      <c r="T343" s="2"/>
      <c r="U343" s="2"/>
      <c r="V343" s="2"/>
      <c r="W343" s="2"/>
      <c r="X343" s="2"/>
      <c r="Y343" s="2"/>
      <c r="Z343" s="2"/>
      <c r="AS343" s="20"/>
    </row>
    <row r="344" spans="1:45" ht="67.95" customHeight="1">
      <c r="A344" s="13" t="s">
        <v>2069</v>
      </c>
      <c r="B344" s="13" t="s">
        <v>2070</v>
      </c>
      <c r="C344" s="13" t="s">
        <v>2071</v>
      </c>
      <c r="D344" s="13" t="s">
        <v>2072</v>
      </c>
      <c r="E344" s="13" t="s">
        <v>2073</v>
      </c>
      <c r="F344" s="13">
        <v>2025</v>
      </c>
      <c r="G344" s="13" t="s">
        <v>2074</v>
      </c>
      <c r="H344" s="13" t="s">
        <v>136</v>
      </c>
      <c r="I344" s="13" t="s">
        <v>762</v>
      </c>
      <c r="J344" s="30" t="s">
        <v>567</v>
      </c>
      <c r="K344" s="2"/>
      <c r="L344" s="2"/>
      <c r="M344" s="2"/>
      <c r="N344" s="2"/>
      <c r="O344" s="2"/>
      <c r="P344" s="2"/>
      <c r="Q344" s="2"/>
      <c r="R344" s="2"/>
      <c r="S344" s="2"/>
      <c r="T344" s="2"/>
      <c r="U344" s="2"/>
      <c r="V344" s="2"/>
      <c r="W344" s="2"/>
      <c r="X344" s="2"/>
      <c r="Y344" s="2"/>
      <c r="Z344" s="2"/>
      <c r="AS344" s="20"/>
    </row>
    <row r="345" spans="1:45" ht="67.95" customHeight="1">
      <c r="A345" s="13" t="s">
        <v>2075</v>
      </c>
      <c r="B345" s="13" t="s">
        <v>2076</v>
      </c>
      <c r="C345" s="13" t="s">
        <v>2077</v>
      </c>
      <c r="D345" s="13" t="s">
        <v>2078</v>
      </c>
      <c r="E345" s="13" t="s">
        <v>51</v>
      </c>
      <c r="F345" s="13">
        <v>2020</v>
      </c>
      <c r="G345" s="13" t="s">
        <v>2079</v>
      </c>
      <c r="H345" s="13" t="s">
        <v>53</v>
      </c>
      <c r="I345" s="13" t="s">
        <v>762</v>
      </c>
      <c r="J345" s="30" t="s">
        <v>543</v>
      </c>
      <c r="K345" s="2"/>
      <c r="L345" s="2"/>
      <c r="M345" s="2"/>
      <c r="N345" s="2"/>
      <c r="O345" s="2"/>
      <c r="P345" s="2"/>
      <c r="Q345" s="2"/>
      <c r="R345" s="2"/>
      <c r="S345" s="2"/>
      <c r="T345" s="2"/>
      <c r="U345" s="2"/>
      <c r="V345" s="2"/>
      <c r="W345" s="2"/>
      <c r="X345" s="2"/>
      <c r="Y345" s="2"/>
      <c r="Z345" s="2"/>
      <c r="AS345" s="20"/>
    </row>
    <row r="346" spans="1:45" ht="67.95" customHeight="1">
      <c r="A346" s="13" t="s">
        <v>2080</v>
      </c>
      <c r="B346" s="13" t="s">
        <v>2081</v>
      </c>
      <c r="C346" s="13" t="s">
        <v>2082</v>
      </c>
      <c r="D346" s="13" t="s">
        <v>2083</v>
      </c>
      <c r="E346" s="13" t="s">
        <v>2084</v>
      </c>
      <c r="F346" s="13">
        <v>2025</v>
      </c>
      <c r="G346" s="13" t="s">
        <v>182</v>
      </c>
      <c r="H346" s="13" t="s">
        <v>53</v>
      </c>
      <c r="I346" s="13" t="s">
        <v>762</v>
      </c>
      <c r="J346" s="30" t="s">
        <v>579</v>
      </c>
      <c r="K346" s="2"/>
      <c r="L346" s="2"/>
      <c r="M346" s="2"/>
      <c r="N346" s="2"/>
      <c r="O346" s="2"/>
      <c r="P346" s="2"/>
      <c r="Q346" s="2"/>
      <c r="R346" s="2"/>
      <c r="S346" s="2"/>
      <c r="T346" s="2"/>
      <c r="U346" s="2"/>
      <c r="V346" s="2"/>
      <c r="W346" s="2"/>
      <c r="X346" s="2"/>
      <c r="Y346" s="2"/>
      <c r="Z346" s="2"/>
      <c r="AS346" s="20"/>
    </row>
    <row r="347" spans="1:45" ht="67.95" customHeight="1">
      <c r="A347" s="13" t="s">
        <v>2085</v>
      </c>
      <c r="B347" s="13" t="s">
        <v>2086</v>
      </c>
      <c r="C347" s="13" t="s">
        <v>2087</v>
      </c>
      <c r="D347" s="13" t="s">
        <v>2088</v>
      </c>
      <c r="E347" s="13" t="s">
        <v>2089</v>
      </c>
      <c r="F347" s="13">
        <v>2023</v>
      </c>
      <c r="G347" s="13" t="s">
        <v>682</v>
      </c>
      <c r="H347" s="13" t="s">
        <v>32</v>
      </c>
      <c r="I347" s="13" t="s">
        <v>762</v>
      </c>
      <c r="J347" s="30" t="s">
        <v>543</v>
      </c>
      <c r="K347" s="2"/>
      <c r="L347" s="2"/>
      <c r="M347" s="2"/>
      <c r="N347" s="2"/>
      <c r="O347" s="2"/>
      <c r="P347" s="2"/>
      <c r="Q347" s="2"/>
      <c r="R347" s="2"/>
      <c r="S347" s="2"/>
      <c r="T347" s="2"/>
      <c r="U347" s="2"/>
      <c r="V347" s="2"/>
      <c r="W347" s="2"/>
      <c r="X347" s="2"/>
      <c r="Y347" s="2"/>
      <c r="Z347" s="2"/>
      <c r="AS347" s="20"/>
    </row>
    <row r="348" spans="1:45" ht="67.95" customHeight="1">
      <c r="A348" s="13" t="s">
        <v>2090</v>
      </c>
      <c r="B348" s="13" t="s">
        <v>2091</v>
      </c>
      <c r="C348" s="13" t="s">
        <v>2092</v>
      </c>
      <c r="D348" s="13" t="s">
        <v>2093</v>
      </c>
      <c r="E348" s="13" t="s">
        <v>2094</v>
      </c>
      <c r="F348" s="13">
        <v>2022</v>
      </c>
      <c r="G348" s="13" t="s">
        <v>2095</v>
      </c>
      <c r="H348" s="13" t="s">
        <v>32</v>
      </c>
      <c r="I348" s="13" t="s">
        <v>762</v>
      </c>
      <c r="J348" s="30" t="s">
        <v>567</v>
      </c>
      <c r="K348" s="2"/>
      <c r="L348" s="2"/>
      <c r="M348" s="2"/>
      <c r="N348" s="2"/>
      <c r="O348" s="2"/>
      <c r="P348" s="2"/>
      <c r="Q348" s="2"/>
      <c r="R348" s="2"/>
      <c r="S348" s="2"/>
      <c r="T348" s="2"/>
      <c r="U348" s="2"/>
      <c r="V348" s="2"/>
      <c r="W348" s="2"/>
      <c r="X348" s="2"/>
      <c r="Y348" s="2"/>
      <c r="Z348" s="2"/>
      <c r="AS348" s="20"/>
    </row>
    <row r="349" spans="1:45" ht="67.95" customHeight="1">
      <c r="A349" s="13" t="s">
        <v>2096</v>
      </c>
      <c r="B349" s="13" t="s">
        <v>2097</v>
      </c>
      <c r="C349" s="13" t="s">
        <v>2098</v>
      </c>
      <c r="D349" s="13" t="s">
        <v>2099</v>
      </c>
      <c r="E349" s="13" t="s">
        <v>2100</v>
      </c>
      <c r="F349" s="13">
        <v>2024</v>
      </c>
      <c r="G349" s="13" t="s">
        <v>2101</v>
      </c>
      <c r="H349" s="13" t="s">
        <v>53</v>
      </c>
      <c r="I349" s="13" t="s">
        <v>762</v>
      </c>
      <c r="J349" s="30" t="s">
        <v>536</v>
      </c>
      <c r="K349" s="2"/>
      <c r="L349" s="2"/>
      <c r="M349" s="2"/>
      <c r="N349" s="2"/>
      <c r="O349" s="2"/>
      <c r="P349" s="2"/>
      <c r="Q349" s="2"/>
      <c r="R349" s="2"/>
      <c r="S349" s="2"/>
      <c r="T349" s="2"/>
      <c r="U349" s="2"/>
      <c r="V349" s="2"/>
      <c r="W349" s="2"/>
      <c r="X349" s="2"/>
      <c r="Y349" s="2"/>
      <c r="Z349" s="2"/>
      <c r="AS349" s="20"/>
    </row>
    <row r="350" spans="1:45" ht="67.95" customHeight="1">
      <c r="A350" s="13" t="s">
        <v>2102</v>
      </c>
      <c r="B350" s="13" t="s">
        <v>2103</v>
      </c>
      <c r="C350" s="13" t="s">
        <v>2104</v>
      </c>
      <c r="D350" s="13" t="s">
        <v>2105</v>
      </c>
      <c r="E350" s="13" t="s">
        <v>2106</v>
      </c>
      <c r="F350" s="13">
        <v>2024</v>
      </c>
      <c r="G350" s="13" t="s">
        <v>2107</v>
      </c>
      <c r="H350" s="13" t="s">
        <v>32</v>
      </c>
      <c r="I350" s="13" t="s">
        <v>762</v>
      </c>
      <c r="J350" s="30" t="s">
        <v>567</v>
      </c>
      <c r="K350" s="2"/>
      <c r="L350" s="2"/>
      <c r="M350" s="2"/>
      <c r="N350" s="2"/>
      <c r="O350" s="2"/>
      <c r="P350" s="2"/>
      <c r="Q350" s="2"/>
      <c r="R350" s="2"/>
      <c r="S350" s="2"/>
      <c r="T350" s="2"/>
      <c r="U350" s="2"/>
      <c r="V350" s="2"/>
      <c r="W350" s="2"/>
      <c r="X350" s="2"/>
      <c r="Y350" s="2"/>
      <c r="Z350" s="2"/>
      <c r="AS350" s="20"/>
    </row>
    <row r="351" spans="1:45" ht="67.95" customHeight="1">
      <c r="A351" s="13" t="s">
        <v>2108</v>
      </c>
      <c r="B351" s="13" t="s">
        <v>2109</v>
      </c>
      <c r="C351" s="13" t="s">
        <v>2110</v>
      </c>
      <c r="D351" s="13" t="s">
        <v>2111</v>
      </c>
      <c r="E351" s="13" t="s">
        <v>2112</v>
      </c>
      <c r="F351" s="13">
        <v>2024</v>
      </c>
      <c r="G351" s="13" t="s">
        <v>670</v>
      </c>
      <c r="H351" s="13" t="s">
        <v>32</v>
      </c>
      <c r="I351" s="13" t="s">
        <v>762</v>
      </c>
      <c r="J351" s="30" t="s">
        <v>543</v>
      </c>
      <c r="K351" s="2"/>
      <c r="L351" s="2"/>
      <c r="M351" s="2"/>
      <c r="N351" s="2"/>
      <c r="O351" s="2"/>
      <c r="P351" s="2"/>
      <c r="Q351" s="2"/>
      <c r="R351" s="2"/>
      <c r="S351" s="2"/>
      <c r="T351" s="2"/>
      <c r="U351" s="2"/>
      <c r="V351" s="2"/>
      <c r="W351" s="2"/>
      <c r="X351" s="2"/>
      <c r="Y351" s="2"/>
      <c r="Z351" s="2"/>
      <c r="AS351" s="20"/>
    </row>
    <row r="352" spans="1:45" ht="67.95" customHeight="1">
      <c r="A352" s="13" t="s">
        <v>2113</v>
      </c>
      <c r="B352" s="13" t="s">
        <v>2114</v>
      </c>
      <c r="C352" s="13" t="s">
        <v>2115</v>
      </c>
      <c r="D352" s="13" t="s">
        <v>2116</v>
      </c>
      <c r="E352" s="13" t="s">
        <v>2117</v>
      </c>
      <c r="F352" s="13">
        <v>2025</v>
      </c>
      <c r="G352" s="13" t="s">
        <v>1170</v>
      </c>
      <c r="H352" s="13" t="s">
        <v>32</v>
      </c>
      <c r="I352" s="13" t="s">
        <v>762</v>
      </c>
      <c r="J352" s="30" t="s">
        <v>567</v>
      </c>
      <c r="K352" s="2"/>
      <c r="L352" s="2"/>
      <c r="M352" s="2"/>
      <c r="N352" s="2"/>
      <c r="O352" s="2"/>
      <c r="P352" s="2"/>
      <c r="Q352" s="2"/>
      <c r="R352" s="2"/>
      <c r="S352" s="2"/>
      <c r="T352" s="2"/>
      <c r="U352" s="2"/>
      <c r="V352" s="2"/>
      <c r="W352" s="2"/>
      <c r="X352" s="2"/>
      <c r="Y352" s="2"/>
      <c r="Z352" s="2"/>
      <c r="AS352" s="20"/>
    </row>
    <row r="353" spans="1:45" ht="67.95" customHeight="1">
      <c r="A353" s="13" t="s">
        <v>2118</v>
      </c>
      <c r="B353" s="13" t="s">
        <v>2119</v>
      </c>
      <c r="C353" s="13" t="s">
        <v>2120</v>
      </c>
      <c r="D353" s="13" t="s">
        <v>2121</v>
      </c>
      <c r="E353" s="13" t="s">
        <v>2122</v>
      </c>
      <c r="F353" s="13">
        <v>2023</v>
      </c>
      <c r="G353" s="13" t="s">
        <v>682</v>
      </c>
      <c r="H353" s="13" t="s">
        <v>32</v>
      </c>
      <c r="I353" s="13" t="s">
        <v>762</v>
      </c>
      <c r="J353" s="30" t="s">
        <v>543</v>
      </c>
      <c r="K353" s="2"/>
      <c r="L353" s="2"/>
      <c r="M353" s="2"/>
      <c r="N353" s="2"/>
      <c r="O353" s="2"/>
      <c r="P353" s="2"/>
      <c r="Q353" s="2"/>
      <c r="R353" s="2"/>
      <c r="S353" s="2"/>
      <c r="T353" s="2"/>
      <c r="U353" s="2"/>
      <c r="V353" s="2"/>
      <c r="W353" s="2"/>
      <c r="X353" s="2"/>
      <c r="Y353" s="2"/>
      <c r="Z353" s="2"/>
      <c r="AS353" s="20"/>
    </row>
    <row r="354" spans="1:45" ht="67.95" customHeight="1">
      <c r="A354" s="13" t="s">
        <v>2123</v>
      </c>
      <c r="B354" s="13" t="s">
        <v>2124</v>
      </c>
      <c r="C354" s="13" t="s">
        <v>2125</v>
      </c>
      <c r="D354" s="13" t="s">
        <v>2126</v>
      </c>
      <c r="E354" s="13" t="s">
        <v>2127</v>
      </c>
      <c r="F354" s="13">
        <v>2025</v>
      </c>
      <c r="G354" s="13" t="s">
        <v>2128</v>
      </c>
      <c r="H354" s="13" t="s">
        <v>32</v>
      </c>
      <c r="I354" s="13" t="s">
        <v>762</v>
      </c>
      <c r="J354" s="30" t="s">
        <v>579</v>
      </c>
      <c r="K354" s="2"/>
      <c r="L354" s="2"/>
      <c r="M354" s="2"/>
      <c r="N354" s="2"/>
      <c r="O354" s="2"/>
      <c r="P354" s="2"/>
      <c r="Q354" s="2"/>
      <c r="R354" s="2"/>
      <c r="S354" s="2"/>
      <c r="T354" s="2"/>
      <c r="U354" s="2"/>
      <c r="V354" s="2"/>
      <c r="W354" s="2"/>
      <c r="X354" s="2"/>
      <c r="Y354" s="2"/>
      <c r="Z354" s="2"/>
      <c r="AS354" s="20"/>
    </row>
    <row r="355" spans="1:45" ht="67.95" customHeight="1">
      <c r="A355" s="13" t="s">
        <v>2129</v>
      </c>
      <c r="B355" s="13" t="s">
        <v>2130</v>
      </c>
      <c r="C355" s="13" t="s">
        <v>2131</v>
      </c>
      <c r="D355" s="13" t="s">
        <v>2132</v>
      </c>
      <c r="E355" s="13" t="s">
        <v>2133</v>
      </c>
      <c r="F355" s="13">
        <v>2024</v>
      </c>
      <c r="G355" s="13" t="s">
        <v>101</v>
      </c>
      <c r="H355" s="13" t="s">
        <v>53</v>
      </c>
      <c r="I355" s="13" t="s">
        <v>762</v>
      </c>
      <c r="J355" s="30" t="s">
        <v>567</v>
      </c>
      <c r="K355" s="2"/>
      <c r="L355" s="2"/>
      <c r="M355" s="2"/>
      <c r="N355" s="2"/>
      <c r="O355" s="2"/>
      <c r="P355" s="2"/>
      <c r="Q355" s="2"/>
      <c r="R355" s="2"/>
      <c r="S355" s="2"/>
      <c r="T355" s="2"/>
      <c r="U355" s="2"/>
      <c r="V355" s="2"/>
      <c r="W355" s="2"/>
      <c r="X355" s="2"/>
      <c r="Y355" s="2"/>
      <c r="Z355" s="2"/>
      <c r="AS355" s="20"/>
    </row>
    <row r="356" spans="1:45" ht="67.95" customHeight="1">
      <c r="A356" s="13" t="s">
        <v>2134</v>
      </c>
      <c r="B356" s="13" t="s">
        <v>51</v>
      </c>
      <c r="C356" s="13" t="s">
        <v>2135</v>
      </c>
      <c r="D356" s="13" t="s">
        <v>2136</v>
      </c>
      <c r="E356" s="13" t="s">
        <v>51</v>
      </c>
      <c r="F356" s="13">
        <v>2016</v>
      </c>
      <c r="G356" s="13" t="s">
        <v>2137</v>
      </c>
      <c r="H356" s="13" t="s">
        <v>32</v>
      </c>
      <c r="I356" s="13" t="s">
        <v>762</v>
      </c>
      <c r="J356" s="30" t="s">
        <v>658</v>
      </c>
      <c r="K356" s="2"/>
      <c r="L356" s="2"/>
      <c r="M356" s="2"/>
      <c r="N356" s="2"/>
      <c r="O356" s="2"/>
      <c r="P356" s="2"/>
      <c r="Q356" s="2"/>
      <c r="R356" s="2"/>
      <c r="S356" s="2"/>
      <c r="T356" s="2"/>
      <c r="U356" s="2"/>
      <c r="V356" s="2"/>
      <c r="W356" s="2"/>
      <c r="X356" s="2"/>
      <c r="Y356" s="2"/>
      <c r="Z356" s="2"/>
      <c r="AS356" s="20"/>
    </row>
    <row r="357" spans="1:45" ht="67.95" customHeight="1">
      <c r="A357" s="13" t="s">
        <v>2138</v>
      </c>
      <c r="B357" s="13" t="s">
        <v>2139</v>
      </c>
      <c r="C357" s="13" t="s">
        <v>2140</v>
      </c>
      <c r="D357" s="13" t="s">
        <v>2141</v>
      </c>
      <c r="E357" s="13" t="s">
        <v>2142</v>
      </c>
      <c r="F357" s="13">
        <v>2017</v>
      </c>
      <c r="G357" s="13" t="s">
        <v>1148</v>
      </c>
      <c r="H357" s="13" t="s">
        <v>32</v>
      </c>
      <c r="I357" s="13" t="s">
        <v>762</v>
      </c>
      <c r="J357" s="30" t="s">
        <v>543</v>
      </c>
      <c r="K357" s="2"/>
      <c r="L357" s="2"/>
      <c r="M357" s="2"/>
      <c r="N357" s="2"/>
      <c r="O357" s="2"/>
      <c r="P357" s="2"/>
      <c r="Q357" s="2"/>
      <c r="R357" s="2"/>
      <c r="S357" s="2"/>
      <c r="T357" s="2"/>
      <c r="U357" s="2"/>
      <c r="V357" s="2"/>
      <c r="W357" s="2"/>
      <c r="X357" s="2"/>
      <c r="Y357" s="2"/>
      <c r="Z357" s="2"/>
      <c r="AS357" s="20"/>
    </row>
    <row r="358" spans="1:45" ht="67.95" customHeight="1">
      <c r="A358" s="13" t="s">
        <v>2143</v>
      </c>
      <c r="B358" s="13" t="s">
        <v>2144</v>
      </c>
      <c r="C358" s="13" t="s">
        <v>2145</v>
      </c>
      <c r="D358" s="13" t="s">
        <v>2146</v>
      </c>
      <c r="E358" s="13" t="s">
        <v>51</v>
      </c>
      <c r="F358" s="13">
        <v>2024</v>
      </c>
      <c r="G358" s="13" t="s">
        <v>1180</v>
      </c>
      <c r="H358" s="13" t="s">
        <v>53</v>
      </c>
      <c r="I358" s="13" t="s">
        <v>762</v>
      </c>
      <c r="J358" s="30" t="s">
        <v>567</v>
      </c>
      <c r="K358" s="2"/>
      <c r="L358" s="2"/>
      <c r="M358" s="2"/>
      <c r="N358" s="2"/>
      <c r="O358" s="2"/>
      <c r="P358" s="2"/>
      <c r="Q358" s="2"/>
      <c r="R358" s="2"/>
      <c r="S358" s="2"/>
      <c r="T358" s="2"/>
      <c r="U358" s="2"/>
      <c r="V358" s="2"/>
      <c r="W358" s="2"/>
      <c r="X358" s="2"/>
      <c r="Y358" s="2"/>
      <c r="Z358" s="2"/>
      <c r="AS358" s="20"/>
    </row>
    <row r="359" spans="1:45" ht="67.95" customHeight="1">
      <c r="A359" s="13" t="s">
        <v>2147</v>
      </c>
      <c r="B359" s="13" t="s">
        <v>2148</v>
      </c>
      <c r="C359" s="13" t="s">
        <v>2149</v>
      </c>
      <c r="D359" s="13" t="s">
        <v>2150</v>
      </c>
      <c r="E359" s="13" t="s">
        <v>2151</v>
      </c>
      <c r="F359" s="13">
        <v>2016</v>
      </c>
      <c r="G359" s="13" t="s">
        <v>2152</v>
      </c>
      <c r="H359" s="13" t="s">
        <v>53</v>
      </c>
      <c r="I359" s="13" t="s">
        <v>762</v>
      </c>
      <c r="J359" s="30" t="s">
        <v>543</v>
      </c>
      <c r="K359" s="2"/>
      <c r="L359" s="2"/>
      <c r="M359" s="2"/>
      <c r="N359" s="2"/>
      <c r="O359" s="2"/>
      <c r="P359" s="2"/>
      <c r="Q359" s="2"/>
      <c r="R359" s="2"/>
      <c r="S359" s="2"/>
      <c r="T359" s="2"/>
      <c r="U359" s="2"/>
      <c r="V359" s="2"/>
      <c r="W359" s="2"/>
      <c r="X359" s="2"/>
      <c r="Y359" s="2"/>
      <c r="Z359" s="2"/>
      <c r="AS359" s="20"/>
    </row>
    <row r="360" spans="1:45" ht="67.95" customHeight="1">
      <c r="A360" s="13" t="s">
        <v>2153</v>
      </c>
      <c r="B360" s="13" t="s">
        <v>2154</v>
      </c>
      <c r="C360" s="13" t="s">
        <v>2155</v>
      </c>
      <c r="D360" s="13" t="s">
        <v>2156</v>
      </c>
      <c r="E360" s="13" t="s">
        <v>51</v>
      </c>
      <c r="F360" s="13">
        <v>2024</v>
      </c>
      <c r="G360" s="13" t="s">
        <v>2157</v>
      </c>
      <c r="H360" s="13" t="s">
        <v>53</v>
      </c>
      <c r="I360" s="13" t="s">
        <v>762</v>
      </c>
      <c r="J360" s="30" t="s">
        <v>579</v>
      </c>
      <c r="K360" s="2"/>
      <c r="L360" s="2"/>
      <c r="M360" s="2"/>
      <c r="N360" s="2"/>
      <c r="O360" s="2"/>
      <c r="P360" s="2"/>
      <c r="Q360" s="2"/>
      <c r="R360" s="2"/>
      <c r="S360" s="2"/>
      <c r="T360" s="2"/>
      <c r="U360" s="2"/>
      <c r="V360" s="2"/>
      <c r="W360" s="2"/>
      <c r="X360" s="2"/>
      <c r="Y360" s="2"/>
      <c r="Z360" s="2"/>
      <c r="AS360" s="20"/>
    </row>
    <row r="361" spans="1:45" ht="67.95" customHeight="1">
      <c r="A361" s="13" t="s">
        <v>2158</v>
      </c>
      <c r="B361" s="13" t="s">
        <v>2159</v>
      </c>
      <c r="C361" s="13" t="s">
        <v>2160</v>
      </c>
      <c r="D361" s="13" t="s">
        <v>2161</v>
      </c>
      <c r="E361" s="13" t="s">
        <v>2162</v>
      </c>
      <c r="F361" s="13">
        <v>2021</v>
      </c>
      <c r="G361" s="13" t="s">
        <v>1148</v>
      </c>
      <c r="H361" s="13" t="s">
        <v>32</v>
      </c>
      <c r="I361" s="13" t="s">
        <v>762</v>
      </c>
      <c r="J361" s="30" t="s">
        <v>567</v>
      </c>
      <c r="K361" s="2"/>
      <c r="L361" s="2"/>
      <c r="M361" s="2"/>
      <c r="N361" s="2"/>
      <c r="O361" s="2"/>
      <c r="P361" s="2"/>
      <c r="Q361" s="2"/>
      <c r="R361" s="2"/>
      <c r="S361" s="2"/>
      <c r="T361" s="2"/>
      <c r="U361" s="2"/>
      <c r="V361" s="2"/>
      <c r="W361" s="2"/>
      <c r="X361" s="2"/>
      <c r="Y361" s="2"/>
      <c r="Z361" s="2"/>
      <c r="AS361" s="20"/>
    </row>
    <row r="362" spans="1:45" ht="67.95" customHeight="1">
      <c r="A362" s="13" t="s">
        <v>2163</v>
      </c>
      <c r="B362" s="13" t="s">
        <v>2164</v>
      </c>
      <c r="C362" s="13" t="s">
        <v>2165</v>
      </c>
      <c r="D362" s="13" t="s">
        <v>2166</v>
      </c>
      <c r="E362" s="13" t="s">
        <v>2167</v>
      </c>
      <c r="F362" s="13">
        <v>2022</v>
      </c>
      <c r="G362" s="13" t="s">
        <v>670</v>
      </c>
      <c r="H362" s="13" t="s">
        <v>32</v>
      </c>
      <c r="I362" s="13" t="s">
        <v>762</v>
      </c>
      <c r="J362" s="30" t="s">
        <v>567</v>
      </c>
      <c r="K362" s="2"/>
      <c r="L362" s="2"/>
      <c r="M362" s="2"/>
      <c r="N362" s="2"/>
      <c r="O362" s="2"/>
      <c r="P362" s="2"/>
      <c r="Q362" s="2"/>
      <c r="R362" s="2"/>
      <c r="S362" s="2"/>
      <c r="T362" s="2"/>
      <c r="U362" s="2"/>
      <c r="V362" s="2"/>
      <c r="W362" s="2"/>
      <c r="X362" s="2"/>
      <c r="Y362" s="2"/>
      <c r="Z362" s="2"/>
      <c r="AS362" s="20"/>
    </row>
    <row r="363" spans="1:45" ht="67.95" customHeight="1">
      <c r="A363" s="13" t="s">
        <v>2168</v>
      </c>
      <c r="B363" s="13" t="s">
        <v>2169</v>
      </c>
      <c r="C363" s="13" t="s">
        <v>2170</v>
      </c>
      <c r="D363" s="13" t="s">
        <v>2171</v>
      </c>
      <c r="E363" s="13" t="s">
        <v>2172</v>
      </c>
      <c r="F363" s="13">
        <v>2024</v>
      </c>
      <c r="G363" s="13" t="s">
        <v>688</v>
      </c>
      <c r="H363" s="13" t="s">
        <v>32</v>
      </c>
      <c r="I363" s="13" t="s">
        <v>762</v>
      </c>
      <c r="J363" s="30" t="s">
        <v>646</v>
      </c>
      <c r="K363" s="2"/>
      <c r="L363" s="2"/>
      <c r="M363" s="2"/>
      <c r="N363" s="2"/>
      <c r="O363" s="2"/>
      <c r="P363" s="2"/>
      <c r="Q363" s="2"/>
      <c r="R363" s="2"/>
      <c r="S363" s="2"/>
      <c r="T363" s="2"/>
      <c r="U363" s="2"/>
      <c r="V363" s="2"/>
      <c r="W363" s="2"/>
      <c r="X363" s="2"/>
      <c r="Y363" s="2"/>
      <c r="Z363" s="2"/>
      <c r="AS363" s="20"/>
    </row>
    <row r="364" spans="1:45" ht="67.95" customHeight="1">
      <c r="A364" s="13" t="s">
        <v>2173</v>
      </c>
      <c r="B364" s="13" t="s">
        <v>2174</v>
      </c>
      <c r="C364" s="13" t="s">
        <v>2175</v>
      </c>
      <c r="D364" s="13" t="s">
        <v>2176</v>
      </c>
      <c r="E364" s="13" t="s">
        <v>51</v>
      </c>
      <c r="F364" s="13">
        <v>2022</v>
      </c>
      <c r="G364" s="13" t="s">
        <v>597</v>
      </c>
      <c r="H364" s="13" t="s">
        <v>32</v>
      </c>
      <c r="I364" s="13" t="s">
        <v>762</v>
      </c>
      <c r="J364" s="30" t="s">
        <v>543</v>
      </c>
      <c r="K364" s="2"/>
      <c r="L364" s="2"/>
      <c r="M364" s="2"/>
      <c r="N364" s="2"/>
      <c r="O364" s="2"/>
      <c r="P364" s="2"/>
      <c r="Q364" s="2"/>
      <c r="R364" s="2"/>
      <c r="S364" s="2"/>
      <c r="T364" s="2"/>
      <c r="U364" s="2"/>
      <c r="V364" s="2"/>
      <c r="W364" s="2"/>
      <c r="X364" s="2"/>
      <c r="Y364" s="2"/>
      <c r="Z364" s="2"/>
      <c r="AS364" s="20"/>
    </row>
    <row r="365" spans="1:45" ht="67.95" customHeight="1">
      <c r="A365" s="13" t="s">
        <v>2177</v>
      </c>
      <c r="B365" s="13" t="s">
        <v>2178</v>
      </c>
      <c r="C365" s="13" t="s">
        <v>2179</v>
      </c>
      <c r="D365" s="13" t="s">
        <v>2180</v>
      </c>
      <c r="E365" s="13" t="s">
        <v>51</v>
      </c>
      <c r="F365" s="13">
        <v>2017</v>
      </c>
      <c r="G365" s="13" t="s">
        <v>2181</v>
      </c>
      <c r="H365" s="13" t="s">
        <v>32</v>
      </c>
      <c r="I365" s="13" t="s">
        <v>762</v>
      </c>
      <c r="J365" s="30" t="s">
        <v>646</v>
      </c>
      <c r="K365" s="2"/>
      <c r="L365" s="2"/>
      <c r="M365" s="2"/>
      <c r="N365" s="2"/>
      <c r="O365" s="2"/>
      <c r="P365" s="2"/>
      <c r="Q365" s="2"/>
      <c r="R365" s="2"/>
      <c r="S365" s="2"/>
      <c r="T365" s="2"/>
      <c r="U365" s="2"/>
      <c r="V365" s="2"/>
      <c r="W365" s="2"/>
      <c r="X365" s="2"/>
      <c r="Y365" s="2"/>
      <c r="Z365" s="2"/>
      <c r="AS365" s="20"/>
    </row>
    <row r="366" spans="1:45" ht="67.95" customHeight="1">
      <c r="A366" s="13" t="s">
        <v>2182</v>
      </c>
      <c r="B366" s="13" t="s">
        <v>2183</v>
      </c>
      <c r="C366" s="13" t="s">
        <v>2184</v>
      </c>
      <c r="D366" s="13" t="s">
        <v>2185</v>
      </c>
      <c r="E366" s="13" t="s">
        <v>2186</v>
      </c>
      <c r="F366" s="13">
        <v>2019</v>
      </c>
      <c r="G366" s="13" t="s">
        <v>1391</v>
      </c>
      <c r="H366" s="13" t="s">
        <v>53</v>
      </c>
      <c r="I366" s="13" t="s">
        <v>762</v>
      </c>
      <c r="J366" s="30" t="s">
        <v>536</v>
      </c>
      <c r="K366" s="2"/>
      <c r="L366" s="2"/>
      <c r="M366" s="2"/>
      <c r="N366" s="2"/>
      <c r="O366" s="2"/>
      <c r="P366" s="2"/>
      <c r="Q366" s="2"/>
      <c r="R366" s="2"/>
      <c r="S366" s="2"/>
      <c r="T366" s="2"/>
      <c r="U366" s="2"/>
      <c r="V366" s="2"/>
      <c r="W366" s="2"/>
      <c r="X366" s="2"/>
      <c r="Y366" s="2"/>
      <c r="Z366" s="2"/>
      <c r="AS366" s="20"/>
    </row>
    <row r="367" spans="1:45" ht="67.95" customHeight="1">
      <c r="A367" s="13" t="s">
        <v>2187</v>
      </c>
      <c r="B367" s="13" t="s">
        <v>2188</v>
      </c>
      <c r="C367" s="13" t="s">
        <v>2189</v>
      </c>
      <c r="D367" s="13" t="s">
        <v>2190</v>
      </c>
      <c r="E367" s="13" t="s">
        <v>2191</v>
      </c>
      <c r="F367" s="13">
        <v>2021</v>
      </c>
      <c r="G367" s="13" t="s">
        <v>2192</v>
      </c>
      <c r="H367" s="13" t="s">
        <v>32</v>
      </c>
      <c r="I367" s="13" t="s">
        <v>762</v>
      </c>
      <c r="J367" s="30" t="s">
        <v>536</v>
      </c>
      <c r="K367" s="2"/>
      <c r="L367" s="2"/>
      <c r="M367" s="2"/>
      <c r="N367" s="2"/>
      <c r="O367" s="2"/>
      <c r="P367" s="2"/>
      <c r="Q367" s="2"/>
      <c r="R367" s="2"/>
      <c r="S367" s="2"/>
      <c r="T367" s="2"/>
      <c r="U367" s="2"/>
      <c r="V367" s="2"/>
      <c r="W367" s="2"/>
      <c r="X367" s="2"/>
      <c r="Y367" s="2"/>
      <c r="Z367" s="2"/>
      <c r="AS367" s="20"/>
    </row>
    <row r="368" spans="1:45" ht="67.95" customHeight="1">
      <c r="A368" s="13" t="s">
        <v>2193</v>
      </c>
      <c r="B368" s="13" t="s">
        <v>2194</v>
      </c>
      <c r="C368" s="13" t="s">
        <v>2195</v>
      </c>
      <c r="D368" s="13" t="s">
        <v>2196</v>
      </c>
      <c r="E368" s="13" t="s">
        <v>2197</v>
      </c>
      <c r="F368" s="13">
        <v>2024</v>
      </c>
      <c r="G368" s="13" t="s">
        <v>2198</v>
      </c>
      <c r="H368" s="13" t="s">
        <v>136</v>
      </c>
      <c r="I368" s="13" t="s">
        <v>762</v>
      </c>
      <c r="J368" s="30" t="s">
        <v>567</v>
      </c>
      <c r="K368" s="2"/>
      <c r="L368" s="2"/>
      <c r="M368" s="2"/>
      <c r="N368" s="2"/>
      <c r="O368" s="2"/>
      <c r="P368" s="2"/>
      <c r="Q368" s="2"/>
      <c r="R368" s="2"/>
      <c r="S368" s="2"/>
      <c r="T368" s="2"/>
      <c r="U368" s="2"/>
      <c r="V368" s="2"/>
      <c r="W368" s="2"/>
      <c r="X368" s="2"/>
      <c r="Y368" s="2"/>
      <c r="Z368" s="2"/>
      <c r="AS368" s="20"/>
    </row>
    <row r="369" spans="1:45" ht="67.95" customHeight="1">
      <c r="A369" s="13" t="s">
        <v>2199</v>
      </c>
      <c r="B369" s="13" t="s">
        <v>2200</v>
      </c>
      <c r="C369" s="13" t="s">
        <v>2201</v>
      </c>
      <c r="D369" s="13" t="s">
        <v>2202</v>
      </c>
      <c r="E369" s="13" t="s">
        <v>51</v>
      </c>
      <c r="F369" s="13">
        <v>2018</v>
      </c>
      <c r="G369" s="13" t="s">
        <v>2203</v>
      </c>
      <c r="H369" s="13" t="s">
        <v>53</v>
      </c>
      <c r="I369" s="13" t="s">
        <v>762</v>
      </c>
      <c r="J369" s="30" t="s">
        <v>536</v>
      </c>
      <c r="K369" s="2"/>
      <c r="L369" s="2"/>
      <c r="M369" s="2"/>
      <c r="N369" s="2"/>
      <c r="O369" s="2"/>
      <c r="P369" s="2"/>
      <c r="Q369" s="2"/>
      <c r="R369" s="2"/>
      <c r="S369" s="2"/>
      <c r="T369" s="2"/>
      <c r="U369" s="2"/>
      <c r="V369" s="2"/>
      <c r="W369" s="2"/>
      <c r="X369" s="2"/>
      <c r="Y369" s="2"/>
      <c r="Z369" s="2"/>
      <c r="AS369" s="20"/>
    </row>
    <row r="370" spans="1:45" ht="67.95" customHeight="1">
      <c r="A370" s="13" t="s">
        <v>2204</v>
      </c>
      <c r="B370" s="13" t="s">
        <v>2205</v>
      </c>
      <c r="C370" s="13" t="s">
        <v>2206</v>
      </c>
      <c r="D370" s="13" t="s">
        <v>2207</v>
      </c>
      <c r="E370" s="13" t="s">
        <v>2208</v>
      </c>
      <c r="F370" s="13">
        <v>2018</v>
      </c>
      <c r="G370" s="13" t="s">
        <v>813</v>
      </c>
      <c r="H370" s="13" t="s">
        <v>32</v>
      </c>
      <c r="I370" s="13" t="s">
        <v>762</v>
      </c>
      <c r="J370" s="30" t="s">
        <v>567</v>
      </c>
      <c r="K370" s="2"/>
      <c r="L370" s="2"/>
      <c r="M370" s="2"/>
      <c r="N370" s="2"/>
      <c r="O370" s="2"/>
      <c r="P370" s="2"/>
      <c r="Q370" s="2"/>
      <c r="R370" s="2"/>
      <c r="S370" s="2"/>
      <c r="T370" s="2"/>
      <c r="U370" s="2"/>
      <c r="V370" s="2"/>
      <c r="W370" s="2"/>
      <c r="X370" s="2"/>
      <c r="Y370" s="2"/>
      <c r="Z370" s="2"/>
      <c r="AS370" s="20"/>
    </row>
    <row r="371" spans="1:45" ht="67.95" customHeight="1">
      <c r="A371" s="13" t="s">
        <v>2209</v>
      </c>
      <c r="B371" s="13" t="s">
        <v>2210</v>
      </c>
      <c r="C371" s="13" t="s">
        <v>2211</v>
      </c>
      <c r="D371" s="13" t="s">
        <v>2212</v>
      </c>
      <c r="E371" s="13" t="s">
        <v>51</v>
      </c>
      <c r="F371" s="13">
        <v>2025</v>
      </c>
      <c r="G371" s="13" t="s">
        <v>2213</v>
      </c>
      <c r="H371" s="13" t="s">
        <v>32</v>
      </c>
      <c r="I371" s="13" t="s">
        <v>762</v>
      </c>
      <c r="J371" s="30" t="s">
        <v>658</v>
      </c>
      <c r="K371" s="2"/>
      <c r="L371" s="2"/>
      <c r="M371" s="2"/>
      <c r="N371" s="2"/>
      <c r="O371" s="2"/>
      <c r="P371" s="2"/>
      <c r="Q371" s="2"/>
      <c r="R371" s="2"/>
      <c r="S371" s="2"/>
      <c r="T371" s="2"/>
      <c r="U371" s="2"/>
      <c r="V371" s="2"/>
      <c r="W371" s="2"/>
      <c r="X371" s="2"/>
      <c r="Y371" s="2"/>
      <c r="Z371" s="2"/>
      <c r="AS371" s="20"/>
    </row>
    <row r="372" spans="1:45" ht="67.95" customHeight="1">
      <c r="A372" s="13" t="s">
        <v>2214</v>
      </c>
      <c r="B372" s="13" t="s">
        <v>2215</v>
      </c>
      <c r="C372" s="13" t="s">
        <v>2216</v>
      </c>
      <c r="D372" s="13" t="s">
        <v>2217</v>
      </c>
      <c r="E372" s="13" t="s">
        <v>2218</v>
      </c>
      <c r="F372" s="13">
        <v>2021</v>
      </c>
      <c r="G372" s="13" t="s">
        <v>854</v>
      </c>
      <c r="H372" s="13" t="s">
        <v>32</v>
      </c>
      <c r="I372" s="13" t="s">
        <v>762</v>
      </c>
      <c r="J372" s="30" t="s">
        <v>579</v>
      </c>
      <c r="K372" s="2"/>
      <c r="L372" s="2"/>
      <c r="M372" s="2"/>
      <c r="N372" s="2"/>
      <c r="O372" s="2"/>
      <c r="P372" s="2"/>
      <c r="Q372" s="2"/>
      <c r="R372" s="2"/>
      <c r="S372" s="2"/>
      <c r="T372" s="2"/>
      <c r="U372" s="2"/>
      <c r="V372" s="2"/>
      <c r="W372" s="2"/>
      <c r="X372" s="2"/>
      <c r="Y372" s="2"/>
      <c r="Z372" s="2"/>
      <c r="AS372" s="20"/>
    </row>
    <row r="373" spans="1:45" ht="67.95" customHeight="1">
      <c r="A373" s="13" t="s">
        <v>2219</v>
      </c>
      <c r="B373" s="13" t="s">
        <v>2220</v>
      </c>
      <c r="C373" s="13" t="s">
        <v>2221</v>
      </c>
      <c r="D373" s="13" t="s">
        <v>2222</v>
      </c>
      <c r="E373" s="13" t="s">
        <v>2223</v>
      </c>
      <c r="F373" s="13">
        <v>2024</v>
      </c>
      <c r="G373" s="13" t="s">
        <v>1744</v>
      </c>
      <c r="H373" s="13" t="s">
        <v>32</v>
      </c>
      <c r="I373" s="13" t="s">
        <v>762</v>
      </c>
      <c r="J373" s="30" t="s">
        <v>567</v>
      </c>
      <c r="K373" s="2"/>
      <c r="L373" s="2"/>
      <c r="M373" s="2"/>
      <c r="N373" s="2"/>
      <c r="O373" s="2"/>
      <c r="P373" s="2"/>
      <c r="Q373" s="2"/>
      <c r="R373" s="2"/>
      <c r="S373" s="2"/>
      <c r="T373" s="2"/>
      <c r="U373" s="2"/>
      <c r="V373" s="2"/>
      <c r="W373" s="2"/>
      <c r="X373" s="2"/>
      <c r="Y373" s="2"/>
      <c r="Z373" s="2"/>
      <c r="AS373" s="20"/>
    </row>
    <row r="374" spans="1:45" ht="67.95" customHeight="1">
      <c r="A374" s="13" t="s">
        <v>2224</v>
      </c>
      <c r="B374" s="13" t="s">
        <v>51</v>
      </c>
      <c r="C374" s="13" t="s">
        <v>51</v>
      </c>
      <c r="D374" s="13" t="s">
        <v>2225</v>
      </c>
      <c r="E374" s="13" t="s">
        <v>2226</v>
      </c>
      <c r="F374" s="13">
        <v>2022</v>
      </c>
      <c r="G374" s="13" t="s">
        <v>1943</v>
      </c>
      <c r="H374" s="13" t="s">
        <v>32</v>
      </c>
      <c r="I374" s="13" t="s">
        <v>762</v>
      </c>
      <c r="J374" s="30" t="s">
        <v>658</v>
      </c>
      <c r="K374" s="2"/>
      <c r="L374" s="2"/>
      <c r="M374" s="2"/>
      <c r="N374" s="2"/>
      <c r="O374" s="2"/>
      <c r="P374" s="2"/>
      <c r="Q374" s="2"/>
      <c r="R374" s="2"/>
      <c r="S374" s="2"/>
      <c r="T374" s="2"/>
      <c r="U374" s="2"/>
      <c r="V374" s="2"/>
      <c r="W374" s="2"/>
      <c r="X374" s="2"/>
      <c r="Y374" s="2"/>
      <c r="Z374" s="2"/>
      <c r="AS374" s="20"/>
    </row>
    <row r="375" spans="1:45" ht="67.95" customHeight="1">
      <c r="A375" s="13" t="s">
        <v>2227</v>
      </c>
      <c r="B375" s="13" t="s">
        <v>2228</v>
      </c>
      <c r="C375" s="13" t="s">
        <v>2229</v>
      </c>
      <c r="D375" s="13" t="s">
        <v>2230</v>
      </c>
      <c r="E375" s="13" t="s">
        <v>2231</v>
      </c>
      <c r="F375" s="13">
        <v>2024</v>
      </c>
      <c r="G375" s="13" t="s">
        <v>2232</v>
      </c>
      <c r="H375" s="13" t="s">
        <v>53</v>
      </c>
      <c r="I375" s="13" t="s">
        <v>762</v>
      </c>
      <c r="J375" s="30" t="s">
        <v>567</v>
      </c>
      <c r="K375" s="2"/>
      <c r="L375" s="2"/>
      <c r="M375" s="2"/>
      <c r="N375" s="2"/>
      <c r="O375" s="2"/>
      <c r="P375" s="2"/>
      <c r="Q375" s="2"/>
      <c r="R375" s="2"/>
      <c r="S375" s="2"/>
      <c r="T375" s="2"/>
      <c r="U375" s="2"/>
      <c r="V375" s="2"/>
      <c r="W375" s="2"/>
      <c r="X375" s="2"/>
      <c r="Y375" s="2"/>
      <c r="Z375" s="2"/>
      <c r="AS375" s="20"/>
    </row>
    <row r="376" spans="1:45" ht="67.95" customHeight="1">
      <c r="A376" s="13" t="s">
        <v>2233</v>
      </c>
      <c r="B376" s="13" t="s">
        <v>2234</v>
      </c>
      <c r="C376" s="13" t="s">
        <v>2235</v>
      </c>
      <c r="D376" s="13" t="s">
        <v>2236</v>
      </c>
      <c r="E376" s="13" t="s">
        <v>2237</v>
      </c>
      <c r="F376" s="13">
        <v>2020</v>
      </c>
      <c r="G376" s="13" t="s">
        <v>2238</v>
      </c>
      <c r="H376" s="13" t="s">
        <v>32</v>
      </c>
      <c r="I376" s="13" t="s">
        <v>762</v>
      </c>
      <c r="J376" s="30" t="s">
        <v>567</v>
      </c>
      <c r="K376" s="2"/>
      <c r="L376" s="2"/>
      <c r="M376" s="2"/>
      <c r="N376" s="2"/>
      <c r="O376" s="2"/>
      <c r="P376" s="2"/>
      <c r="Q376" s="2"/>
      <c r="R376" s="2"/>
      <c r="S376" s="2"/>
      <c r="T376" s="2"/>
      <c r="U376" s="2"/>
      <c r="V376" s="2"/>
      <c r="W376" s="2"/>
      <c r="X376" s="2"/>
      <c r="Y376" s="2"/>
      <c r="Z376" s="2"/>
      <c r="AS376" s="20"/>
    </row>
    <row r="377" spans="1:45" ht="67.95" customHeight="1">
      <c r="A377" s="13" t="s">
        <v>2239</v>
      </c>
      <c r="B377" s="13" t="s">
        <v>2240</v>
      </c>
      <c r="C377" s="13" t="s">
        <v>2241</v>
      </c>
      <c r="D377" s="13" t="s">
        <v>2242</v>
      </c>
      <c r="E377" s="13" t="s">
        <v>2243</v>
      </c>
      <c r="F377" s="13">
        <v>2025</v>
      </c>
      <c r="G377" s="13" t="s">
        <v>978</v>
      </c>
      <c r="H377" s="13" t="s">
        <v>53</v>
      </c>
      <c r="I377" s="13" t="s">
        <v>762</v>
      </c>
      <c r="J377" s="30" t="s">
        <v>536</v>
      </c>
      <c r="K377" s="2"/>
      <c r="L377" s="2"/>
      <c r="M377" s="2"/>
      <c r="N377" s="2"/>
      <c r="O377" s="2"/>
      <c r="P377" s="2"/>
      <c r="Q377" s="2"/>
      <c r="R377" s="2"/>
      <c r="S377" s="2"/>
      <c r="T377" s="2"/>
      <c r="U377" s="2"/>
      <c r="V377" s="2"/>
      <c r="W377" s="2"/>
      <c r="X377" s="2"/>
      <c r="Y377" s="2"/>
      <c r="Z377" s="2"/>
      <c r="AS377" s="20"/>
    </row>
    <row r="378" spans="1:45" ht="67.95" customHeight="1">
      <c r="A378" s="13" t="s">
        <v>2244</v>
      </c>
      <c r="B378" s="13" t="s">
        <v>2245</v>
      </c>
      <c r="C378" s="13" t="s">
        <v>2246</v>
      </c>
      <c r="D378" s="13" t="s">
        <v>2247</v>
      </c>
      <c r="E378" s="13" t="s">
        <v>2248</v>
      </c>
      <c r="F378" s="13">
        <v>2024</v>
      </c>
      <c r="G378" s="13" t="s">
        <v>670</v>
      </c>
      <c r="H378" s="13" t="s">
        <v>32</v>
      </c>
      <c r="I378" s="13" t="s">
        <v>762</v>
      </c>
      <c r="J378" s="30" t="s">
        <v>536</v>
      </c>
      <c r="K378" s="2"/>
      <c r="L378" s="2"/>
      <c r="M378" s="2"/>
      <c r="N378" s="2"/>
      <c r="O378" s="2"/>
      <c r="P378" s="2"/>
      <c r="Q378" s="2"/>
      <c r="R378" s="2"/>
      <c r="S378" s="2"/>
      <c r="T378" s="2"/>
      <c r="U378" s="2"/>
      <c r="V378" s="2"/>
      <c r="W378" s="2"/>
      <c r="X378" s="2"/>
      <c r="Y378" s="2"/>
      <c r="Z378" s="2"/>
      <c r="AS378" s="20"/>
    </row>
    <row r="379" spans="1:45" ht="67.95" customHeight="1">
      <c r="A379" s="13" t="s">
        <v>2249</v>
      </c>
      <c r="B379" s="13" t="s">
        <v>2250</v>
      </c>
      <c r="C379" s="13" t="s">
        <v>2251</v>
      </c>
      <c r="D379" s="13" t="s">
        <v>2252</v>
      </c>
      <c r="E379" s="13" t="s">
        <v>2253</v>
      </c>
      <c r="F379" s="13">
        <v>2023</v>
      </c>
      <c r="G379" s="13" t="s">
        <v>682</v>
      </c>
      <c r="H379" s="13" t="s">
        <v>32</v>
      </c>
      <c r="I379" s="13" t="s">
        <v>762</v>
      </c>
      <c r="J379" s="30" t="s">
        <v>536</v>
      </c>
      <c r="K379" s="2"/>
      <c r="L379" s="2"/>
      <c r="M379" s="2"/>
      <c r="N379" s="2"/>
      <c r="O379" s="2"/>
      <c r="P379" s="2"/>
      <c r="Q379" s="2"/>
      <c r="R379" s="2"/>
      <c r="S379" s="2"/>
      <c r="T379" s="2"/>
      <c r="U379" s="2"/>
      <c r="V379" s="2"/>
      <c r="W379" s="2"/>
      <c r="X379" s="2"/>
      <c r="Y379" s="2"/>
      <c r="Z379" s="2"/>
      <c r="AS379" s="20"/>
    </row>
    <row r="380" spans="1:45" ht="67.95" customHeight="1">
      <c r="A380" s="13" t="s">
        <v>2254</v>
      </c>
      <c r="B380" s="13" t="s">
        <v>2255</v>
      </c>
      <c r="C380" s="13" t="s">
        <v>2256</v>
      </c>
      <c r="D380" s="13" t="s">
        <v>2257</v>
      </c>
      <c r="E380" s="13" t="s">
        <v>51</v>
      </c>
      <c r="F380" s="13">
        <v>2024</v>
      </c>
      <c r="G380" s="13" t="s">
        <v>74</v>
      </c>
      <c r="H380" s="13" t="s">
        <v>53</v>
      </c>
      <c r="I380" s="13" t="s">
        <v>762</v>
      </c>
      <c r="J380" s="30" t="s">
        <v>579</v>
      </c>
      <c r="K380" s="2"/>
      <c r="L380" s="2"/>
      <c r="M380" s="2"/>
      <c r="N380" s="2"/>
      <c r="O380" s="2"/>
      <c r="P380" s="2"/>
      <c r="Q380" s="2"/>
      <c r="R380" s="2"/>
      <c r="S380" s="2"/>
      <c r="T380" s="2"/>
      <c r="U380" s="2"/>
      <c r="V380" s="2"/>
      <c r="W380" s="2"/>
      <c r="X380" s="2"/>
      <c r="Y380" s="2"/>
      <c r="Z380" s="2"/>
      <c r="AS380" s="20"/>
    </row>
    <row r="381" spans="1:45" ht="67.95" customHeight="1">
      <c r="A381" s="13" t="s">
        <v>2258</v>
      </c>
      <c r="B381" s="13" t="s">
        <v>2259</v>
      </c>
      <c r="C381" s="13" t="s">
        <v>2260</v>
      </c>
      <c r="D381" s="13" t="s">
        <v>2261</v>
      </c>
      <c r="E381" s="13" t="s">
        <v>2262</v>
      </c>
      <c r="F381" s="13">
        <v>2024</v>
      </c>
      <c r="G381" s="13" t="s">
        <v>694</v>
      </c>
      <c r="H381" s="13" t="s">
        <v>32</v>
      </c>
      <c r="I381" s="13" t="s">
        <v>762</v>
      </c>
      <c r="J381" s="30" t="s">
        <v>567</v>
      </c>
      <c r="K381" s="2"/>
      <c r="L381" s="2"/>
      <c r="M381" s="2"/>
      <c r="N381" s="2"/>
      <c r="O381" s="2"/>
      <c r="P381" s="2"/>
      <c r="Q381" s="2"/>
      <c r="R381" s="2"/>
      <c r="S381" s="2"/>
      <c r="T381" s="2"/>
      <c r="U381" s="2"/>
      <c r="V381" s="2"/>
      <c r="W381" s="2"/>
      <c r="X381" s="2"/>
      <c r="Y381" s="2"/>
      <c r="Z381" s="2"/>
      <c r="AS381" s="20"/>
    </row>
    <row r="382" spans="1:45" ht="67.95" customHeight="1">
      <c r="A382" s="13" t="s">
        <v>2263</v>
      </c>
      <c r="B382" s="13" t="s">
        <v>2264</v>
      </c>
      <c r="C382" s="13" t="s">
        <v>2265</v>
      </c>
      <c r="D382" s="13" t="s">
        <v>2266</v>
      </c>
      <c r="E382" s="13" t="s">
        <v>2267</v>
      </c>
      <c r="F382" s="13">
        <v>2025</v>
      </c>
      <c r="G382" s="13" t="s">
        <v>670</v>
      </c>
      <c r="H382" s="13" t="s">
        <v>32</v>
      </c>
      <c r="I382" s="13" t="s">
        <v>762</v>
      </c>
      <c r="J382" s="30" t="s">
        <v>567</v>
      </c>
      <c r="K382" s="2"/>
      <c r="L382" s="2"/>
      <c r="M382" s="2"/>
      <c r="N382" s="2"/>
      <c r="O382" s="2"/>
      <c r="P382" s="2"/>
      <c r="Q382" s="2"/>
      <c r="R382" s="2"/>
      <c r="S382" s="2"/>
      <c r="T382" s="2"/>
      <c r="U382" s="2"/>
      <c r="V382" s="2"/>
      <c r="W382" s="2"/>
      <c r="X382" s="2"/>
      <c r="Y382" s="2"/>
      <c r="Z382" s="2"/>
      <c r="AS382" s="20"/>
    </row>
    <row r="383" spans="1:45" ht="67.95" customHeight="1">
      <c r="A383" s="13" t="s">
        <v>2268</v>
      </c>
      <c r="B383" s="13" t="s">
        <v>2269</v>
      </c>
      <c r="C383" s="13" t="s">
        <v>2270</v>
      </c>
      <c r="D383" s="13" t="s">
        <v>2271</v>
      </c>
      <c r="E383" s="13" t="s">
        <v>2272</v>
      </c>
      <c r="F383" s="13">
        <v>2023</v>
      </c>
      <c r="G383" s="13" t="s">
        <v>2273</v>
      </c>
      <c r="H383" s="13" t="s">
        <v>53</v>
      </c>
      <c r="I383" s="13" t="s">
        <v>762</v>
      </c>
      <c r="J383" s="30" t="s">
        <v>536</v>
      </c>
      <c r="K383" s="2"/>
      <c r="L383" s="2"/>
      <c r="M383" s="2"/>
      <c r="N383" s="2"/>
      <c r="O383" s="2"/>
      <c r="P383" s="2"/>
      <c r="Q383" s="2"/>
      <c r="R383" s="2"/>
      <c r="S383" s="2"/>
      <c r="T383" s="2"/>
      <c r="U383" s="2"/>
      <c r="V383" s="2"/>
      <c r="W383" s="2"/>
      <c r="X383" s="2"/>
      <c r="Y383" s="2"/>
      <c r="Z383" s="2"/>
      <c r="AS383" s="20"/>
    </row>
    <row r="384" spans="1:45" ht="67.95" customHeight="1">
      <c r="A384" s="13" t="s">
        <v>2274</v>
      </c>
      <c r="B384" s="13" t="s">
        <v>2275</v>
      </c>
      <c r="C384" s="13" t="s">
        <v>2276</v>
      </c>
      <c r="D384" s="13" t="s">
        <v>2277</v>
      </c>
      <c r="E384" s="13" t="s">
        <v>2278</v>
      </c>
      <c r="F384" s="13">
        <v>2023</v>
      </c>
      <c r="G384" s="13" t="s">
        <v>2273</v>
      </c>
      <c r="H384" s="13" t="s">
        <v>32</v>
      </c>
      <c r="I384" s="13" t="s">
        <v>762</v>
      </c>
      <c r="J384" s="30" t="s">
        <v>536</v>
      </c>
      <c r="K384" s="2"/>
      <c r="L384" s="2"/>
      <c r="M384" s="2"/>
      <c r="N384" s="2"/>
      <c r="O384" s="2"/>
      <c r="P384" s="2"/>
      <c r="Q384" s="2"/>
      <c r="R384" s="2"/>
      <c r="S384" s="2"/>
      <c r="T384" s="2"/>
      <c r="U384" s="2"/>
      <c r="V384" s="2"/>
      <c r="W384" s="2"/>
      <c r="X384" s="2"/>
      <c r="Y384" s="2"/>
      <c r="Z384" s="2"/>
      <c r="AS384" s="20"/>
    </row>
    <row r="385" spans="1:45" ht="67.95" customHeight="1">
      <c r="A385" s="13" t="s">
        <v>2279</v>
      </c>
      <c r="B385" s="13" t="s">
        <v>2280</v>
      </c>
      <c r="C385" s="13" t="s">
        <v>2281</v>
      </c>
      <c r="D385" s="13" t="s">
        <v>2282</v>
      </c>
      <c r="E385" s="13" t="s">
        <v>2283</v>
      </c>
      <c r="F385" s="13">
        <v>2023</v>
      </c>
      <c r="G385" s="13" t="s">
        <v>813</v>
      </c>
      <c r="H385" s="13" t="s">
        <v>32</v>
      </c>
      <c r="I385" s="13" t="s">
        <v>762</v>
      </c>
      <c r="J385" s="30" t="s">
        <v>567</v>
      </c>
      <c r="K385" s="2"/>
      <c r="L385" s="2"/>
      <c r="M385" s="2"/>
      <c r="N385" s="2"/>
      <c r="O385" s="2"/>
      <c r="P385" s="2"/>
      <c r="Q385" s="2"/>
      <c r="R385" s="2"/>
      <c r="S385" s="2"/>
      <c r="T385" s="2"/>
      <c r="U385" s="2"/>
      <c r="V385" s="2"/>
      <c r="W385" s="2"/>
      <c r="X385" s="2"/>
      <c r="Y385" s="2"/>
      <c r="Z385" s="2"/>
      <c r="AS385" s="20"/>
    </row>
    <row r="386" spans="1:45" ht="67.95" customHeight="1">
      <c r="A386" s="13" t="s">
        <v>2284</v>
      </c>
      <c r="B386" s="13" t="s">
        <v>2285</v>
      </c>
      <c r="C386" s="13" t="s">
        <v>2286</v>
      </c>
      <c r="D386" s="13" t="s">
        <v>2287</v>
      </c>
      <c r="E386" s="13" t="s">
        <v>2288</v>
      </c>
      <c r="F386" s="13">
        <v>2021</v>
      </c>
      <c r="G386" s="13" t="s">
        <v>682</v>
      </c>
      <c r="H386" s="13" t="s">
        <v>32</v>
      </c>
      <c r="I386" s="13" t="s">
        <v>762</v>
      </c>
      <c r="J386" s="30" t="s">
        <v>536</v>
      </c>
      <c r="K386" s="2"/>
      <c r="L386" s="2"/>
      <c r="M386" s="2"/>
      <c r="N386" s="2"/>
      <c r="O386" s="2"/>
      <c r="P386" s="2"/>
      <c r="Q386" s="2"/>
      <c r="R386" s="2"/>
      <c r="S386" s="2"/>
      <c r="T386" s="2"/>
      <c r="U386" s="2"/>
      <c r="V386" s="2"/>
      <c r="W386" s="2"/>
      <c r="X386" s="2"/>
      <c r="Y386" s="2"/>
      <c r="Z386" s="2"/>
      <c r="AS386" s="20"/>
    </row>
    <row r="387" spans="1:45" ht="67.95" customHeight="1">
      <c r="A387" s="13" t="s">
        <v>2289</v>
      </c>
      <c r="B387" s="13" t="s">
        <v>2290</v>
      </c>
      <c r="C387" s="13" t="s">
        <v>2291</v>
      </c>
      <c r="D387" s="13" t="s">
        <v>2292</v>
      </c>
      <c r="E387" s="13" t="s">
        <v>2293</v>
      </c>
      <c r="F387" s="13">
        <v>2022</v>
      </c>
      <c r="G387" s="13" t="s">
        <v>603</v>
      </c>
      <c r="H387" s="13" t="s">
        <v>32</v>
      </c>
      <c r="I387" s="13" t="s">
        <v>762</v>
      </c>
      <c r="J387" s="30" t="s">
        <v>543</v>
      </c>
      <c r="K387" s="2"/>
      <c r="L387" s="2"/>
      <c r="M387" s="2"/>
      <c r="N387" s="2"/>
      <c r="O387" s="2"/>
      <c r="P387" s="2"/>
      <c r="Q387" s="2"/>
      <c r="R387" s="2"/>
      <c r="S387" s="2"/>
      <c r="T387" s="2"/>
      <c r="U387" s="2"/>
      <c r="V387" s="2"/>
      <c r="W387" s="2"/>
      <c r="X387" s="2"/>
      <c r="Y387" s="2"/>
      <c r="Z387" s="2"/>
      <c r="AS387" s="20"/>
    </row>
    <row r="388" spans="1:45" ht="67.95" customHeight="1">
      <c r="A388" s="13" t="s">
        <v>2294</v>
      </c>
      <c r="B388" s="13" t="s">
        <v>2295</v>
      </c>
      <c r="C388" s="13" t="s">
        <v>2296</v>
      </c>
      <c r="D388" s="13" t="s">
        <v>2297</v>
      </c>
      <c r="E388" s="13" t="s">
        <v>2298</v>
      </c>
      <c r="F388" s="13">
        <v>2016</v>
      </c>
      <c r="G388" s="13" t="s">
        <v>2299</v>
      </c>
      <c r="H388" s="13" t="s">
        <v>32</v>
      </c>
      <c r="I388" s="13" t="s">
        <v>762</v>
      </c>
      <c r="J388" s="30" t="s">
        <v>646</v>
      </c>
      <c r="K388" s="2"/>
      <c r="L388" s="2"/>
      <c r="M388" s="2"/>
      <c r="N388" s="2"/>
      <c r="O388" s="2"/>
      <c r="P388" s="2"/>
      <c r="Q388" s="2"/>
      <c r="R388" s="2"/>
      <c r="S388" s="2"/>
      <c r="T388" s="2"/>
      <c r="U388" s="2"/>
      <c r="V388" s="2"/>
      <c r="W388" s="2"/>
      <c r="X388" s="2"/>
      <c r="Y388" s="2"/>
      <c r="Z388" s="2"/>
      <c r="AS388" s="20"/>
    </row>
    <row r="389" spans="1:45" ht="67.95" customHeight="1">
      <c r="A389" s="13" t="s">
        <v>2300</v>
      </c>
      <c r="B389" s="13" t="s">
        <v>2301</v>
      </c>
      <c r="C389" s="13" t="s">
        <v>2302</v>
      </c>
      <c r="D389" s="13" t="s">
        <v>2303</v>
      </c>
      <c r="E389" s="13" t="s">
        <v>2304</v>
      </c>
      <c r="F389" s="13">
        <v>2023</v>
      </c>
      <c r="G389" s="13" t="s">
        <v>2305</v>
      </c>
      <c r="H389" s="13" t="s">
        <v>32</v>
      </c>
      <c r="I389" s="13" t="s">
        <v>762</v>
      </c>
      <c r="J389" s="30" t="s">
        <v>536</v>
      </c>
      <c r="K389" s="2"/>
      <c r="L389" s="2"/>
      <c r="M389" s="2"/>
      <c r="N389" s="2"/>
      <c r="O389" s="2"/>
      <c r="P389" s="2"/>
      <c r="Q389" s="2"/>
      <c r="R389" s="2"/>
      <c r="S389" s="2"/>
      <c r="T389" s="2"/>
      <c r="U389" s="2"/>
      <c r="V389" s="2"/>
      <c r="W389" s="2"/>
      <c r="X389" s="2"/>
      <c r="Y389" s="2"/>
      <c r="Z389" s="2"/>
      <c r="AS389" s="20"/>
    </row>
    <row r="390" spans="1:45" ht="67.95" customHeight="1">
      <c r="A390" s="13" t="s">
        <v>2306</v>
      </c>
      <c r="B390" s="13" t="s">
        <v>2307</v>
      </c>
      <c r="C390" s="13" t="s">
        <v>2308</v>
      </c>
      <c r="D390" s="13" t="s">
        <v>2309</v>
      </c>
      <c r="E390" s="13" t="s">
        <v>2310</v>
      </c>
      <c r="F390" s="13">
        <v>2016</v>
      </c>
      <c r="G390" s="13" t="s">
        <v>2311</v>
      </c>
      <c r="H390" s="13" t="s">
        <v>32</v>
      </c>
      <c r="I390" s="13" t="s">
        <v>762</v>
      </c>
      <c r="J390" s="30" t="s">
        <v>536</v>
      </c>
      <c r="K390" s="2"/>
      <c r="L390" s="2"/>
      <c r="M390" s="2"/>
      <c r="N390" s="2"/>
      <c r="O390" s="2"/>
      <c r="P390" s="2"/>
      <c r="Q390" s="2"/>
      <c r="R390" s="2"/>
      <c r="S390" s="2"/>
      <c r="T390" s="2"/>
      <c r="U390" s="2"/>
      <c r="V390" s="2"/>
      <c r="W390" s="2"/>
      <c r="X390" s="2"/>
      <c r="Y390" s="2"/>
      <c r="Z390" s="2"/>
      <c r="AS390" s="20"/>
    </row>
    <row r="391" spans="1:45" ht="67.95" customHeight="1">
      <c r="A391" s="13" t="s">
        <v>2312</v>
      </c>
      <c r="B391" s="13" t="s">
        <v>2313</v>
      </c>
      <c r="C391" s="13" t="s">
        <v>2314</v>
      </c>
      <c r="D391" s="13" t="s">
        <v>2315</v>
      </c>
      <c r="E391" s="13" t="s">
        <v>2316</v>
      </c>
      <c r="F391" s="13">
        <v>2020</v>
      </c>
      <c r="G391" s="13" t="s">
        <v>2317</v>
      </c>
      <c r="H391" s="13" t="s">
        <v>32</v>
      </c>
      <c r="I391" s="13" t="s">
        <v>762</v>
      </c>
      <c r="J391" s="30" t="s">
        <v>567</v>
      </c>
      <c r="K391" s="2"/>
      <c r="L391" s="2"/>
      <c r="M391" s="2"/>
      <c r="N391" s="2"/>
      <c r="O391" s="2"/>
      <c r="P391" s="2"/>
      <c r="Q391" s="2"/>
      <c r="R391" s="2"/>
      <c r="S391" s="2"/>
      <c r="T391" s="2"/>
      <c r="U391" s="2"/>
      <c r="V391" s="2"/>
      <c r="W391" s="2"/>
      <c r="X391" s="2"/>
      <c r="Y391" s="2"/>
      <c r="Z391" s="2"/>
      <c r="AS391" s="20"/>
    </row>
    <row r="392" spans="1:45" ht="67.95" customHeight="1">
      <c r="A392" s="13" t="s">
        <v>2318</v>
      </c>
      <c r="B392" s="13" t="s">
        <v>2319</v>
      </c>
      <c r="C392" s="13" t="s">
        <v>2320</v>
      </c>
      <c r="D392" s="13" t="s">
        <v>2321</v>
      </c>
      <c r="E392" s="13" t="s">
        <v>2322</v>
      </c>
      <c r="F392" s="13">
        <v>2025</v>
      </c>
      <c r="G392" s="13" t="s">
        <v>2323</v>
      </c>
      <c r="H392" s="13" t="s">
        <v>32</v>
      </c>
      <c r="I392" s="13" t="s">
        <v>762</v>
      </c>
      <c r="J392" s="30" t="s">
        <v>567</v>
      </c>
      <c r="K392" s="2"/>
      <c r="L392" s="2"/>
      <c r="M392" s="2"/>
      <c r="N392" s="2"/>
      <c r="O392" s="2"/>
      <c r="P392" s="2"/>
      <c r="Q392" s="2"/>
      <c r="R392" s="2"/>
      <c r="S392" s="2"/>
      <c r="T392" s="2"/>
      <c r="U392" s="2"/>
      <c r="V392" s="2"/>
      <c r="W392" s="2"/>
      <c r="X392" s="2"/>
      <c r="Y392" s="2"/>
      <c r="Z392" s="2"/>
      <c r="AS392" s="20"/>
    </row>
    <row r="393" spans="1:45" ht="67.95" customHeight="1">
      <c r="A393" s="13" t="s">
        <v>2324</v>
      </c>
      <c r="B393" s="13" t="s">
        <v>2325</v>
      </c>
      <c r="C393" s="13" t="s">
        <v>2326</v>
      </c>
      <c r="D393" s="13" t="s">
        <v>2327</v>
      </c>
      <c r="E393" s="13" t="s">
        <v>2328</v>
      </c>
      <c r="F393" s="13">
        <v>2023</v>
      </c>
      <c r="G393" s="13" t="s">
        <v>694</v>
      </c>
      <c r="H393" s="13" t="s">
        <v>32</v>
      </c>
      <c r="I393" s="13" t="s">
        <v>762</v>
      </c>
      <c r="J393" s="30" t="s">
        <v>567</v>
      </c>
      <c r="K393" s="2"/>
      <c r="L393" s="2"/>
      <c r="M393" s="2"/>
      <c r="N393" s="2"/>
      <c r="O393" s="2"/>
      <c r="P393" s="2"/>
      <c r="Q393" s="2"/>
      <c r="R393" s="2"/>
      <c r="S393" s="2"/>
      <c r="T393" s="2"/>
      <c r="U393" s="2"/>
      <c r="V393" s="2"/>
      <c r="W393" s="2"/>
      <c r="X393" s="2"/>
      <c r="Y393" s="2"/>
      <c r="Z393" s="2"/>
      <c r="AS393" s="20"/>
    </row>
    <row r="394" spans="1:45" ht="67.95" customHeight="1">
      <c r="A394" s="13" t="s">
        <v>2329</v>
      </c>
      <c r="B394" s="13" t="s">
        <v>2330</v>
      </c>
      <c r="C394" s="13" t="s">
        <v>2331</v>
      </c>
      <c r="D394" s="13" t="s">
        <v>2332</v>
      </c>
      <c r="E394" s="13" t="s">
        <v>2333</v>
      </c>
      <c r="F394" s="13">
        <v>2024</v>
      </c>
      <c r="G394" s="13" t="s">
        <v>2334</v>
      </c>
      <c r="H394" s="13" t="s">
        <v>136</v>
      </c>
      <c r="I394" s="13" t="s">
        <v>762</v>
      </c>
      <c r="J394" s="30" t="s">
        <v>567</v>
      </c>
      <c r="K394" s="2"/>
      <c r="L394" s="2"/>
      <c r="M394" s="2"/>
      <c r="N394" s="2"/>
      <c r="O394" s="2"/>
      <c r="P394" s="2"/>
      <c r="Q394" s="2"/>
      <c r="R394" s="2"/>
      <c r="S394" s="2"/>
      <c r="T394" s="2"/>
      <c r="U394" s="2"/>
      <c r="V394" s="2"/>
      <c r="W394" s="2"/>
      <c r="X394" s="2"/>
      <c r="Y394" s="2"/>
      <c r="Z394" s="2"/>
      <c r="AS394" s="20"/>
    </row>
    <row r="395" spans="1:45" ht="67.95" customHeight="1">
      <c r="A395" s="13" t="s">
        <v>2335</v>
      </c>
      <c r="B395" s="13" t="s">
        <v>2336</v>
      </c>
      <c r="C395" s="13" t="s">
        <v>51</v>
      </c>
      <c r="D395" s="13" t="s">
        <v>2337</v>
      </c>
      <c r="E395" s="13" t="s">
        <v>2338</v>
      </c>
      <c r="F395" s="13">
        <v>2018</v>
      </c>
      <c r="G395" s="13" t="s">
        <v>65</v>
      </c>
      <c r="H395" s="13" t="s">
        <v>32</v>
      </c>
      <c r="I395" s="13" t="s">
        <v>762</v>
      </c>
      <c r="J395" s="30" t="s">
        <v>658</v>
      </c>
      <c r="K395" s="2"/>
      <c r="L395" s="2"/>
      <c r="M395" s="2"/>
      <c r="N395" s="2"/>
      <c r="O395" s="2"/>
      <c r="P395" s="2"/>
      <c r="Q395" s="2"/>
      <c r="R395" s="2"/>
      <c r="S395" s="2"/>
      <c r="T395" s="2"/>
      <c r="U395" s="2"/>
      <c r="V395" s="2"/>
      <c r="W395" s="2"/>
      <c r="X395" s="2"/>
      <c r="Y395" s="2"/>
      <c r="Z395" s="2"/>
      <c r="AS395" s="20"/>
    </row>
    <row r="396" spans="1:45" ht="67.95" customHeight="1">
      <c r="A396" s="13" t="s">
        <v>2339</v>
      </c>
      <c r="B396" s="13" t="s">
        <v>2340</v>
      </c>
      <c r="C396" s="13" t="s">
        <v>2341</v>
      </c>
      <c r="D396" s="13" t="s">
        <v>2342</v>
      </c>
      <c r="E396" s="13" t="s">
        <v>2343</v>
      </c>
      <c r="F396" s="13">
        <v>2022</v>
      </c>
      <c r="G396" s="13" t="s">
        <v>542</v>
      </c>
      <c r="H396" s="13" t="s">
        <v>32</v>
      </c>
      <c r="I396" s="13" t="s">
        <v>762</v>
      </c>
      <c r="J396" s="30" t="s">
        <v>543</v>
      </c>
      <c r="K396" s="2"/>
      <c r="L396" s="2"/>
      <c r="M396" s="2"/>
      <c r="N396" s="2"/>
      <c r="O396" s="2"/>
      <c r="P396" s="2"/>
      <c r="Q396" s="2"/>
      <c r="R396" s="2"/>
      <c r="S396" s="2"/>
      <c r="T396" s="2"/>
      <c r="U396" s="2"/>
      <c r="V396" s="2"/>
      <c r="W396" s="2"/>
      <c r="X396" s="2"/>
      <c r="Y396" s="2"/>
      <c r="Z396" s="2"/>
      <c r="AS396" s="20"/>
    </row>
    <row r="397" spans="1:45" ht="67.95" customHeight="1">
      <c r="A397" s="13" t="s">
        <v>2344</v>
      </c>
      <c r="B397" s="13" t="s">
        <v>2345</v>
      </c>
      <c r="C397" s="13" t="s">
        <v>2346</v>
      </c>
      <c r="D397" s="13" t="s">
        <v>2347</v>
      </c>
      <c r="E397" s="13" t="s">
        <v>2348</v>
      </c>
      <c r="F397" s="13">
        <v>2022</v>
      </c>
      <c r="G397" s="13" t="s">
        <v>2349</v>
      </c>
      <c r="H397" s="13" t="s">
        <v>32</v>
      </c>
      <c r="I397" s="13" t="s">
        <v>762</v>
      </c>
      <c r="J397" s="30" t="s">
        <v>567</v>
      </c>
      <c r="K397" s="2"/>
      <c r="L397" s="2"/>
      <c r="M397" s="2"/>
      <c r="N397" s="2"/>
      <c r="O397" s="2"/>
      <c r="P397" s="2"/>
      <c r="Q397" s="2"/>
      <c r="R397" s="2"/>
      <c r="S397" s="2"/>
      <c r="T397" s="2"/>
      <c r="U397" s="2"/>
      <c r="V397" s="2"/>
      <c r="W397" s="2"/>
      <c r="X397" s="2"/>
      <c r="Y397" s="2"/>
      <c r="Z397" s="2"/>
      <c r="AS397" s="20"/>
    </row>
    <row r="398" spans="1:45" ht="67.95" customHeight="1">
      <c r="A398" s="13" t="s">
        <v>2350</v>
      </c>
      <c r="B398" s="13" t="s">
        <v>2351</v>
      </c>
      <c r="C398" s="13" t="s">
        <v>2352</v>
      </c>
      <c r="D398" s="13" t="s">
        <v>2353</v>
      </c>
      <c r="E398" s="13" t="s">
        <v>2354</v>
      </c>
      <c r="F398" s="13">
        <v>2025</v>
      </c>
      <c r="G398" s="13" t="s">
        <v>2355</v>
      </c>
      <c r="H398" s="13" t="s">
        <v>32</v>
      </c>
      <c r="I398" s="13" t="s">
        <v>762</v>
      </c>
      <c r="J398" s="30" t="s">
        <v>536</v>
      </c>
      <c r="K398" s="2"/>
      <c r="L398" s="2"/>
      <c r="M398" s="2"/>
      <c r="N398" s="2"/>
      <c r="O398" s="2"/>
      <c r="P398" s="2"/>
      <c r="Q398" s="2"/>
      <c r="R398" s="2"/>
      <c r="S398" s="2"/>
      <c r="T398" s="2"/>
      <c r="U398" s="2"/>
      <c r="V398" s="2"/>
      <c r="W398" s="2"/>
      <c r="X398" s="2"/>
      <c r="Y398" s="2"/>
      <c r="Z398" s="2"/>
      <c r="AS398" s="20"/>
    </row>
    <row r="399" spans="1:45" ht="67.95" customHeight="1">
      <c r="A399" s="13" t="s">
        <v>2356</v>
      </c>
      <c r="B399" s="13" t="s">
        <v>2357</v>
      </c>
      <c r="C399" s="13" t="s">
        <v>2358</v>
      </c>
      <c r="D399" s="13" t="s">
        <v>2359</v>
      </c>
      <c r="E399" s="13" t="s">
        <v>2360</v>
      </c>
      <c r="F399" s="13">
        <v>2020</v>
      </c>
      <c r="G399" s="13" t="s">
        <v>2361</v>
      </c>
      <c r="H399" s="13" t="s">
        <v>53</v>
      </c>
      <c r="I399" s="13" t="s">
        <v>762</v>
      </c>
      <c r="J399" s="30" t="s">
        <v>536</v>
      </c>
      <c r="K399" s="2"/>
      <c r="L399" s="2"/>
      <c r="M399" s="2"/>
      <c r="N399" s="2"/>
      <c r="O399" s="2"/>
      <c r="P399" s="2"/>
      <c r="Q399" s="2"/>
      <c r="R399" s="2"/>
      <c r="S399" s="2"/>
      <c r="T399" s="2"/>
      <c r="U399" s="2"/>
      <c r="V399" s="2"/>
      <c r="W399" s="2"/>
      <c r="X399" s="2"/>
      <c r="Y399" s="2"/>
      <c r="Z399" s="2"/>
      <c r="AS399" s="20"/>
    </row>
    <row r="400" spans="1:45" ht="67.95" customHeight="1">
      <c r="A400" s="13" t="s">
        <v>2362</v>
      </c>
      <c r="B400" s="13" t="s">
        <v>2363</v>
      </c>
      <c r="C400" s="13" t="s">
        <v>2364</v>
      </c>
      <c r="D400" s="13" t="s">
        <v>2365</v>
      </c>
      <c r="E400" s="13" t="s">
        <v>51</v>
      </c>
      <c r="F400" s="13">
        <v>2025</v>
      </c>
      <c r="G400" s="13" t="s">
        <v>2366</v>
      </c>
      <c r="H400" s="13" t="s">
        <v>136</v>
      </c>
      <c r="I400" s="13" t="s">
        <v>762</v>
      </c>
      <c r="J400" s="30" t="s">
        <v>567</v>
      </c>
      <c r="K400" s="2"/>
      <c r="L400" s="2"/>
      <c r="M400" s="2"/>
      <c r="N400" s="2"/>
      <c r="O400" s="2"/>
      <c r="P400" s="2"/>
      <c r="Q400" s="2"/>
      <c r="R400" s="2"/>
      <c r="S400" s="2"/>
      <c r="T400" s="2"/>
      <c r="U400" s="2"/>
      <c r="V400" s="2"/>
      <c r="W400" s="2"/>
      <c r="X400" s="2"/>
      <c r="Y400" s="2"/>
      <c r="Z400" s="2"/>
      <c r="AS400" s="20"/>
    </row>
    <row r="401" spans="1:45" ht="67.95" customHeight="1">
      <c r="A401" s="13" t="s">
        <v>2367</v>
      </c>
      <c r="B401" s="13" t="s">
        <v>2368</v>
      </c>
      <c r="C401" s="13" t="s">
        <v>2369</v>
      </c>
      <c r="D401" s="13" t="s">
        <v>2370</v>
      </c>
      <c r="E401" s="13" t="s">
        <v>2371</v>
      </c>
      <c r="F401" s="13">
        <v>2025</v>
      </c>
      <c r="G401" s="13" t="s">
        <v>1170</v>
      </c>
      <c r="H401" s="13" t="s">
        <v>32</v>
      </c>
      <c r="I401" s="13" t="s">
        <v>762</v>
      </c>
      <c r="J401" s="30" t="s">
        <v>536</v>
      </c>
      <c r="K401" s="2"/>
      <c r="L401" s="2"/>
      <c r="M401" s="2"/>
      <c r="N401" s="2"/>
      <c r="O401" s="2"/>
      <c r="P401" s="2"/>
      <c r="Q401" s="2"/>
      <c r="R401" s="2"/>
      <c r="S401" s="2"/>
      <c r="T401" s="2"/>
      <c r="U401" s="2"/>
      <c r="V401" s="2"/>
      <c r="W401" s="2"/>
      <c r="X401" s="2"/>
      <c r="Y401" s="2"/>
      <c r="Z401" s="2"/>
      <c r="AS401" s="20"/>
    </row>
    <row r="402" spans="1:45" ht="67.95" customHeight="1">
      <c r="A402" s="13" t="s">
        <v>2372</v>
      </c>
      <c r="B402" s="13" t="s">
        <v>2373</v>
      </c>
      <c r="C402" s="13" t="s">
        <v>2374</v>
      </c>
      <c r="D402" s="13" t="s">
        <v>2375</v>
      </c>
      <c r="E402" s="13" t="s">
        <v>2376</v>
      </c>
      <c r="F402" s="13">
        <v>2020</v>
      </c>
      <c r="G402" s="13" t="s">
        <v>2377</v>
      </c>
      <c r="H402" s="13" t="s">
        <v>32</v>
      </c>
      <c r="I402" s="13" t="s">
        <v>762</v>
      </c>
      <c r="J402" s="30" t="s">
        <v>658</v>
      </c>
      <c r="K402" s="2"/>
      <c r="L402" s="2"/>
      <c r="M402" s="2"/>
      <c r="N402" s="2"/>
      <c r="O402" s="2"/>
      <c r="P402" s="2"/>
      <c r="Q402" s="2"/>
      <c r="R402" s="2"/>
      <c r="S402" s="2"/>
      <c r="T402" s="2"/>
      <c r="U402" s="2"/>
      <c r="V402" s="2"/>
      <c r="W402" s="2"/>
      <c r="X402" s="2"/>
      <c r="Y402" s="2"/>
      <c r="Z402" s="2"/>
      <c r="AS402" s="20"/>
    </row>
    <row r="403" spans="1:45" ht="67.95" customHeight="1">
      <c r="A403" s="13" t="s">
        <v>2378</v>
      </c>
      <c r="B403" s="13" t="s">
        <v>51</v>
      </c>
      <c r="C403" s="13" t="s">
        <v>51</v>
      </c>
      <c r="D403" s="13" t="s">
        <v>2379</v>
      </c>
      <c r="E403" s="13" t="s">
        <v>51</v>
      </c>
      <c r="F403" s="13">
        <v>2024</v>
      </c>
      <c r="G403" s="13" t="s">
        <v>2380</v>
      </c>
      <c r="H403" s="13" t="s">
        <v>32</v>
      </c>
      <c r="I403" s="13" t="s">
        <v>762</v>
      </c>
      <c r="J403" s="30" t="s">
        <v>658</v>
      </c>
      <c r="K403" s="2"/>
      <c r="L403" s="2"/>
      <c r="M403" s="2"/>
      <c r="N403" s="2"/>
      <c r="O403" s="2"/>
      <c r="P403" s="2"/>
      <c r="Q403" s="2"/>
      <c r="R403" s="2"/>
      <c r="S403" s="2"/>
      <c r="T403" s="2"/>
      <c r="U403" s="2"/>
      <c r="V403" s="2"/>
      <c r="W403" s="2"/>
      <c r="X403" s="2"/>
      <c r="Y403" s="2"/>
      <c r="Z403" s="2"/>
      <c r="AS403" s="20"/>
    </row>
    <row r="404" spans="1:45" ht="67.95" customHeight="1">
      <c r="A404" s="13" t="s">
        <v>2381</v>
      </c>
      <c r="B404" s="13" t="s">
        <v>2382</v>
      </c>
      <c r="C404" s="13" t="s">
        <v>2383</v>
      </c>
      <c r="D404" s="13" t="s">
        <v>2384</v>
      </c>
      <c r="E404" s="13" t="s">
        <v>2385</v>
      </c>
      <c r="F404" s="13">
        <v>2025</v>
      </c>
      <c r="G404" s="13" t="s">
        <v>2386</v>
      </c>
      <c r="H404" s="13" t="s">
        <v>32</v>
      </c>
      <c r="I404" s="13" t="s">
        <v>762</v>
      </c>
      <c r="J404" s="30" t="s">
        <v>567</v>
      </c>
      <c r="K404" s="2"/>
      <c r="L404" s="2"/>
      <c r="M404" s="2"/>
      <c r="N404" s="2"/>
      <c r="O404" s="2"/>
      <c r="P404" s="2"/>
      <c r="Q404" s="2"/>
      <c r="R404" s="2"/>
      <c r="S404" s="2"/>
      <c r="T404" s="2"/>
      <c r="U404" s="2"/>
      <c r="V404" s="2"/>
      <c r="W404" s="2"/>
      <c r="X404" s="2"/>
      <c r="Y404" s="2"/>
      <c r="Z404" s="2"/>
      <c r="AS404" s="20"/>
    </row>
    <row r="405" spans="1:45" ht="67.95" customHeight="1">
      <c r="A405" s="26" t="s">
        <v>2387</v>
      </c>
      <c r="B405" s="26" t="s">
        <v>2388</v>
      </c>
      <c r="C405" s="26" t="s">
        <v>2389</v>
      </c>
      <c r="D405" s="21" t="s">
        <v>2390</v>
      </c>
      <c r="E405" s="21" t="s">
        <v>2391</v>
      </c>
      <c r="F405" s="21">
        <v>2025</v>
      </c>
      <c r="G405" s="21" t="s">
        <v>2392</v>
      </c>
      <c r="H405" s="21" t="s">
        <v>53</v>
      </c>
      <c r="I405" s="26" t="s">
        <v>762</v>
      </c>
      <c r="J405" s="32" t="s">
        <v>2393</v>
      </c>
      <c r="K405" s="27"/>
      <c r="L405" s="27"/>
      <c r="M405" s="27"/>
      <c r="N405" s="27"/>
      <c r="O405" s="27"/>
      <c r="P405" s="27"/>
      <c r="Q405" s="27"/>
      <c r="R405" s="27"/>
      <c r="S405" s="27"/>
      <c r="T405" s="27"/>
      <c r="U405" s="27"/>
      <c r="V405" s="27"/>
      <c r="W405" s="27"/>
      <c r="X405" s="27"/>
      <c r="Y405" s="27"/>
      <c r="Z405" s="27"/>
      <c r="AS405" s="20"/>
    </row>
    <row r="406" spans="1:45" ht="67.95" customHeight="1">
      <c r="A406" s="13" t="s">
        <v>2394</v>
      </c>
      <c r="B406" s="13" t="s">
        <v>2395</v>
      </c>
      <c r="C406" s="13" t="s">
        <v>2396</v>
      </c>
      <c r="D406" s="13" t="s">
        <v>2397</v>
      </c>
      <c r="E406" s="13" t="s">
        <v>2398</v>
      </c>
      <c r="F406" s="13">
        <v>2022</v>
      </c>
      <c r="G406" s="13" t="s">
        <v>2399</v>
      </c>
      <c r="H406" s="13" t="s">
        <v>32</v>
      </c>
      <c r="I406" s="13" t="s">
        <v>762</v>
      </c>
      <c r="J406" s="30" t="s">
        <v>567</v>
      </c>
      <c r="K406" s="2"/>
      <c r="L406" s="2"/>
      <c r="M406" s="2"/>
      <c r="N406" s="2"/>
      <c r="O406" s="2"/>
      <c r="P406" s="2"/>
      <c r="Q406" s="2"/>
      <c r="R406" s="2"/>
      <c r="S406" s="2"/>
      <c r="T406" s="2"/>
      <c r="U406" s="2"/>
      <c r="V406" s="2"/>
      <c r="W406" s="2"/>
      <c r="X406" s="2"/>
      <c r="Y406" s="2"/>
      <c r="Z406" s="2"/>
      <c r="AS406" s="20"/>
    </row>
    <row r="407" spans="1:45" ht="67.95" customHeight="1">
      <c r="A407" s="13" t="s">
        <v>2400</v>
      </c>
      <c r="B407" s="13" t="s">
        <v>2401</v>
      </c>
      <c r="C407" s="13" t="s">
        <v>2402</v>
      </c>
      <c r="D407" s="13" t="s">
        <v>2403</v>
      </c>
      <c r="E407" s="13" t="s">
        <v>2404</v>
      </c>
      <c r="F407" s="13">
        <v>2021</v>
      </c>
      <c r="G407" s="13" t="s">
        <v>2405</v>
      </c>
      <c r="H407" s="13" t="s">
        <v>136</v>
      </c>
      <c r="I407" s="13" t="s">
        <v>762</v>
      </c>
      <c r="J407" s="30" t="s">
        <v>567</v>
      </c>
      <c r="K407" s="2"/>
      <c r="L407" s="2"/>
      <c r="M407" s="2"/>
      <c r="N407" s="2"/>
      <c r="O407" s="2"/>
      <c r="P407" s="2"/>
      <c r="Q407" s="2"/>
      <c r="R407" s="2"/>
      <c r="S407" s="2"/>
      <c r="T407" s="2"/>
      <c r="U407" s="2"/>
      <c r="V407" s="2"/>
      <c r="W407" s="2"/>
      <c r="X407" s="2"/>
      <c r="Y407" s="2"/>
      <c r="Z407" s="2"/>
      <c r="AS407" s="20"/>
    </row>
    <row r="408" spans="1:45" ht="67.95" customHeight="1">
      <c r="A408" s="13" t="s">
        <v>2406</v>
      </c>
      <c r="B408" s="13" t="s">
        <v>2407</v>
      </c>
      <c r="C408" s="13" t="s">
        <v>2408</v>
      </c>
      <c r="D408" s="13" t="s">
        <v>2409</v>
      </c>
      <c r="E408" s="13" t="s">
        <v>2410</v>
      </c>
      <c r="F408" s="13">
        <v>2020</v>
      </c>
      <c r="G408" s="13" t="s">
        <v>1380</v>
      </c>
      <c r="H408" s="13" t="s">
        <v>53</v>
      </c>
      <c r="I408" s="13" t="s">
        <v>762</v>
      </c>
      <c r="J408" s="30" t="s">
        <v>579</v>
      </c>
      <c r="K408" s="2"/>
      <c r="L408" s="2"/>
      <c r="M408" s="2"/>
      <c r="N408" s="2"/>
      <c r="O408" s="2"/>
      <c r="P408" s="2"/>
      <c r="Q408" s="2"/>
      <c r="R408" s="2"/>
      <c r="S408" s="2"/>
      <c r="T408" s="2"/>
      <c r="U408" s="2"/>
      <c r="V408" s="2"/>
      <c r="W408" s="2"/>
      <c r="X408" s="2"/>
      <c r="Y408" s="2"/>
      <c r="Z408" s="2"/>
      <c r="AS408" s="20"/>
    </row>
    <row r="409" spans="1:45" ht="67.95" customHeight="1">
      <c r="A409" s="13" t="s">
        <v>2411</v>
      </c>
      <c r="B409" s="13" t="s">
        <v>2412</v>
      </c>
      <c r="C409" s="13" t="s">
        <v>2413</v>
      </c>
      <c r="D409" s="13" t="s">
        <v>2414</v>
      </c>
      <c r="E409" s="13" t="s">
        <v>2415</v>
      </c>
      <c r="F409" s="13">
        <v>2020</v>
      </c>
      <c r="G409" s="13" t="s">
        <v>813</v>
      </c>
      <c r="H409" s="13" t="s">
        <v>32</v>
      </c>
      <c r="I409" s="13" t="s">
        <v>762</v>
      </c>
      <c r="J409" s="30" t="s">
        <v>579</v>
      </c>
      <c r="K409" s="2"/>
      <c r="L409" s="2"/>
      <c r="M409" s="2"/>
      <c r="N409" s="2"/>
      <c r="O409" s="2"/>
      <c r="P409" s="2"/>
      <c r="Q409" s="2"/>
      <c r="R409" s="2"/>
      <c r="S409" s="2"/>
      <c r="T409" s="2"/>
      <c r="U409" s="2"/>
      <c r="V409" s="2"/>
      <c r="W409" s="2"/>
      <c r="X409" s="2"/>
      <c r="Y409" s="2"/>
      <c r="Z409" s="2"/>
      <c r="AS409" s="20"/>
    </row>
    <row r="410" spans="1:45" ht="67.95" customHeight="1">
      <c r="A410" s="13" t="s">
        <v>2416</v>
      </c>
      <c r="B410" s="13" t="s">
        <v>2417</v>
      </c>
      <c r="C410" s="13" t="s">
        <v>2418</v>
      </c>
      <c r="D410" s="13" t="s">
        <v>2419</v>
      </c>
      <c r="E410" s="13" t="s">
        <v>51</v>
      </c>
      <c r="F410" s="13">
        <v>2016</v>
      </c>
      <c r="G410" s="13" t="s">
        <v>2420</v>
      </c>
      <c r="H410" s="13" t="s">
        <v>53</v>
      </c>
      <c r="I410" s="13" t="s">
        <v>762</v>
      </c>
      <c r="J410" s="30" t="s">
        <v>536</v>
      </c>
      <c r="K410" s="2"/>
      <c r="L410" s="2"/>
      <c r="M410" s="2"/>
      <c r="N410" s="2"/>
      <c r="O410" s="2"/>
      <c r="P410" s="2"/>
      <c r="Q410" s="2"/>
      <c r="R410" s="2"/>
      <c r="S410" s="2"/>
      <c r="T410" s="2"/>
      <c r="U410" s="2"/>
      <c r="V410" s="2"/>
      <c r="W410" s="2"/>
      <c r="X410" s="2"/>
      <c r="Y410" s="2"/>
      <c r="Z410" s="2"/>
      <c r="AS410" s="20"/>
    </row>
    <row r="411" spans="1:45" ht="67.95" customHeight="1">
      <c r="A411" s="13" t="s">
        <v>2421</v>
      </c>
      <c r="B411" s="13" t="s">
        <v>2422</v>
      </c>
      <c r="C411" s="13" t="s">
        <v>2423</v>
      </c>
      <c r="D411" s="13" t="s">
        <v>2424</v>
      </c>
      <c r="E411" s="13" t="s">
        <v>2425</v>
      </c>
      <c r="F411" s="13">
        <v>2020</v>
      </c>
      <c r="G411" s="13" t="s">
        <v>2426</v>
      </c>
      <c r="H411" s="13" t="s">
        <v>53</v>
      </c>
      <c r="I411" s="13" t="s">
        <v>762</v>
      </c>
      <c r="J411" s="30" t="s">
        <v>579</v>
      </c>
      <c r="K411" s="2"/>
      <c r="L411" s="2"/>
      <c r="M411" s="2"/>
      <c r="N411" s="2"/>
      <c r="O411" s="2"/>
      <c r="P411" s="2"/>
      <c r="Q411" s="2"/>
      <c r="R411" s="2"/>
      <c r="S411" s="2"/>
      <c r="T411" s="2"/>
      <c r="U411" s="2"/>
      <c r="V411" s="2"/>
      <c r="W411" s="2"/>
      <c r="X411" s="2"/>
      <c r="Y411" s="2"/>
      <c r="Z411" s="2"/>
      <c r="AS411" s="20"/>
    </row>
    <row r="412" spans="1:45" ht="67.95" customHeight="1">
      <c r="A412" s="13" t="s">
        <v>2427</v>
      </c>
      <c r="B412" s="13" t="s">
        <v>2428</v>
      </c>
      <c r="C412" s="13" t="s">
        <v>2429</v>
      </c>
      <c r="D412" s="13" t="s">
        <v>2430</v>
      </c>
      <c r="E412" s="13" t="s">
        <v>2431</v>
      </c>
      <c r="F412" s="13">
        <v>2020</v>
      </c>
      <c r="G412" s="13" t="s">
        <v>682</v>
      </c>
      <c r="H412" s="13" t="s">
        <v>32</v>
      </c>
      <c r="I412" s="13" t="s">
        <v>762</v>
      </c>
      <c r="J412" s="30" t="s">
        <v>882</v>
      </c>
      <c r="K412" s="2"/>
      <c r="L412" s="2"/>
      <c r="M412" s="2"/>
      <c r="N412" s="2"/>
      <c r="O412" s="2"/>
      <c r="P412" s="2"/>
      <c r="Q412" s="2"/>
      <c r="R412" s="2"/>
      <c r="S412" s="2"/>
      <c r="T412" s="2"/>
      <c r="U412" s="2"/>
      <c r="V412" s="2"/>
      <c r="W412" s="2"/>
      <c r="X412" s="2"/>
      <c r="Y412" s="2"/>
      <c r="Z412" s="2"/>
      <c r="AS412" s="20"/>
    </row>
    <row r="413" spans="1:45" ht="67.95" customHeight="1">
      <c r="A413" s="13" t="s">
        <v>2432</v>
      </c>
      <c r="B413" s="13" t="s">
        <v>2433</v>
      </c>
      <c r="C413" s="13" t="s">
        <v>2434</v>
      </c>
      <c r="D413" s="13" t="s">
        <v>2435</v>
      </c>
      <c r="E413" s="13" t="s">
        <v>2436</v>
      </c>
      <c r="F413" s="13">
        <v>2024</v>
      </c>
      <c r="G413" s="13" t="s">
        <v>2437</v>
      </c>
      <c r="H413" s="13" t="s">
        <v>32</v>
      </c>
      <c r="I413" s="13" t="s">
        <v>762</v>
      </c>
      <c r="J413" s="30" t="s">
        <v>536</v>
      </c>
      <c r="K413" s="2"/>
      <c r="L413" s="2"/>
      <c r="M413" s="2"/>
      <c r="N413" s="2"/>
      <c r="O413" s="2"/>
      <c r="P413" s="2"/>
      <c r="Q413" s="2"/>
      <c r="R413" s="2"/>
      <c r="S413" s="2"/>
      <c r="T413" s="2"/>
      <c r="U413" s="2"/>
      <c r="V413" s="2"/>
      <c r="W413" s="2"/>
      <c r="X413" s="2"/>
      <c r="Y413" s="2"/>
      <c r="Z413" s="2"/>
      <c r="AS413" s="20"/>
    </row>
    <row r="414" spans="1:45" ht="67.95" customHeight="1">
      <c r="A414" s="13" t="s">
        <v>2438</v>
      </c>
      <c r="B414" s="13" t="s">
        <v>2439</v>
      </c>
      <c r="C414" s="13" t="s">
        <v>2440</v>
      </c>
      <c r="D414" s="13" t="s">
        <v>2441</v>
      </c>
      <c r="E414" s="13" t="s">
        <v>2442</v>
      </c>
      <c r="F414" s="13">
        <v>2019</v>
      </c>
      <c r="G414" s="13" t="s">
        <v>694</v>
      </c>
      <c r="H414" s="13" t="s">
        <v>32</v>
      </c>
      <c r="I414" s="13" t="s">
        <v>762</v>
      </c>
      <c r="J414" s="30" t="s">
        <v>567</v>
      </c>
      <c r="K414" s="2"/>
      <c r="L414" s="2"/>
      <c r="M414" s="2"/>
      <c r="N414" s="2"/>
      <c r="O414" s="2"/>
      <c r="P414" s="2"/>
      <c r="Q414" s="2"/>
      <c r="R414" s="2"/>
      <c r="S414" s="2"/>
      <c r="T414" s="2"/>
      <c r="U414" s="2"/>
      <c r="V414" s="2"/>
      <c r="W414" s="2"/>
      <c r="X414" s="2"/>
      <c r="Y414" s="2"/>
      <c r="Z414" s="2"/>
      <c r="AS414" s="20"/>
    </row>
    <row r="415" spans="1:45" ht="67.95" customHeight="1">
      <c r="A415" s="13" t="s">
        <v>2443</v>
      </c>
      <c r="B415" s="13" t="s">
        <v>2444</v>
      </c>
      <c r="C415" s="13" t="s">
        <v>2445</v>
      </c>
      <c r="D415" s="13" t="s">
        <v>2446</v>
      </c>
      <c r="E415" s="13" t="s">
        <v>2447</v>
      </c>
      <c r="F415" s="13">
        <v>2023</v>
      </c>
      <c r="G415" s="13" t="s">
        <v>2448</v>
      </c>
      <c r="H415" s="13" t="s">
        <v>32</v>
      </c>
      <c r="I415" s="13" t="s">
        <v>762</v>
      </c>
      <c r="J415" s="30" t="s">
        <v>567</v>
      </c>
      <c r="K415" s="2"/>
      <c r="L415" s="2"/>
      <c r="M415" s="2"/>
      <c r="N415" s="2"/>
      <c r="O415" s="2"/>
      <c r="P415" s="2"/>
      <c r="Q415" s="2"/>
      <c r="R415" s="2"/>
      <c r="S415" s="2"/>
      <c r="T415" s="2"/>
      <c r="U415" s="2"/>
      <c r="V415" s="2"/>
      <c r="W415" s="2"/>
      <c r="X415" s="2"/>
      <c r="Y415" s="2"/>
      <c r="Z415" s="2"/>
      <c r="AS415" s="20"/>
    </row>
    <row r="416" spans="1:45" ht="67.95" customHeight="1">
      <c r="A416" s="13" t="s">
        <v>2449</v>
      </c>
      <c r="B416" s="13" t="s">
        <v>2450</v>
      </c>
      <c r="C416" s="13" t="s">
        <v>2451</v>
      </c>
      <c r="D416" s="13" t="s">
        <v>2452</v>
      </c>
      <c r="E416" s="13" t="s">
        <v>2453</v>
      </c>
      <c r="F416" s="13">
        <v>2018</v>
      </c>
      <c r="G416" s="13" t="s">
        <v>1958</v>
      </c>
      <c r="H416" s="13" t="s">
        <v>32</v>
      </c>
      <c r="I416" s="13" t="s">
        <v>762</v>
      </c>
      <c r="J416" s="30" t="s">
        <v>567</v>
      </c>
      <c r="K416" s="2"/>
      <c r="L416" s="2"/>
      <c r="M416" s="2"/>
      <c r="N416" s="2"/>
      <c r="O416" s="2"/>
      <c r="P416" s="2"/>
      <c r="Q416" s="2"/>
      <c r="R416" s="2"/>
      <c r="S416" s="2"/>
      <c r="T416" s="2"/>
      <c r="U416" s="2"/>
      <c r="V416" s="2"/>
      <c r="W416" s="2"/>
      <c r="X416" s="2"/>
      <c r="Y416" s="2"/>
      <c r="Z416" s="2"/>
      <c r="AS416" s="20"/>
    </row>
    <row r="417" spans="1:45" ht="67.95" customHeight="1">
      <c r="A417" s="13" t="s">
        <v>2454</v>
      </c>
      <c r="B417" s="13" t="s">
        <v>2455</v>
      </c>
      <c r="C417" s="13" t="s">
        <v>2456</v>
      </c>
      <c r="D417" s="13" t="s">
        <v>2457</v>
      </c>
      <c r="E417" s="13" t="s">
        <v>2458</v>
      </c>
      <c r="F417" s="13">
        <v>2024</v>
      </c>
      <c r="G417" s="13" t="s">
        <v>627</v>
      </c>
      <c r="H417" s="13" t="s">
        <v>32</v>
      </c>
      <c r="I417" s="13" t="s">
        <v>762</v>
      </c>
      <c r="J417" s="30" t="s">
        <v>536</v>
      </c>
      <c r="K417" s="2"/>
      <c r="L417" s="2"/>
      <c r="M417" s="2"/>
      <c r="N417" s="2"/>
      <c r="O417" s="2"/>
      <c r="P417" s="2"/>
      <c r="Q417" s="2"/>
      <c r="R417" s="2"/>
      <c r="S417" s="2"/>
      <c r="T417" s="2"/>
      <c r="U417" s="2"/>
      <c r="V417" s="2"/>
      <c r="W417" s="2"/>
      <c r="X417" s="2"/>
      <c r="Y417" s="2"/>
      <c r="Z417" s="2"/>
      <c r="AS417" s="20"/>
    </row>
    <row r="418" spans="1:45" ht="67.95" customHeight="1">
      <c r="A418" s="13" t="s">
        <v>2459</v>
      </c>
      <c r="B418" s="13" t="s">
        <v>2460</v>
      </c>
      <c r="C418" s="13" t="s">
        <v>2461</v>
      </c>
      <c r="D418" s="13" t="s">
        <v>2462</v>
      </c>
      <c r="E418" s="13" t="s">
        <v>2463</v>
      </c>
      <c r="F418" s="13">
        <v>2023</v>
      </c>
      <c r="G418" s="13" t="s">
        <v>670</v>
      </c>
      <c r="H418" s="13" t="s">
        <v>32</v>
      </c>
      <c r="I418" s="13" t="s">
        <v>762</v>
      </c>
      <c r="J418" s="30" t="s">
        <v>536</v>
      </c>
      <c r="K418" s="2"/>
      <c r="L418" s="2"/>
      <c r="M418" s="2"/>
      <c r="N418" s="2"/>
      <c r="O418" s="2"/>
      <c r="P418" s="2"/>
      <c r="Q418" s="2"/>
      <c r="R418" s="2"/>
      <c r="S418" s="2"/>
      <c r="T418" s="2"/>
      <c r="U418" s="2"/>
      <c r="V418" s="2"/>
      <c r="W418" s="2"/>
      <c r="X418" s="2"/>
      <c r="Y418" s="2"/>
      <c r="Z418" s="2"/>
      <c r="AS418" s="20"/>
    </row>
    <row r="419" spans="1:45" ht="67.95" customHeight="1">
      <c r="A419" s="13" t="s">
        <v>2464</v>
      </c>
      <c r="B419" s="13" t="s">
        <v>2465</v>
      </c>
      <c r="C419" s="13" t="s">
        <v>2466</v>
      </c>
      <c r="D419" s="13" t="s">
        <v>2467</v>
      </c>
      <c r="E419" s="13" t="s">
        <v>2468</v>
      </c>
      <c r="F419" s="13">
        <v>2025</v>
      </c>
      <c r="G419" s="13" t="s">
        <v>2448</v>
      </c>
      <c r="H419" s="13" t="s">
        <v>32</v>
      </c>
      <c r="I419" s="13" t="s">
        <v>762</v>
      </c>
      <c r="J419" s="30" t="s">
        <v>567</v>
      </c>
      <c r="K419" s="2"/>
      <c r="L419" s="2"/>
      <c r="M419" s="2"/>
      <c r="N419" s="2"/>
      <c r="O419" s="2"/>
      <c r="P419" s="2"/>
      <c r="Q419" s="2"/>
      <c r="R419" s="2"/>
      <c r="S419" s="2"/>
      <c r="T419" s="2"/>
      <c r="U419" s="2"/>
      <c r="V419" s="2"/>
      <c r="W419" s="2"/>
      <c r="X419" s="2"/>
      <c r="Y419" s="2"/>
      <c r="Z419" s="2"/>
      <c r="AS419" s="20"/>
    </row>
    <row r="420" spans="1:45" ht="67.95" customHeight="1">
      <c r="A420" s="13" t="s">
        <v>2469</v>
      </c>
      <c r="B420" s="13" t="s">
        <v>2470</v>
      </c>
      <c r="C420" s="13" t="s">
        <v>2471</v>
      </c>
      <c r="D420" s="13" t="s">
        <v>2472</v>
      </c>
      <c r="E420" s="13" t="s">
        <v>2473</v>
      </c>
      <c r="F420" s="13">
        <v>2016</v>
      </c>
      <c r="G420" s="13" t="s">
        <v>2474</v>
      </c>
      <c r="H420" s="13" t="s">
        <v>32</v>
      </c>
      <c r="I420" s="13" t="s">
        <v>762</v>
      </c>
      <c r="J420" s="30" t="s">
        <v>646</v>
      </c>
      <c r="K420" s="2"/>
      <c r="L420" s="2"/>
      <c r="M420" s="2"/>
      <c r="N420" s="2"/>
      <c r="O420" s="2"/>
      <c r="P420" s="2"/>
      <c r="Q420" s="2"/>
      <c r="R420" s="2"/>
      <c r="S420" s="2"/>
      <c r="T420" s="2"/>
      <c r="U420" s="2"/>
      <c r="V420" s="2"/>
      <c r="W420" s="2"/>
      <c r="X420" s="2"/>
      <c r="Y420" s="2"/>
      <c r="Z420" s="2"/>
      <c r="AS420" s="20"/>
    </row>
    <row r="421" spans="1:45" ht="67.95" customHeight="1">
      <c r="A421" s="13" t="s">
        <v>2475</v>
      </c>
      <c r="B421" s="13" t="s">
        <v>2476</v>
      </c>
      <c r="C421" s="13" t="s">
        <v>2477</v>
      </c>
      <c r="D421" s="13" t="s">
        <v>2478</v>
      </c>
      <c r="E421" s="13" t="s">
        <v>2479</v>
      </c>
      <c r="F421" s="13">
        <v>2023</v>
      </c>
      <c r="G421" s="13" t="s">
        <v>813</v>
      </c>
      <c r="H421" s="13" t="s">
        <v>32</v>
      </c>
      <c r="I421" s="13" t="s">
        <v>762</v>
      </c>
      <c r="J421" s="30" t="s">
        <v>567</v>
      </c>
      <c r="K421" s="2"/>
      <c r="L421" s="2"/>
      <c r="M421" s="2"/>
      <c r="N421" s="2"/>
      <c r="O421" s="2"/>
      <c r="P421" s="2"/>
      <c r="Q421" s="2"/>
      <c r="R421" s="2"/>
      <c r="S421" s="2"/>
      <c r="T421" s="2"/>
      <c r="U421" s="2"/>
      <c r="V421" s="2"/>
      <c r="W421" s="2"/>
      <c r="X421" s="2"/>
      <c r="Y421" s="2"/>
      <c r="Z421" s="2"/>
      <c r="AS421" s="20"/>
    </row>
    <row r="422" spans="1:45" ht="67.95" customHeight="1">
      <c r="A422" s="13" t="s">
        <v>2480</v>
      </c>
      <c r="B422" s="13" t="s">
        <v>2481</v>
      </c>
      <c r="C422" s="13" t="s">
        <v>2482</v>
      </c>
      <c r="D422" s="13" t="s">
        <v>2483</v>
      </c>
      <c r="E422" s="13" t="s">
        <v>2484</v>
      </c>
      <c r="F422" s="13">
        <v>2023</v>
      </c>
      <c r="G422" s="13" t="s">
        <v>670</v>
      </c>
      <c r="H422" s="13" t="s">
        <v>32</v>
      </c>
      <c r="I422" s="13" t="s">
        <v>762</v>
      </c>
      <c r="J422" s="30" t="s">
        <v>536</v>
      </c>
      <c r="K422" s="2"/>
      <c r="L422" s="2"/>
      <c r="M422" s="2"/>
      <c r="N422" s="2"/>
      <c r="O422" s="2"/>
      <c r="P422" s="2"/>
      <c r="Q422" s="2"/>
      <c r="R422" s="2"/>
      <c r="S422" s="2"/>
      <c r="T422" s="2"/>
      <c r="U422" s="2"/>
      <c r="V422" s="2"/>
      <c r="W422" s="2"/>
      <c r="X422" s="2"/>
      <c r="Y422" s="2"/>
      <c r="Z422" s="2"/>
      <c r="AS422" s="20"/>
    </row>
    <row r="423" spans="1:45" ht="67.95" customHeight="1">
      <c r="A423" s="13" t="s">
        <v>2485</v>
      </c>
      <c r="B423" s="13" t="s">
        <v>2486</v>
      </c>
      <c r="C423" s="13" t="s">
        <v>2487</v>
      </c>
      <c r="D423" s="13" t="s">
        <v>2488</v>
      </c>
      <c r="E423" s="13" t="s">
        <v>2489</v>
      </c>
      <c r="F423" s="13">
        <v>2024</v>
      </c>
      <c r="G423" s="13" t="s">
        <v>694</v>
      </c>
      <c r="H423" s="13" t="s">
        <v>32</v>
      </c>
      <c r="I423" s="13" t="s">
        <v>762</v>
      </c>
      <c r="J423" s="30" t="s">
        <v>567</v>
      </c>
      <c r="K423" s="2"/>
      <c r="L423" s="2"/>
      <c r="M423" s="2"/>
      <c r="N423" s="2"/>
      <c r="O423" s="2"/>
      <c r="P423" s="2"/>
      <c r="Q423" s="2"/>
      <c r="R423" s="2"/>
      <c r="S423" s="2"/>
      <c r="T423" s="2"/>
      <c r="U423" s="2"/>
      <c r="V423" s="2"/>
      <c r="W423" s="2"/>
      <c r="X423" s="2"/>
      <c r="Y423" s="2"/>
      <c r="Z423" s="2"/>
      <c r="AS423" s="20"/>
    </row>
    <row r="424" spans="1:45" ht="67.95" customHeight="1">
      <c r="A424" s="13" t="s">
        <v>2490</v>
      </c>
      <c r="B424" s="13" t="s">
        <v>2491</v>
      </c>
      <c r="C424" s="13" t="s">
        <v>2492</v>
      </c>
      <c r="D424" s="13" t="s">
        <v>2493</v>
      </c>
      <c r="E424" s="13" t="s">
        <v>2494</v>
      </c>
      <c r="F424" s="13">
        <v>2024</v>
      </c>
      <c r="G424" s="13" t="s">
        <v>2495</v>
      </c>
      <c r="H424" s="13" t="s">
        <v>136</v>
      </c>
      <c r="I424" s="13" t="s">
        <v>762</v>
      </c>
      <c r="J424" s="30" t="s">
        <v>567</v>
      </c>
      <c r="K424" s="2"/>
      <c r="L424" s="2"/>
      <c r="M424" s="2"/>
      <c r="N424" s="2"/>
      <c r="O424" s="2"/>
      <c r="P424" s="2"/>
      <c r="Q424" s="2"/>
      <c r="R424" s="2"/>
      <c r="S424" s="2"/>
      <c r="T424" s="2"/>
      <c r="U424" s="2"/>
      <c r="V424" s="2"/>
      <c r="W424" s="2"/>
      <c r="X424" s="2"/>
      <c r="Y424" s="2"/>
      <c r="Z424" s="2"/>
      <c r="AS424" s="20"/>
    </row>
    <row r="425" spans="1:45" ht="67.95" customHeight="1">
      <c r="A425" s="13" t="s">
        <v>2496</v>
      </c>
      <c r="B425" s="13" t="s">
        <v>2497</v>
      </c>
      <c r="C425" s="13" t="s">
        <v>51</v>
      </c>
      <c r="D425" s="13" t="s">
        <v>2498</v>
      </c>
      <c r="E425" s="13" t="s">
        <v>2499</v>
      </c>
      <c r="F425" s="13">
        <v>2024</v>
      </c>
      <c r="G425" s="13" t="s">
        <v>1473</v>
      </c>
      <c r="H425" s="13" t="s">
        <v>32</v>
      </c>
      <c r="I425" s="13" t="s">
        <v>762</v>
      </c>
      <c r="J425" s="30" t="s">
        <v>658</v>
      </c>
      <c r="K425" s="2"/>
      <c r="L425" s="2"/>
      <c r="M425" s="2"/>
      <c r="N425" s="2"/>
      <c r="O425" s="2"/>
      <c r="P425" s="2"/>
      <c r="Q425" s="2"/>
      <c r="R425" s="2"/>
      <c r="S425" s="2"/>
      <c r="T425" s="2"/>
      <c r="U425" s="2"/>
      <c r="V425" s="2"/>
      <c r="W425" s="2"/>
      <c r="X425" s="2"/>
      <c r="Y425" s="2"/>
      <c r="Z425" s="2"/>
      <c r="AS425" s="20"/>
    </row>
    <row r="426" spans="1:45" ht="67.95" customHeight="1">
      <c r="A426" s="13" t="s">
        <v>2500</v>
      </c>
      <c r="B426" s="13" t="s">
        <v>2501</v>
      </c>
      <c r="C426" s="13" t="s">
        <v>2502</v>
      </c>
      <c r="D426" s="13" t="s">
        <v>2503</v>
      </c>
      <c r="E426" s="13" t="s">
        <v>2504</v>
      </c>
      <c r="F426" s="13">
        <v>2016</v>
      </c>
      <c r="G426" s="13" t="s">
        <v>2505</v>
      </c>
      <c r="H426" s="13" t="s">
        <v>2506</v>
      </c>
      <c r="I426" s="13" t="s">
        <v>762</v>
      </c>
      <c r="J426" s="30" t="s">
        <v>536</v>
      </c>
      <c r="K426" s="2"/>
      <c r="L426" s="2"/>
      <c r="M426" s="2"/>
      <c r="N426" s="2"/>
      <c r="O426" s="2"/>
      <c r="P426" s="2"/>
      <c r="Q426" s="2"/>
      <c r="R426" s="2"/>
      <c r="S426" s="2"/>
      <c r="T426" s="2"/>
      <c r="U426" s="2"/>
      <c r="V426" s="2"/>
      <c r="W426" s="2"/>
      <c r="X426" s="2"/>
      <c r="Y426" s="2"/>
      <c r="Z426" s="2"/>
      <c r="AS426" s="20"/>
    </row>
    <row r="427" spans="1:45" ht="67.95" customHeight="1">
      <c r="A427" s="13" t="s">
        <v>2507</v>
      </c>
      <c r="B427" s="13" t="s">
        <v>2508</v>
      </c>
      <c r="C427" s="13" t="s">
        <v>2509</v>
      </c>
      <c r="D427" s="13" t="s">
        <v>2510</v>
      </c>
      <c r="E427" s="13" t="s">
        <v>2511</v>
      </c>
      <c r="F427" s="13">
        <v>2024</v>
      </c>
      <c r="G427" s="13" t="s">
        <v>52</v>
      </c>
      <c r="H427" s="13" t="s">
        <v>32</v>
      </c>
      <c r="I427" s="13" t="s">
        <v>762</v>
      </c>
      <c r="J427" s="30" t="s">
        <v>536</v>
      </c>
      <c r="K427" s="2"/>
      <c r="L427" s="2"/>
      <c r="M427" s="2"/>
      <c r="N427" s="2"/>
      <c r="O427" s="2"/>
      <c r="P427" s="2"/>
      <c r="Q427" s="2"/>
      <c r="R427" s="2"/>
      <c r="S427" s="2"/>
      <c r="T427" s="2"/>
      <c r="U427" s="2"/>
      <c r="V427" s="2"/>
      <c r="W427" s="2"/>
      <c r="X427" s="2"/>
      <c r="Y427" s="2"/>
      <c r="Z427" s="2"/>
      <c r="AS427" s="20"/>
    </row>
    <row r="428" spans="1:45" ht="67.95" customHeight="1">
      <c r="A428" s="13" t="s">
        <v>2512</v>
      </c>
      <c r="B428" s="13" t="s">
        <v>2513</v>
      </c>
      <c r="C428" s="13" t="s">
        <v>2514</v>
      </c>
      <c r="D428" s="13" t="s">
        <v>2515</v>
      </c>
      <c r="E428" s="13" t="s">
        <v>2516</v>
      </c>
      <c r="F428" s="13">
        <v>2025</v>
      </c>
      <c r="G428" s="13" t="s">
        <v>670</v>
      </c>
      <c r="H428" s="13" t="s">
        <v>32</v>
      </c>
      <c r="I428" s="13" t="s">
        <v>762</v>
      </c>
      <c r="J428" s="30" t="s">
        <v>567</v>
      </c>
      <c r="K428" s="2"/>
      <c r="L428" s="2"/>
      <c r="M428" s="2"/>
      <c r="N428" s="2"/>
      <c r="O428" s="2"/>
      <c r="P428" s="2"/>
      <c r="Q428" s="2"/>
      <c r="R428" s="2"/>
      <c r="S428" s="2"/>
      <c r="T428" s="2"/>
      <c r="U428" s="2"/>
      <c r="V428" s="2"/>
      <c r="W428" s="2"/>
      <c r="X428" s="2"/>
      <c r="Y428" s="2"/>
      <c r="Z428" s="2"/>
      <c r="AS428" s="20"/>
    </row>
    <row r="429" spans="1:45" ht="67.95" customHeight="1">
      <c r="A429" s="13" t="s">
        <v>2517</v>
      </c>
      <c r="B429" s="13" t="s">
        <v>2518</v>
      </c>
      <c r="C429" s="13" t="s">
        <v>2519</v>
      </c>
      <c r="D429" s="13" t="s">
        <v>2520</v>
      </c>
      <c r="E429" s="13" t="s">
        <v>51</v>
      </c>
      <c r="F429" s="13">
        <v>2016</v>
      </c>
      <c r="G429" s="13" t="s">
        <v>2521</v>
      </c>
      <c r="H429" s="13" t="s">
        <v>53</v>
      </c>
      <c r="I429" s="13" t="s">
        <v>762</v>
      </c>
      <c r="J429" s="30" t="s">
        <v>536</v>
      </c>
      <c r="K429" s="2"/>
      <c r="L429" s="2"/>
      <c r="M429" s="2"/>
      <c r="N429" s="2"/>
      <c r="O429" s="2"/>
      <c r="P429" s="2"/>
      <c r="Q429" s="2"/>
      <c r="R429" s="2"/>
      <c r="S429" s="2"/>
      <c r="T429" s="2"/>
      <c r="U429" s="2"/>
      <c r="V429" s="2"/>
      <c r="W429" s="2"/>
      <c r="X429" s="2"/>
      <c r="Y429" s="2"/>
      <c r="Z429" s="2"/>
      <c r="AS429" s="20"/>
    </row>
    <row r="430" spans="1:45" ht="67.95" customHeight="1">
      <c r="A430" s="13" t="s">
        <v>2522</v>
      </c>
      <c r="B430" s="13" t="s">
        <v>2523</v>
      </c>
      <c r="C430" s="13" t="s">
        <v>2524</v>
      </c>
      <c r="D430" s="13" t="s">
        <v>2525</v>
      </c>
      <c r="E430" s="13" t="s">
        <v>2526</v>
      </c>
      <c r="F430" s="13">
        <v>2025</v>
      </c>
      <c r="G430" s="13" t="s">
        <v>688</v>
      </c>
      <c r="H430" s="13" t="s">
        <v>32</v>
      </c>
      <c r="I430" s="13" t="s">
        <v>762</v>
      </c>
      <c r="J430" s="30" t="s">
        <v>543</v>
      </c>
      <c r="K430" s="2"/>
      <c r="L430" s="2"/>
      <c r="M430" s="2"/>
      <c r="N430" s="2"/>
      <c r="O430" s="2"/>
      <c r="P430" s="2"/>
      <c r="Q430" s="2"/>
      <c r="R430" s="2"/>
      <c r="S430" s="2"/>
      <c r="T430" s="2"/>
      <c r="U430" s="2"/>
      <c r="V430" s="2"/>
      <c r="W430" s="2"/>
      <c r="X430" s="2"/>
      <c r="Y430" s="2"/>
      <c r="Z430" s="2"/>
      <c r="AS430" s="20"/>
    </row>
    <row r="431" spans="1:45" ht="67.95" customHeight="1">
      <c r="A431" s="13" t="s">
        <v>2527</v>
      </c>
      <c r="B431" s="13" t="s">
        <v>2528</v>
      </c>
      <c r="C431" s="13" t="s">
        <v>2529</v>
      </c>
      <c r="D431" s="13" t="s">
        <v>2530</v>
      </c>
      <c r="E431" s="13" t="s">
        <v>2531</v>
      </c>
      <c r="F431" s="13">
        <v>2024</v>
      </c>
      <c r="G431" s="13" t="s">
        <v>670</v>
      </c>
      <c r="H431" s="13" t="s">
        <v>32</v>
      </c>
      <c r="I431" s="13" t="s">
        <v>762</v>
      </c>
      <c r="J431" s="30" t="s">
        <v>536</v>
      </c>
      <c r="K431" s="2"/>
      <c r="L431" s="2"/>
      <c r="M431" s="2"/>
      <c r="N431" s="2"/>
      <c r="O431" s="2"/>
      <c r="P431" s="2"/>
      <c r="Q431" s="2"/>
      <c r="R431" s="2"/>
      <c r="S431" s="2"/>
      <c r="T431" s="2"/>
      <c r="U431" s="2"/>
      <c r="V431" s="2"/>
      <c r="W431" s="2"/>
      <c r="X431" s="2"/>
      <c r="Y431" s="2"/>
      <c r="Z431" s="2"/>
      <c r="AS431" s="20"/>
    </row>
    <row r="432" spans="1:45" ht="67.95" customHeight="1">
      <c r="A432" s="13" t="s">
        <v>2532</v>
      </c>
      <c r="B432" s="13" t="s">
        <v>2533</v>
      </c>
      <c r="C432" s="13" t="s">
        <v>2534</v>
      </c>
      <c r="D432" s="13" t="s">
        <v>2535</v>
      </c>
      <c r="E432" s="13" t="s">
        <v>2536</v>
      </c>
      <c r="F432" s="13">
        <v>2017</v>
      </c>
      <c r="G432" s="13" t="s">
        <v>2537</v>
      </c>
      <c r="H432" s="13" t="s">
        <v>53</v>
      </c>
      <c r="I432" s="13" t="s">
        <v>762</v>
      </c>
      <c r="J432" s="30" t="s">
        <v>536</v>
      </c>
      <c r="K432" s="2"/>
      <c r="L432" s="2"/>
      <c r="M432" s="2"/>
      <c r="N432" s="2"/>
      <c r="O432" s="2"/>
      <c r="P432" s="2"/>
      <c r="Q432" s="2"/>
      <c r="R432" s="2"/>
      <c r="S432" s="2"/>
      <c r="T432" s="2"/>
      <c r="U432" s="2"/>
      <c r="V432" s="2"/>
      <c r="W432" s="2"/>
      <c r="X432" s="2"/>
      <c r="Y432" s="2"/>
      <c r="Z432" s="2"/>
      <c r="AS432" s="20"/>
    </row>
    <row r="433" spans="1:45" ht="67.95" customHeight="1">
      <c r="A433" s="13" t="s">
        <v>2538</v>
      </c>
      <c r="B433" s="13" t="s">
        <v>2539</v>
      </c>
      <c r="C433" s="13" t="s">
        <v>2540</v>
      </c>
      <c r="D433" s="13" t="s">
        <v>2541</v>
      </c>
      <c r="E433" s="13" t="s">
        <v>2542</v>
      </c>
      <c r="F433" s="13">
        <v>2017</v>
      </c>
      <c r="G433" s="13" t="s">
        <v>2543</v>
      </c>
      <c r="H433" s="13" t="s">
        <v>1772</v>
      </c>
      <c r="I433" s="13" t="s">
        <v>762</v>
      </c>
      <c r="J433" s="30" t="s">
        <v>536</v>
      </c>
      <c r="K433" s="2"/>
      <c r="L433" s="2"/>
      <c r="M433" s="2"/>
      <c r="N433" s="2"/>
      <c r="O433" s="2"/>
      <c r="P433" s="2"/>
      <c r="Q433" s="2"/>
      <c r="R433" s="2"/>
      <c r="S433" s="2"/>
      <c r="T433" s="2"/>
      <c r="U433" s="2"/>
      <c r="V433" s="2"/>
      <c r="W433" s="2"/>
      <c r="X433" s="2"/>
      <c r="Y433" s="2"/>
      <c r="Z433" s="2"/>
      <c r="AS433" s="20"/>
    </row>
    <row r="434" spans="1:45" ht="67.95" customHeight="1">
      <c r="A434" s="13" t="s">
        <v>2544</v>
      </c>
      <c r="B434" s="13" t="s">
        <v>2545</v>
      </c>
      <c r="C434" s="13" t="s">
        <v>2546</v>
      </c>
      <c r="D434" s="13" t="s">
        <v>2547</v>
      </c>
      <c r="E434" s="13" t="s">
        <v>2542</v>
      </c>
      <c r="F434" s="13">
        <v>2017</v>
      </c>
      <c r="G434" s="13" t="s">
        <v>2548</v>
      </c>
      <c r="H434" s="13" t="s">
        <v>2506</v>
      </c>
      <c r="I434" s="13" t="s">
        <v>762</v>
      </c>
      <c r="J434" s="30" t="s">
        <v>536</v>
      </c>
      <c r="K434" s="2"/>
      <c r="L434" s="2"/>
      <c r="M434" s="2"/>
      <c r="N434" s="2"/>
      <c r="O434" s="2"/>
      <c r="P434" s="2"/>
      <c r="Q434" s="2"/>
      <c r="R434" s="2"/>
      <c r="S434" s="2"/>
      <c r="T434" s="2"/>
      <c r="U434" s="2"/>
      <c r="V434" s="2"/>
      <c r="W434" s="2"/>
      <c r="X434" s="2"/>
      <c r="Y434" s="2"/>
      <c r="Z434" s="2"/>
      <c r="AS434" s="20"/>
    </row>
    <row r="435" spans="1:45" ht="67.95" customHeight="1">
      <c r="A435" s="13" t="s">
        <v>2549</v>
      </c>
      <c r="B435" s="13" t="s">
        <v>2550</v>
      </c>
      <c r="C435" s="13" t="s">
        <v>2551</v>
      </c>
      <c r="D435" s="13" t="s">
        <v>2552</v>
      </c>
      <c r="E435" s="13" t="s">
        <v>2553</v>
      </c>
      <c r="F435" s="13">
        <v>2020</v>
      </c>
      <c r="G435" s="13" t="s">
        <v>2554</v>
      </c>
      <c r="H435" s="13" t="s">
        <v>136</v>
      </c>
      <c r="I435" s="13" t="s">
        <v>762</v>
      </c>
      <c r="J435" s="30" t="s">
        <v>579</v>
      </c>
      <c r="K435" s="2"/>
      <c r="L435" s="2"/>
      <c r="M435" s="2"/>
      <c r="N435" s="2"/>
      <c r="O435" s="2"/>
      <c r="P435" s="2"/>
      <c r="Q435" s="2"/>
      <c r="R435" s="2"/>
      <c r="S435" s="2"/>
      <c r="T435" s="2"/>
      <c r="U435" s="2"/>
      <c r="V435" s="2"/>
      <c r="W435" s="2"/>
      <c r="X435" s="2"/>
      <c r="Y435" s="2"/>
      <c r="Z435" s="2"/>
      <c r="AS435" s="20"/>
    </row>
    <row r="436" spans="1:45" ht="67.95" customHeight="1">
      <c r="A436" s="13" t="s">
        <v>2555</v>
      </c>
      <c r="B436" s="13" t="s">
        <v>2556</v>
      </c>
      <c r="C436" s="13" t="s">
        <v>2557</v>
      </c>
      <c r="D436" s="13" t="s">
        <v>2558</v>
      </c>
      <c r="E436" s="13" t="s">
        <v>2559</v>
      </c>
      <c r="F436" s="13">
        <v>2019</v>
      </c>
      <c r="G436" s="13" t="s">
        <v>1016</v>
      </c>
      <c r="H436" s="13" t="s">
        <v>53</v>
      </c>
      <c r="I436" s="13" t="s">
        <v>762</v>
      </c>
      <c r="J436" s="30" t="s">
        <v>536</v>
      </c>
      <c r="K436" s="2"/>
      <c r="L436" s="2"/>
      <c r="M436" s="2"/>
      <c r="N436" s="2"/>
      <c r="O436" s="2"/>
      <c r="P436" s="2"/>
      <c r="Q436" s="2"/>
      <c r="R436" s="2"/>
      <c r="S436" s="2"/>
      <c r="T436" s="2"/>
      <c r="U436" s="2"/>
      <c r="V436" s="2"/>
      <c r="W436" s="2"/>
      <c r="X436" s="2"/>
      <c r="Y436" s="2"/>
      <c r="Z436" s="2"/>
      <c r="AS436" s="20"/>
    </row>
    <row r="437" spans="1:45" ht="67.95" customHeight="1">
      <c r="A437" s="13" t="s">
        <v>2560</v>
      </c>
      <c r="B437" s="13" t="s">
        <v>2561</v>
      </c>
      <c r="C437" s="13" t="s">
        <v>51</v>
      </c>
      <c r="D437" s="13" t="s">
        <v>2562</v>
      </c>
      <c r="E437" s="13" t="s">
        <v>2563</v>
      </c>
      <c r="F437" s="13">
        <v>2024</v>
      </c>
      <c r="G437" s="13" t="s">
        <v>2564</v>
      </c>
      <c r="H437" s="13" t="s">
        <v>32</v>
      </c>
      <c r="I437" s="13" t="s">
        <v>762</v>
      </c>
      <c r="J437" s="30" t="s">
        <v>536</v>
      </c>
      <c r="K437" s="2"/>
      <c r="L437" s="2"/>
      <c r="M437" s="2"/>
      <c r="N437" s="2"/>
      <c r="O437" s="2"/>
      <c r="P437" s="2"/>
      <c r="Q437" s="2"/>
      <c r="R437" s="2"/>
      <c r="S437" s="2"/>
      <c r="T437" s="2"/>
      <c r="U437" s="2"/>
      <c r="V437" s="2"/>
      <c r="W437" s="2"/>
      <c r="X437" s="2"/>
      <c r="Y437" s="2"/>
      <c r="Z437" s="2"/>
      <c r="AS437" s="20"/>
    </row>
    <row r="438" spans="1:45" ht="67.95" customHeight="1">
      <c r="A438" s="13" t="s">
        <v>2565</v>
      </c>
      <c r="B438" s="13" t="s">
        <v>2566</v>
      </c>
      <c r="C438" s="13" t="s">
        <v>2567</v>
      </c>
      <c r="D438" s="13" t="s">
        <v>2568</v>
      </c>
      <c r="E438" s="13" t="s">
        <v>51</v>
      </c>
      <c r="F438" s="13">
        <v>2024</v>
      </c>
      <c r="G438" s="13" t="s">
        <v>74</v>
      </c>
      <c r="H438" s="13" t="s">
        <v>53</v>
      </c>
      <c r="I438" s="13" t="s">
        <v>762</v>
      </c>
      <c r="J438" s="30" t="s">
        <v>567</v>
      </c>
      <c r="K438" s="2"/>
      <c r="L438" s="2"/>
      <c r="M438" s="2"/>
      <c r="N438" s="2"/>
      <c r="O438" s="2"/>
      <c r="P438" s="2"/>
      <c r="Q438" s="2"/>
      <c r="R438" s="2"/>
      <c r="S438" s="2"/>
      <c r="T438" s="2"/>
      <c r="U438" s="2"/>
      <c r="V438" s="2"/>
      <c r="W438" s="2"/>
      <c r="X438" s="2"/>
      <c r="Y438" s="2"/>
      <c r="Z438" s="2"/>
      <c r="AS438" s="20"/>
    </row>
    <row r="439" spans="1:45" ht="67.95" customHeight="1">
      <c r="A439" s="13" t="s">
        <v>2569</v>
      </c>
      <c r="B439" s="13" t="s">
        <v>2570</v>
      </c>
      <c r="C439" s="13" t="s">
        <v>2571</v>
      </c>
      <c r="D439" s="13" t="s">
        <v>2572</v>
      </c>
      <c r="E439" s="13" t="s">
        <v>2573</v>
      </c>
      <c r="F439" s="13">
        <v>2023</v>
      </c>
      <c r="G439" s="13" t="s">
        <v>2448</v>
      </c>
      <c r="H439" s="13" t="s">
        <v>32</v>
      </c>
      <c r="I439" s="13" t="s">
        <v>762</v>
      </c>
      <c r="J439" s="30" t="s">
        <v>567</v>
      </c>
      <c r="K439" s="2"/>
      <c r="L439" s="2"/>
      <c r="M439" s="2"/>
      <c r="N439" s="2"/>
      <c r="O439" s="2"/>
      <c r="P439" s="2"/>
      <c r="Q439" s="2"/>
      <c r="R439" s="2"/>
      <c r="S439" s="2"/>
      <c r="T439" s="2"/>
      <c r="U439" s="2"/>
      <c r="V439" s="2"/>
      <c r="W439" s="2"/>
      <c r="X439" s="2"/>
      <c r="Y439" s="2"/>
      <c r="Z439" s="2"/>
      <c r="AS439" s="20"/>
    </row>
    <row r="440" spans="1:45" ht="67.95" customHeight="1">
      <c r="A440" s="13" t="s">
        <v>2574</v>
      </c>
      <c r="B440" s="13" t="s">
        <v>2575</v>
      </c>
      <c r="C440" s="13" t="s">
        <v>2576</v>
      </c>
      <c r="D440" s="13" t="s">
        <v>2577</v>
      </c>
      <c r="E440" s="13" t="s">
        <v>2578</v>
      </c>
      <c r="F440" s="13">
        <v>2022</v>
      </c>
      <c r="G440" s="13" t="s">
        <v>639</v>
      </c>
      <c r="H440" s="13" t="s">
        <v>32</v>
      </c>
      <c r="I440" s="13" t="s">
        <v>762</v>
      </c>
      <c r="J440" s="30" t="s">
        <v>567</v>
      </c>
      <c r="K440" s="2"/>
      <c r="L440" s="2"/>
      <c r="M440" s="2"/>
      <c r="N440" s="2"/>
      <c r="O440" s="2"/>
      <c r="P440" s="2"/>
      <c r="Q440" s="2"/>
      <c r="R440" s="2"/>
      <c r="S440" s="2"/>
      <c r="T440" s="2"/>
      <c r="U440" s="2"/>
      <c r="V440" s="2"/>
      <c r="W440" s="2"/>
      <c r="X440" s="2"/>
      <c r="Y440" s="2"/>
      <c r="Z440" s="2"/>
      <c r="AS440" s="20"/>
    </row>
    <row r="441" spans="1:45" ht="67.95" customHeight="1">
      <c r="A441" s="26" t="s">
        <v>2579</v>
      </c>
      <c r="B441" s="26" t="s">
        <v>2580</v>
      </c>
      <c r="C441" s="26" t="s">
        <v>2581</v>
      </c>
      <c r="D441" s="21" t="s">
        <v>2582</v>
      </c>
      <c r="E441" s="21" t="s">
        <v>2583</v>
      </c>
      <c r="F441" s="21">
        <v>2025</v>
      </c>
      <c r="G441" s="21" t="s">
        <v>2584</v>
      </c>
      <c r="H441" s="21" t="s">
        <v>53</v>
      </c>
      <c r="I441" s="26" t="s">
        <v>762</v>
      </c>
      <c r="J441" s="32" t="s">
        <v>2393</v>
      </c>
      <c r="K441" s="27"/>
      <c r="L441" s="27"/>
      <c r="M441" s="27"/>
      <c r="N441" s="27"/>
      <c r="O441" s="27"/>
      <c r="P441" s="27"/>
      <c r="Q441" s="27"/>
      <c r="R441" s="27"/>
      <c r="S441" s="27"/>
      <c r="T441" s="27"/>
      <c r="U441" s="27"/>
      <c r="V441" s="27"/>
      <c r="W441" s="27"/>
      <c r="X441" s="27"/>
      <c r="Y441" s="27"/>
      <c r="Z441" s="27"/>
      <c r="AS441" s="20"/>
    </row>
    <row r="442" spans="1:45" ht="67.95" customHeight="1">
      <c r="A442" s="13" t="s">
        <v>2585</v>
      </c>
      <c r="B442" s="13" t="s">
        <v>2586</v>
      </c>
      <c r="C442" s="13" t="s">
        <v>2587</v>
      </c>
      <c r="D442" s="13" t="s">
        <v>2588</v>
      </c>
      <c r="E442" s="13" t="s">
        <v>2589</v>
      </c>
      <c r="F442" s="13">
        <v>2022</v>
      </c>
      <c r="G442" s="13" t="s">
        <v>2448</v>
      </c>
      <c r="H442" s="13" t="s">
        <v>32</v>
      </c>
      <c r="I442" s="13" t="s">
        <v>762</v>
      </c>
      <c r="J442" s="30" t="s">
        <v>646</v>
      </c>
      <c r="K442" s="2"/>
      <c r="L442" s="2"/>
      <c r="M442" s="2"/>
      <c r="N442" s="2"/>
      <c r="O442" s="2"/>
      <c r="P442" s="2"/>
      <c r="Q442" s="2"/>
      <c r="R442" s="2"/>
      <c r="S442" s="2"/>
      <c r="T442" s="2"/>
      <c r="U442" s="2"/>
      <c r="V442" s="2"/>
      <c r="W442" s="2"/>
      <c r="X442" s="2"/>
      <c r="Y442" s="2"/>
      <c r="Z442" s="2"/>
      <c r="AS442" s="20"/>
    </row>
    <row r="443" spans="1:45" ht="67.95" customHeight="1">
      <c r="A443" s="13" t="s">
        <v>2590</v>
      </c>
      <c r="B443" s="13" t="s">
        <v>2591</v>
      </c>
      <c r="C443" s="13" t="s">
        <v>2592</v>
      </c>
      <c r="D443" s="13" t="s">
        <v>2593</v>
      </c>
      <c r="E443" s="13" t="s">
        <v>2594</v>
      </c>
      <c r="F443" s="13">
        <v>2021</v>
      </c>
      <c r="G443" s="13" t="s">
        <v>2595</v>
      </c>
      <c r="H443" s="13" t="s">
        <v>32</v>
      </c>
      <c r="I443" s="13" t="s">
        <v>762</v>
      </c>
      <c r="J443" s="30" t="s">
        <v>536</v>
      </c>
      <c r="K443" s="2"/>
      <c r="L443" s="2"/>
      <c r="M443" s="2"/>
      <c r="N443" s="2"/>
      <c r="O443" s="2"/>
      <c r="P443" s="2"/>
      <c r="Q443" s="2"/>
      <c r="R443" s="2"/>
      <c r="S443" s="2"/>
      <c r="T443" s="2"/>
      <c r="U443" s="2"/>
      <c r="V443" s="2"/>
      <c r="W443" s="2"/>
      <c r="X443" s="2"/>
      <c r="Y443" s="2"/>
      <c r="Z443" s="2"/>
      <c r="AS443" s="20"/>
    </row>
    <row r="444" spans="1:45" ht="67.95" customHeight="1">
      <c r="A444" s="13" t="s">
        <v>2596</v>
      </c>
      <c r="B444" s="13" t="s">
        <v>2597</v>
      </c>
      <c r="C444" s="13" t="s">
        <v>2598</v>
      </c>
      <c r="D444" s="13" t="s">
        <v>2599</v>
      </c>
      <c r="E444" s="13" t="s">
        <v>2600</v>
      </c>
      <c r="F444" s="13">
        <v>2023</v>
      </c>
      <c r="G444" s="13" t="s">
        <v>2601</v>
      </c>
      <c r="H444" s="13" t="s">
        <v>53</v>
      </c>
      <c r="I444" s="13" t="s">
        <v>762</v>
      </c>
      <c r="J444" s="30" t="s">
        <v>567</v>
      </c>
      <c r="K444" s="2"/>
      <c r="L444" s="2"/>
      <c r="M444" s="2"/>
      <c r="N444" s="2"/>
      <c r="O444" s="2"/>
      <c r="P444" s="2"/>
      <c r="Q444" s="2"/>
      <c r="R444" s="2"/>
      <c r="S444" s="2"/>
      <c r="T444" s="2"/>
      <c r="U444" s="2"/>
      <c r="V444" s="2"/>
      <c r="W444" s="2"/>
      <c r="X444" s="2"/>
      <c r="Y444" s="2"/>
      <c r="Z444" s="2"/>
      <c r="AS444" s="20"/>
    </row>
    <row r="445" spans="1:45" ht="67.95" customHeight="1">
      <c r="A445" s="13" t="s">
        <v>2602</v>
      </c>
      <c r="B445" s="13" t="s">
        <v>2603</v>
      </c>
      <c r="C445" s="13" t="s">
        <v>2604</v>
      </c>
      <c r="D445" s="13" t="s">
        <v>2605</v>
      </c>
      <c r="E445" s="13" t="s">
        <v>51</v>
      </c>
      <c r="F445" s="13">
        <v>2023</v>
      </c>
      <c r="G445" s="13" t="s">
        <v>2601</v>
      </c>
      <c r="H445" s="13" t="s">
        <v>32</v>
      </c>
      <c r="I445" s="13" t="s">
        <v>762</v>
      </c>
      <c r="J445" s="30" t="s">
        <v>567</v>
      </c>
      <c r="K445" s="2"/>
      <c r="L445" s="2"/>
      <c r="M445" s="2"/>
      <c r="N445" s="2"/>
      <c r="O445" s="2"/>
      <c r="P445" s="2"/>
      <c r="Q445" s="2"/>
      <c r="R445" s="2"/>
      <c r="S445" s="2"/>
      <c r="T445" s="2"/>
      <c r="U445" s="2"/>
      <c r="V445" s="2"/>
      <c r="W445" s="2"/>
      <c r="X445" s="2"/>
      <c r="Y445" s="2"/>
      <c r="Z445" s="2"/>
      <c r="AS445" s="20"/>
    </row>
    <row r="446" spans="1:45" ht="67.95" customHeight="1">
      <c r="A446" s="13" t="s">
        <v>2606</v>
      </c>
      <c r="B446" s="13" t="s">
        <v>2607</v>
      </c>
      <c r="C446" s="13" t="s">
        <v>2608</v>
      </c>
      <c r="D446" s="13" t="s">
        <v>2609</v>
      </c>
      <c r="E446" s="13" t="s">
        <v>2610</v>
      </c>
      <c r="F446" s="13">
        <v>2021</v>
      </c>
      <c r="G446" s="13" t="s">
        <v>830</v>
      </c>
      <c r="H446" s="13" t="s">
        <v>32</v>
      </c>
      <c r="I446" s="13" t="s">
        <v>762</v>
      </c>
      <c r="J446" s="30" t="s">
        <v>567</v>
      </c>
      <c r="K446" s="2"/>
      <c r="L446" s="2"/>
      <c r="M446" s="2"/>
      <c r="N446" s="2"/>
      <c r="O446" s="2"/>
      <c r="P446" s="2"/>
      <c r="Q446" s="2"/>
      <c r="R446" s="2"/>
      <c r="S446" s="2"/>
      <c r="T446" s="2"/>
      <c r="U446" s="2"/>
      <c r="V446" s="2"/>
      <c r="W446" s="2"/>
      <c r="X446" s="2"/>
      <c r="Y446" s="2"/>
      <c r="Z446" s="2"/>
      <c r="AS446" s="20"/>
    </row>
    <row r="447" spans="1:45" ht="67.95" customHeight="1">
      <c r="A447" s="13" t="s">
        <v>2611</v>
      </c>
      <c r="B447" s="13" t="s">
        <v>2612</v>
      </c>
      <c r="C447" s="13" t="s">
        <v>2613</v>
      </c>
      <c r="D447" s="13" t="s">
        <v>2614</v>
      </c>
      <c r="E447" s="13" t="s">
        <v>51</v>
      </c>
      <c r="F447" s="13">
        <v>2020</v>
      </c>
      <c r="G447" s="13" t="s">
        <v>1284</v>
      </c>
      <c r="H447" s="13" t="s">
        <v>136</v>
      </c>
      <c r="I447" s="13" t="s">
        <v>762</v>
      </c>
      <c r="J447" s="30" t="s">
        <v>567</v>
      </c>
      <c r="K447" s="2"/>
      <c r="L447" s="2"/>
      <c r="M447" s="2"/>
      <c r="N447" s="2"/>
      <c r="O447" s="2"/>
      <c r="P447" s="2"/>
      <c r="Q447" s="2"/>
      <c r="R447" s="2"/>
      <c r="S447" s="2"/>
      <c r="T447" s="2"/>
      <c r="U447" s="2"/>
      <c r="V447" s="2"/>
      <c r="W447" s="2"/>
      <c r="X447" s="2"/>
      <c r="Y447" s="2"/>
      <c r="Z447" s="2"/>
      <c r="AS447" s="20"/>
    </row>
    <row r="448" spans="1:45" ht="67.95" customHeight="1">
      <c r="A448" s="13" t="s">
        <v>2615</v>
      </c>
      <c r="B448" s="13" t="s">
        <v>2616</v>
      </c>
      <c r="C448" s="13" t="s">
        <v>2617</v>
      </c>
      <c r="D448" s="13" t="s">
        <v>2618</v>
      </c>
      <c r="E448" s="13" t="s">
        <v>51</v>
      </c>
      <c r="F448" s="13">
        <v>2021</v>
      </c>
      <c r="G448" s="13" t="s">
        <v>74</v>
      </c>
      <c r="H448" s="13" t="s">
        <v>53</v>
      </c>
      <c r="I448" s="13" t="s">
        <v>762</v>
      </c>
      <c r="J448" s="30" t="s">
        <v>579</v>
      </c>
      <c r="K448" s="2"/>
      <c r="L448" s="2"/>
      <c r="M448" s="2"/>
      <c r="N448" s="2"/>
      <c r="O448" s="2"/>
      <c r="P448" s="2"/>
      <c r="Q448" s="2"/>
      <c r="R448" s="2"/>
      <c r="S448" s="2"/>
      <c r="T448" s="2"/>
      <c r="U448" s="2"/>
      <c r="V448" s="2"/>
      <c r="W448" s="2"/>
      <c r="X448" s="2"/>
      <c r="Y448" s="2"/>
      <c r="Z448" s="2"/>
      <c r="AS448" s="20"/>
    </row>
    <row r="449" spans="1:45" ht="67.95" customHeight="1">
      <c r="A449" s="13" t="s">
        <v>2619</v>
      </c>
      <c r="B449" s="13" t="s">
        <v>2620</v>
      </c>
      <c r="C449" s="13" t="s">
        <v>2621</v>
      </c>
      <c r="D449" s="13" t="s">
        <v>2622</v>
      </c>
      <c r="E449" s="13" t="s">
        <v>2623</v>
      </c>
      <c r="F449" s="13">
        <v>2025</v>
      </c>
      <c r="G449" s="13" t="s">
        <v>2624</v>
      </c>
      <c r="H449" s="13" t="s">
        <v>2506</v>
      </c>
      <c r="I449" s="13" t="s">
        <v>762</v>
      </c>
      <c r="J449" s="30" t="s">
        <v>536</v>
      </c>
      <c r="K449" s="2"/>
      <c r="L449" s="2"/>
      <c r="M449" s="2"/>
      <c r="N449" s="2"/>
      <c r="O449" s="2"/>
      <c r="P449" s="2"/>
      <c r="Q449" s="2"/>
      <c r="R449" s="2"/>
      <c r="S449" s="2"/>
      <c r="T449" s="2"/>
      <c r="U449" s="2"/>
      <c r="V449" s="2"/>
      <c r="W449" s="2"/>
      <c r="X449" s="2"/>
      <c r="Y449" s="2"/>
      <c r="Z449" s="2"/>
      <c r="AS449" s="20"/>
    </row>
    <row r="450" spans="1:45" ht="67.95" customHeight="1">
      <c r="A450" s="13" t="s">
        <v>2625</v>
      </c>
      <c r="B450" s="13" t="s">
        <v>2626</v>
      </c>
      <c r="C450" s="13" t="s">
        <v>2627</v>
      </c>
      <c r="D450" s="13" t="s">
        <v>2628</v>
      </c>
      <c r="E450" s="13" t="s">
        <v>2629</v>
      </c>
      <c r="F450" s="13">
        <v>2022</v>
      </c>
      <c r="G450" s="13" t="s">
        <v>1713</v>
      </c>
      <c r="H450" s="13" t="s">
        <v>32</v>
      </c>
      <c r="I450" s="13" t="s">
        <v>762</v>
      </c>
      <c r="J450" s="30" t="s">
        <v>567</v>
      </c>
      <c r="K450" s="2"/>
      <c r="L450" s="2"/>
      <c r="M450" s="2"/>
      <c r="N450" s="2"/>
      <c r="O450" s="2"/>
      <c r="P450" s="2"/>
      <c r="Q450" s="2"/>
      <c r="R450" s="2"/>
      <c r="S450" s="2"/>
      <c r="T450" s="2"/>
      <c r="U450" s="2"/>
      <c r="V450" s="2"/>
      <c r="W450" s="2"/>
      <c r="X450" s="2"/>
      <c r="Y450" s="2"/>
      <c r="Z450" s="2"/>
      <c r="AS450" s="20"/>
    </row>
    <row r="451" spans="1:45" ht="67.95" customHeight="1">
      <c r="A451" s="13" t="s">
        <v>2630</v>
      </c>
      <c r="B451" s="13" t="s">
        <v>2631</v>
      </c>
      <c r="C451" s="13" t="s">
        <v>2632</v>
      </c>
      <c r="D451" s="13" t="s">
        <v>2633</v>
      </c>
      <c r="E451" s="13" t="s">
        <v>2634</v>
      </c>
      <c r="F451" s="13">
        <v>2018</v>
      </c>
      <c r="G451" s="13" t="s">
        <v>2635</v>
      </c>
      <c r="H451" s="13" t="s">
        <v>53</v>
      </c>
      <c r="I451" s="13" t="s">
        <v>762</v>
      </c>
      <c r="J451" s="30" t="s">
        <v>536</v>
      </c>
      <c r="K451" s="2"/>
      <c r="L451" s="2"/>
      <c r="M451" s="2"/>
      <c r="N451" s="2"/>
      <c r="O451" s="2"/>
      <c r="P451" s="2"/>
      <c r="Q451" s="2"/>
      <c r="R451" s="2"/>
      <c r="S451" s="2"/>
      <c r="T451" s="2"/>
      <c r="U451" s="2"/>
      <c r="V451" s="2"/>
      <c r="W451" s="2"/>
      <c r="X451" s="2"/>
      <c r="Y451" s="2"/>
      <c r="Z451" s="2"/>
      <c r="AS451" s="20"/>
    </row>
    <row r="452" spans="1:45" ht="67.95" customHeight="1">
      <c r="A452" s="13" t="s">
        <v>2636</v>
      </c>
      <c r="B452" s="13" t="s">
        <v>2637</v>
      </c>
      <c r="C452" s="13" t="s">
        <v>2638</v>
      </c>
      <c r="D452" s="13" t="s">
        <v>2639</v>
      </c>
      <c r="E452" s="13" t="s">
        <v>2640</v>
      </c>
      <c r="F452" s="13">
        <v>2024</v>
      </c>
      <c r="G452" s="13" t="s">
        <v>1186</v>
      </c>
      <c r="H452" s="13" t="s">
        <v>53</v>
      </c>
      <c r="I452" s="13" t="s">
        <v>762</v>
      </c>
      <c r="J452" s="30" t="s">
        <v>579</v>
      </c>
      <c r="K452" s="2"/>
      <c r="L452" s="2"/>
      <c r="M452" s="2"/>
      <c r="N452" s="2"/>
      <c r="O452" s="2"/>
      <c r="P452" s="2"/>
      <c r="Q452" s="2"/>
      <c r="R452" s="2"/>
      <c r="S452" s="2"/>
      <c r="T452" s="2"/>
      <c r="U452" s="2"/>
      <c r="V452" s="2"/>
      <c r="W452" s="2"/>
      <c r="X452" s="2"/>
      <c r="Y452" s="2"/>
      <c r="Z452" s="2"/>
      <c r="AS452" s="20"/>
    </row>
    <row r="453" spans="1:45" ht="67.95" customHeight="1">
      <c r="A453" s="13" t="s">
        <v>2641</v>
      </c>
      <c r="B453" s="13" t="s">
        <v>2642</v>
      </c>
      <c r="C453" s="13" t="s">
        <v>2643</v>
      </c>
      <c r="D453" s="13" t="s">
        <v>2644</v>
      </c>
      <c r="E453" s="13" t="s">
        <v>51</v>
      </c>
      <c r="F453" s="13">
        <v>2021</v>
      </c>
      <c r="G453" s="13" t="s">
        <v>2645</v>
      </c>
      <c r="H453" s="13" t="s">
        <v>53</v>
      </c>
      <c r="I453" s="13" t="s">
        <v>762</v>
      </c>
      <c r="J453" s="30" t="s">
        <v>536</v>
      </c>
      <c r="K453" s="2"/>
      <c r="L453" s="2"/>
      <c r="M453" s="2"/>
      <c r="N453" s="2"/>
      <c r="O453" s="2"/>
      <c r="P453" s="2"/>
      <c r="Q453" s="2"/>
      <c r="R453" s="2"/>
      <c r="S453" s="2"/>
      <c r="T453" s="2"/>
      <c r="U453" s="2"/>
      <c r="V453" s="2"/>
      <c r="W453" s="2"/>
      <c r="X453" s="2"/>
      <c r="Y453" s="2"/>
      <c r="Z453" s="2"/>
      <c r="AS453" s="20"/>
    </row>
    <row r="454" spans="1:45" ht="67.95" customHeight="1">
      <c r="A454" s="13" t="s">
        <v>2646</v>
      </c>
      <c r="B454" s="13" t="s">
        <v>2647</v>
      </c>
      <c r="C454" s="13" t="s">
        <v>2648</v>
      </c>
      <c r="D454" s="13" t="s">
        <v>2649</v>
      </c>
      <c r="E454" s="13" t="s">
        <v>2650</v>
      </c>
      <c r="F454" s="13">
        <v>2023</v>
      </c>
      <c r="G454" s="13" t="s">
        <v>2651</v>
      </c>
      <c r="H454" s="13" t="s">
        <v>53</v>
      </c>
      <c r="I454" s="13" t="s">
        <v>762</v>
      </c>
      <c r="J454" s="30" t="s">
        <v>567</v>
      </c>
      <c r="K454" s="2"/>
      <c r="L454" s="2"/>
      <c r="M454" s="2"/>
      <c r="N454" s="2"/>
      <c r="O454" s="2"/>
      <c r="P454" s="2"/>
      <c r="Q454" s="2"/>
      <c r="R454" s="2"/>
      <c r="S454" s="2"/>
      <c r="T454" s="2"/>
      <c r="U454" s="2"/>
      <c r="V454" s="2"/>
      <c r="W454" s="2"/>
      <c r="X454" s="2"/>
      <c r="Y454" s="2"/>
      <c r="Z454" s="2"/>
      <c r="AS454" s="20"/>
    </row>
    <row r="455" spans="1:45" ht="67.95" customHeight="1">
      <c r="A455" s="13" t="s">
        <v>2652</v>
      </c>
      <c r="B455" s="13" t="s">
        <v>2653</v>
      </c>
      <c r="C455" s="13" t="s">
        <v>2654</v>
      </c>
      <c r="D455" s="13" t="s">
        <v>2655</v>
      </c>
      <c r="E455" s="13" t="s">
        <v>2656</v>
      </c>
      <c r="F455" s="13">
        <v>2019</v>
      </c>
      <c r="G455" s="13" t="s">
        <v>2657</v>
      </c>
      <c r="H455" s="13" t="s">
        <v>53</v>
      </c>
      <c r="I455" s="13" t="s">
        <v>762</v>
      </c>
      <c r="J455" s="30" t="s">
        <v>536</v>
      </c>
      <c r="K455" s="2"/>
      <c r="L455" s="2"/>
      <c r="M455" s="2"/>
      <c r="N455" s="2"/>
      <c r="O455" s="2"/>
      <c r="P455" s="2"/>
      <c r="Q455" s="2"/>
      <c r="R455" s="2"/>
      <c r="S455" s="2"/>
      <c r="T455" s="2"/>
      <c r="U455" s="2"/>
      <c r="V455" s="2"/>
      <c r="W455" s="2"/>
      <c r="X455" s="2"/>
      <c r="Y455" s="2"/>
      <c r="Z455" s="2"/>
      <c r="AS455" s="20"/>
    </row>
    <row r="456" spans="1:45" ht="67.95" customHeight="1">
      <c r="A456" s="13" t="s">
        <v>2658</v>
      </c>
      <c r="B456" s="13" t="s">
        <v>2659</v>
      </c>
      <c r="C456" s="13" t="s">
        <v>51</v>
      </c>
      <c r="D456" s="13" t="s">
        <v>2660</v>
      </c>
      <c r="E456" s="13" t="s">
        <v>2661</v>
      </c>
      <c r="F456" s="13">
        <v>2025</v>
      </c>
      <c r="G456" s="13" t="s">
        <v>1687</v>
      </c>
      <c r="H456" s="13" t="s">
        <v>32</v>
      </c>
      <c r="I456" s="13" t="s">
        <v>762</v>
      </c>
      <c r="J456" s="30" t="s">
        <v>658</v>
      </c>
      <c r="K456" s="2"/>
      <c r="L456" s="2"/>
      <c r="M456" s="2"/>
      <c r="N456" s="2"/>
      <c r="O456" s="2"/>
      <c r="P456" s="2"/>
      <c r="Q456" s="2"/>
      <c r="R456" s="2"/>
      <c r="S456" s="2"/>
      <c r="T456" s="2"/>
      <c r="U456" s="2"/>
      <c r="V456" s="2"/>
      <c r="W456" s="2"/>
      <c r="X456" s="2"/>
      <c r="Y456" s="2"/>
      <c r="Z456" s="2"/>
      <c r="AS456" s="20"/>
    </row>
    <row r="457" spans="1:45" ht="67.95" customHeight="1">
      <c r="A457" s="13" t="s">
        <v>2662</v>
      </c>
      <c r="B457" s="13" t="s">
        <v>2663</v>
      </c>
      <c r="C457" s="13" t="s">
        <v>2664</v>
      </c>
      <c r="D457" s="13" t="s">
        <v>2665</v>
      </c>
      <c r="E457" s="13" t="s">
        <v>2666</v>
      </c>
      <c r="F457" s="13">
        <v>2020</v>
      </c>
      <c r="G457" s="13" t="s">
        <v>2137</v>
      </c>
      <c r="H457" s="13" t="s">
        <v>32</v>
      </c>
      <c r="I457" s="13" t="s">
        <v>762</v>
      </c>
      <c r="J457" s="30" t="s">
        <v>567</v>
      </c>
      <c r="K457" s="2"/>
      <c r="L457" s="2"/>
      <c r="M457" s="2"/>
      <c r="N457" s="2"/>
      <c r="O457" s="2"/>
      <c r="P457" s="2"/>
      <c r="Q457" s="2"/>
      <c r="R457" s="2"/>
      <c r="S457" s="2"/>
      <c r="T457" s="2"/>
      <c r="U457" s="2"/>
      <c r="V457" s="2"/>
      <c r="W457" s="2"/>
      <c r="X457" s="2"/>
      <c r="Y457" s="2"/>
      <c r="Z457" s="2"/>
      <c r="AS457" s="20"/>
    </row>
    <row r="458" spans="1:45" ht="67.95" customHeight="1">
      <c r="A458" s="13" t="s">
        <v>2667</v>
      </c>
      <c r="B458" s="13" t="s">
        <v>2668</v>
      </c>
      <c r="C458" s="13" t="s">
        <v>2669</v>
      </c>
      <c r="D458" s="13" t="s">
        <v>2670</v>
      </c>
      <c r="E458" s="13" t="s">
        <v>51</v>
      </c>
      <c r="F458" s="13">
        <v>2019</v>
      </c>
      <c r="G458" s="13" t="s">
        <v>74</v>
      </c>
      <c r="H458" s="13" t="s">
        <v>53</v>
      </c>
      <c r="I458" s="13" t="s">
        <v>762</v>
      </c>
      <c r="J458" s="30" t="s">
        <v>567</v>
      </c>
      <c r="K458" s="2"/>
      <c r="L458" s="2"/>
      <c r="M458" s="2"/>
      <c r="N458" s="2"/>
      <c r="O458" s="2"/>
      <c r="P458" s="2"/>
      <c r="Q458" s="2"/>
      <c r="R458" s="2"/>
      <c r="S458" s="2"/>
      <c r="T458" s="2"/>
      <c r="U458" s="2"/>
      <c r="V458" s="2"/>
      <c r="W458" s="2"/>
      <c r="X458" s="2"/>
      <c r="Y458" s="2"/>
      <c r="Z458" s="2"/>
      <c r="AS458" s="20"/>
    </row>
    <row r="459" spans="1:45" ht="67.95" customHeight="1">
      <c r="A459" s="13" t="s">
        <v>2671</v>
      </c>
      <c r="B459" s="13" t="s">
        <v>2672</v>
      </c>
      <c r="C459" s="13" t="s">
        <v>2673</v>
      </c>
      <c r="D459" s="13" t="s">
        <v>2674</v>
      </c>
      <c r="E459" s="13" t="s">
        <v>2675</v>
      </c>
      <c r="F459" s="13">
        <v>2020</v>
      </c>
      <c r="G459" s="13" t="s">
        <v>2676</v>
      </c>
      <c r="H459" s="13" t="s">
        <v>32</v>
      </c>
      <c r="I459" s="13" t="s">
        <v>762</v>
      </c>
      <c r="J459" s="30" t="s">
        <v>567</v>
      </c>
      <c r="K459" s="2"/>
      <c r="L459" s="2"/>
      <c r="M459" s="2"/>
      <c r="N459" s="2"/>
      <c r="O459" s="2"/>
      <c r="P459" s="2"/>
      <c r="Q459" s="2"/>
      <c r="R459" s="2"/>
      <c r="S459" s="2"/>
      <c r="T459" s="2"/>
      <c r="U459" s="2"/>
      <c r="V459" s="2"/>
      <c r="W459" s="2"/>
      <c r="X459" s="2"/>
      <c r="Y459" s="2"/>
      <c r="Z459" s="2"/>
      <c r="AS459" s="20"/>
    </row>
    <row r="460" spans="1:45" ht="67.95" customHeight="1">
      <c r="A460" s="13" t="s">
        <v>2677</v>
      </c>
      <c r="B460" s="13" t="s">
        <v>2678</v>
      </c>
      <c r="C460" s="13" t="s">
        <v>2679</v>
      </c>
      <c r="D460" s="13" t="s">
        <v>2680</v>
      </c>
      <c r="E460" s="13" t="s">
        <v>2681</v>
      </c>
      <c r="F460" s="13">
        <v>2018</v>
      </c>
      <c r="G460" s="13" t="s">
        <v>2420</v>
      </c>
      <c r="H460" s="13" t="s">
        <v>53</v>
      </c>
      <c r="I460" s="13" t="s">
        <v>762</v>
      </c>
      <c r="J460" s="30" t="s">
        <v>536</v>
      </c>
      <c r="K460" s="2"/>
      <c r="L460" s="2"/>
      <c r="M460" s="2"/>
      <c r="N460" s="2"/>
      <c r="O460" s="2"/>
      <c r="P460" s="2"/>
      <c r="Q460" s="2"/>
      <c r="R460" s="2"/>
      <c r="S460" s="2"/>
      <c r="T460" s="2"/>
      <c r="U460" s="2"/>
      <c r="V460" s="2"/>
      <c r="W460" s="2"/>
      <c r="X460" s="2"/>
      <c r="Y460" s="2"/>
      <c r="Z460" s="2"/>
      <c r="AS460" s="20"/>
    </row>
    <row r="461" spans="1:45" ht="67.95" customHeight="1">
      <c r="A461" s="13" t="s">
        <v>2682</v>
      </c>
      <c r="B461" s="13" t="s">
        <v>2683</v>
      </c>
      <c r="C461" s="13" t="s">
        <v>2684</v>
      </c>
      <c r="D461" s="13" t="s">
        <v>2685</v>
      </c>
      <c r="E461" s="13" t="s">
        <v>2686</v>
      </c>
      <c r="F461" s="13">
        <v>2015</v>
      </c>
      <c r="G461" s="13" t="s">
        <v>2687</v>
      </c>
      <c r="H461" s="13" t="s">
        <v>53</v>
      </c>
      <c r="I461" s="13" t="s">
        <v>762</v>
      </c>
      <c r="J461" s="30" t="s">
        <v>536</v>
      </c>
      <c r="K461" s="2"/>
      <c r="L461" s="2"/>
      <c r="M461" s="2"/>
      <c r="N461" s="2"/>
      <c r="O461" s="2"/>
      <c r="P461" s="2"/>
      <c r="Q461" s="2"/>
      <c r="R461" s="2"/>
      <c r="S461" s="2"/>
      <c r="T461" s="2"/>
      <c r="U461" s="2"/>
      <c r="V461" s="2"/>
      <c r="W461" s="2"/>
      <c r="X461" s="2"/>
      <c r="Y461" s="2"/>
      <c r="Z461" s="2"/>
      <c r="AS461" s="20"/>
    </row>
    <row r="462" spans="1:45" ht="67.95" customHeight="1">
      <c r="A462" s="13" t="s">
        <v>2688</v>
      </c>
      <c r="B462" s="13" t="s">
        <v>2689</v>
      </c>
      <c r="C462" s="13" t="s">
        <v>2690</v>
      </c>
      <c r="D462" s="13" t="s">
        <v>2691</v>
      </c>
      <c r="E462" s="13" t="s">
        <v>2692</v>
      </c>
      <c r="F462" s="13">
        <v>2022</v>
      </c>
      <c r="G462" s="13" t="s">
        <v>627</v>
      </c>
      <c r="H462" s="13" t="s">
        <v>32</v>
      </c>
      <c r="I462" s="13" t="s">
        <v>762</v>
      </c>
      <c r="J462" s="30" t="s">
        <v>579</v>
      </c>
      <c r="K462" s="2"/>
      <c r="L462" s="2"/>
      <c r="M462" s="2"/>
      <c r="N462" s="2"/>
      <c r="O462" s="2"/>
      <c r="P462" s="2"/>
      <c r="Q462" s="2"/>
      <c r="R462" s="2"/>
      <c r="S462" s="2"/>
      <c r="T462" s="2"/>
      <c r="U462" s="2"/>
      <c r="V462" s="2"/>
      <c r="W462" s="2"/>
      <c r="X462" s="2"/>
      <c r="Y462" s="2"/>
      <c r="Z462" s="2"/>
      <c r="AS462" s="20"/>
    </row>
    <row r="463" spans="1:45" ht="67.95" customHeight="1">
      <c r="A463" s="13" t="s">
        <v>2693</v>
      </c>
      <c r="B463" s="13" t="s">
        <v>2694</v>
      </c>
      <c r="C463" s="13" t="s">
        <v>2695</v>
      </c>
      <c r="D463" s="13" t="s">
        <v>2696</v>
      </c>
      <c r="E463" s="13" t="s">
        <v>2697</v>
      </c>
      <c r="F463" s="13">
        <v>2022</v>
      </c>
      <c r="G463" s="13" t="s">
        <v>670</v>
      </c>
      <c r="H463" s="13" t="s">
        <v>32</v>
      </c>
      <c r="I463" s="13" t="s">
        <v>762</v>
      </c>
      <c r="J463" s="30" t="s">
        <v>567</v>
      </c>
      <c r="K463" s="2"/>
      <c r="L463" s="2"/>
      <c r="M463" s="2"/>
      <c r="N463" s="2"/>
      <c r="O463" s="2"/>
      <c r="P463" s="2"/>
      <c r="Q463" s="2"/>
      <c r="R463" s="2"/>
      <c r="S463" s="2"/>
      <c r="T463" s="2"/>
      <c r="U463" s="2"/>
      <c r="V463" s="2"/>
      <c r="W463" s="2"/>
      <c r="X463" s="2"/>
      <c r="Y463" s="2"/>
      <c r="Z463" s="2"/>
      <c r="AS463" s="20"/>
    </row>
    <row r="464" spans="1:45" ht="67.95" customHeight="1">
      <c r="A464" s="13" t="s">
        <v>2698</v>
      </c>
      <c r="B464" s="13" t="s">
        <v>51</v>
      </c>
      <c r="C464" s="13" t="s">
        <v>51</v>
      </c>
      <c r="D464" s="13" t="s">
        <v>2699</v>
      </c>
      <c r="E464" s="13" t="s">
        <v>2700</v>
      </c>
      <c r="F464" s="13">
        <v>2023</v>
      </c>
      <c r="G464" s="13" t="s">
        <v>1943</v>
      </c>
      <c r="H464" s="13" t="s">
        <v>32</v>
      </c>
      <c r="I464" s="13" t="s">
        <v>762</v>
      </c>
      <c r="J464" s="30" t="s">
        <v>658</v>
      </c>
      <c r="K464" s="2"/>
      <c r="L464" s="2"/>
      <c r="M464" s="2"/>
      <c r="N464" s="2"/>
      <c r="O464" s="2"/>
      <c r="P464" s="2"/>
      <c r="Q464" s="2"/>
      <c r="R464" s="2"/>
      <c r="S464" s="2"/>
      <c r="T464" s="2"/>
      <c r="U464" s="2"/>
      <c r="V464" s="2"/>
      <c r="W464" s="2"/>
      <c r="X464" s="2"/>
      <c r="Y464" s="2"/>
      <c r="Z464" s="2"/>
      <c r="AS464" s="20"/>
    </row>
    <row r="465" spans="1:45" ht="67.95" customHeight="1">
      <c r="A465" s="13" t="s">
        <v>2701</v>
      </c>
      <c r="B465" s="13" t="s">
        <v>2702</v>
      </c>
      <c r="C465" s="13" t="s">
        <v>2703</v>
      </c>
      <c r="D465" s="13" t="s">
        <v>2704</v>
      </c>
      <c r="E465" s="13" t="s">
        <v>51</v>
      </c>
      <c r="F465" s="13">
        <v>2020</v>
      </c>
      <c r="G465" s="13" t="s">
        <v>2705</v>
      </c>
      <c r="H465" s="13" t="s">
        <v>53</v>
      </c>
      <c r="I465" s="13" t="s">
        <v>762</v>
      </c>
      <c r="J465" s="30" t="s">
        <v>567</v>
      </c>
      <c r="K465" s="2"/>
      <c r="L465" s="2"/>
      <c r="M465" s="2"/>
      <c r="N465" s="2"/>
      <c r="O465" s="2"/>
      <c r="P465" s="2"/>
      <c r="Q465" s="2"/>
      <c r="R465" s="2"/>
      <c r="S465" s="2"/>
      <c r="T465" s="2"/>
      <c r="U465" s="2"/>
      <c r="V465" s="2"/>
      <c r="W465" s="2"/>
      <c r="X465" s="2"/>
      <c r="Y465" s="2"/>
      <c r="Z465" s="2"/>
      <c r="AS465" s="20"/>
    </row>
    <row r="466" spans="1:45" ht="67.95" customHeight="1">
      <c r="A466" s="13" t="s">
        <v>2706</v>
      </c>
      <c r="B466" s="13" t="s">
        <v>2707</v>
      </c>
      <c r="C466" s="13" t="s">
        <v>2708</v>
      </c>
      <c r="D466" s="13" t="s">
        <v>2709</v>
      </c>
      <c r="E466" s="13" t="s">
        <v>2710</v>
      </c>
      <c r="F466" s="13">
        <v>2022</v>
      </c>
      <c r="G466" s="13" t="s">
        <v>2711</v>
      </c>
      <c r="H466" s="13" t="s">
        <v>53</v>
      </c>
      <c r="I466" s="13" t="s">
        <v>762</v>
      </c>
      <c r="J466" s="30" t="s">
        <v>536</v>
      </c>
      <c r="K466" s="2"/>
      <c r="L466" s="2"/>
      <c r="M466" s="2"/>
      <c r="N466" s="2"/>
      <c r="O466" s="2"/>
      <c r="P466" s="2"/>
      <c r="Q466" s="2"/>
      <c r="R466" s="2"/>
      <c r="S466" s="2"/>
      <c r="T466" s="2"/>
      <c r="U466" s="2"/>
      <c r="V466" s="2"/>
      <c r="W466" s="2"/>
      <c r="X466" s="2"/>
      <c r="Y466" s="2"/>
      <c r="Z466" s="2"/>
      <c r="AS466" s="20"/>
    </row>
    <row r="467" spans="1:45" ht="67.95" customHeight="1">
      <c r="A467" s="13" t="s">
        <v>2712</v>
      </c>
      <c r="B467" s="13" t="s">
        <v>2713</v>
      </c>
      <c r="C467" s="13" t="s">
        <v>51</v>
      </c>
      <c r="D467" s="13" t="s">
        <v>2714</v>
      </c>
      <c r="E467" s="13" t="s">
        <v>2715</v>
      </c>
      <c r="F467" s="13">
        <v>2021</v>
      </c>
      <c r="G467" s="13" t="s">
        <v>2716</v>
      </c>
      <c r="H467" s="13" t="s">
        <v>32</v>
      </c>
      <c r="I467" s="13" t="s">
        <v>762</v>
      </c>
      <c r="J467" s="30" t="s">
        <v>658</v>
      </c>
      <c r="K467" s="2"/>
      <c r="L467" s="2"/>
      <c r="M467" s="2"/>
      <c r="N467" s="2"/>
      <c r="O467" s="2"/>
      <c r="P467" s="2"/>
      <c r="Q467" s="2"/>
      <c r="R467" s="2"/>
      <c r="S467" s="2"/>
      <c r="T467" s="2"/>
      <c r="U467" s="2"/>
      <c r="V467" s="2"/>
      <c r="W467" s="2"/>
      <c r="X467" s="2"/>
      <c r="Y467" s="2"/>
      <c r="Z467" s="2"/>
      <c r="AS467" s="20"/>
    </row>
    <row r="468" spans="1:45" ht="67.95" customHeight="1">
      <c r="A468" s="13" t="s">
        <v>2717</v>
      </c>
      <c r="B468" s="13" t="s">
        <v>2718</v>
      </c>
      <c r="C468" s="13" t="s">
        <v>51</v>
      </c>
      <c r="D468" s="13" t="s">
        <v>2719</v>
      </c>
      <c r="E468" s="13" t="s">
        <v>2720</v>
      </c>
      <c r="F468" s="13">
        <v>2024</v>
      </c>
      <c r="G468" s="13" t="s">
        <v>2564</v>
      </c>
      <c r="H468" s="13" t="s">
        <v>32</v>
      </c>
      <c r="I468" s="13" t="s">
        <v>762</v>
      </c>
      <c r="J468" s="30" t="s">
        <v>536</v>
      </c>
      <c r="K468" s="2"/>
      <c r="L468" s="2"/>
      <c r="M468" s="2"/>
      <c r="N468" s="2"/>
      <c r="O468" s="2"/>
      <c r="P468" s="2"/>
      <c r="Q468" s="2"/>
      <c r="R468" s="2"/>
      <c r="S468" s="2"/>
      <c r="T468" s="2"/>
      <c r="U468" s="2"/>
      <c r="V468" s="2"/>
      <c r="W468" s="2"/>
      <c r="X468" s="2"/>
      <c r="Y468" s="2"/>
      <c r="Z468" s="2"/>
      <c r="AS468" s="20"/>
    </row>
    <row r="469" spans="1:45" ht="67.95" customHeight="1">
      <c r="A469" s="13" t="s">
        <v>2721</v>
      </c>
      <c r="B469" s="13" t="s">
        <v>51</v>
      </c>
      <c r="C469" s="13" t="s">
        <v>2722</v>
      </c>
      <c r="D469" s="13" t="s">
        <v>2723</v>
      </c>
      <c r="E469" s="13" t="s">
        <v>51</v>
      </c>
      <c r="F469" s="13">
        <v>2025</v>
      </c>
      <c r="G469" s="13" t="s">
        <v>2724</v>
      </c>
      <c r="H469" s="13" t="s">
        <v>32</v>
      </c>
      <c r="I469" s="13" t="s">
        <v>762</v>
      </c>
      <c r="J469" s="30" t="s">
        <v>658</v>
      </c>
      <c r="K469" s="2"/>
      <c r="L469" s="2"/>
      <c r="M469" s="2"/>
      <c r="N469" s="2"/>
      <c r="O469" s="2"/>
      <c r="P469" s="2"/>
      <c r="Q469" s="2"/>
      <c r="R469" s="2"/>
      <c r="S469" s="2"/>
      <c r="T469" s="2"/>
      <c r="U469" s="2"/>
      <c r="V469" s="2"/>
      <c r="W469" s="2"/>
      <c r="X469" s="2"/>
      <c r="Y469" s="2"/>
      <c r="Z469" s="2"/>
      <c r="AS469" s="20"/>
    </row>
    <row r="470" spans="1:45" ht="67.95" customHeight="1">
      <c r="A470" s="13" t="s">
        <v>2725</v>
      </c>
      <c r="B470" s="13" t="s">
        <v>2726</v>
      </c>
      <c r="C470" s="13" t="s">
        <v>2727</v>
      </c>
      <c r="D470" s="13" t="s">
        <v>2728</v>
      </c>
      <c r="E470" s="13" t="s">
        <v>2729</v>
      </c>
      <c r="F470" s="13">
        <v>2023</v>
      </c>
      <c r="G470" s="13" t="s">
        <v>1016</v>
      </c>
      <c r="H470" s="13" t="s">
        <v>53</v>
      </c>
      <c r="I470" s="13" t="s">
        <v>762</v>
      </c>
      <c r="J470" s="30" t="s">
        <v>567</v>
      </c>
      <c r="K470" s="2"/>
      <c r="L470" s="2"/>
      <c r="M470" s="2"/>
      <c r="N470" s="2"/>
      <c r="O470" s="2"/>
      <c r="P470" s="2"/>
      <c r="Q470" s="2"/>
      <c r="R470" s="2"/>
      <c r="S470" s="2"/>
      <c r="T470" s="2"/>
      <c r="U470" s="2"/>
      <c r="V470" s="2"/>
      <c r="W470" s="2"/>
      <c r="X470" s="2"/>
      <c r="Y470" s="2"/>
      <c r="Z470" s="2"/>
      <c r="AS470" s="20"/>
    </row>
    <row r="471" spans="1:45" ht="67.95" customHeight="1">
      <c r="A471" s="13" t="s">
        <v>2730</v>
      </c>
      <c r="B471" s="13" t="s">
        <v>2731</v>
      </c>
      <c r="C471" s="13" t="s">
        <v>2732</v>
      </c>
      <c r="D471" s="13" t="s">
        <v>2733</v>
      </c>
      <c r="E471" s="13" t="s">
        <v>2734</v>
      </c>
      <c r="F471" s="13">
        <v>2025</v>
      </c>
      <c r="G471" s="13" t="s">
        <v>2735</v>
      </c>
      <c r="H471" s="13" t="s">
        <v>32</v>
      </c>
      <c r="I471" s="13" t="s">
        <v>762</v>
      </c>
      <c r="J471" s="30" t="s">
        <v>567</v>
      </c>
      <c r="K471" s="2"/>
      <c r="L471" s="2"/>
      <c r="M471" s="2"/>
      <c r="N471" s="2"/>
      <c r="O471" s="2"/>
      <c r="P471" s="2"/>
      <c r="Q471" s="2"/>
      <c r="R471" s="2"/>
      <c r="S471" s="2"/>
      <c r="T471" s="2"/>
      <c r="U471" s="2"/>
      <c r="V471" s="2"/>
      <c r="W471" s="2"/>
      <c r="X471" s="2"/>
      <c r="Y471" s="2"/>
      <c r="Z471" s="2"/>
      <c r="AS471" s="20"/>
    </row>
    <row r="472" spans="1:45" ht="67.95" customHeight="1">
      <c r="A472" s="13" t="s">
        <v>2736</v>
      </c>
      <c r="B472" s="13" t="s">
        <v>2737</v>
      </c>
      <c r="C472" s="13" t="s">
        <v>51</v>
      </c>
      <c r="D472" s="13" t="s">
        <v>2738</v>
      </c>
      <c r="E472" s="13" t="s">
        <v>2739</v>
      </c>
      <c r="F472" s="13">
        <v>2024</v>
      </c>
      <c r="G472" s="13" t="s">
        <v>2740</v>
      </c>
      <c r="H472" s="13" t="s">
        <v>32</v>
      </c>
      <c r="I472" s="13" t="s">
        <v>762</v>
      </c>
      <c r="J472" s="30" t="s">
        <v>658</v>
      </c>
      <c r="K472" s="2"/>
      <c r="L472" s="2"/>
      <c r="M472" s="2"/>
      <c r="N472" s="2"/>
      <c r="O472" s="2"/>
      <c r="P472" s="2"/>
      <c r="Q472" s="2"/>
      <c r="R472" s="2"/>
      <c r="S472" s="2"/>
      <c r="T472" s="2"/>
      <c r="U472" s="2"/>
      <c r="V472" s="2"/>
      <c r="W472" s="2"/>
      <c r="X472" s="2"/>
      <c r="Y472" s="2"/>
      <c r="Z472" s="2"/>
      <c r="AS472" s="20"/>
    </row>
    <row r="473" spans="1:45" ht="67.95" customHeight="1">
      <c r="A473" s="13" t="s">
        <v>2741</v>
      </c>
      <c r="B473" s="13" t="s">
        <v>2742</v>
      </c>
      <c r="C473" s="13" t="s">
        <v>2743</v>
      </c>
      <c r="D473" s="13" t="s">
        <v>2744</v>
      </c>
      <c r="E473" s="13" t="s">
        <v>2745</v>
      </c>
      <c r="F473" s="13">
        <v>2022</v>
      </c>
      <c r="G473" s="13" t="s">
        <v>2746</v>
      </c>
      <c r="H473" s="13" t="s">
        <v>32</v>
      </c>
      <c r="I473" s="13" t="s">
        <v>762</v>
      </c>
      <c r="J473" s="30" t="s">
        <v>543</v>
      </c>
      <c r="K473" s="2"/>
      <c r="L473" s="2"/>
      <c r="M473" s="2"/>
      <c r="N473" s="2"/>
      <c r="O473" s="2"/>
      <c r="P473" s="2"/>
      <c r="Q473" s="2"/>
      <c r="R473" s="2"/>
      <c r="S473" s="2"/>
      <c r="T473" s="2"/>
      <c r="U473" s="2"/>
      <c r="V473" s="2"/>
      <c r="W473" s="2"/>
      <c r="X473" s="2"/>
      <c r="Y473" s="2"/>
      <c r="Z473" s="2"/>
      <c r="AS473" s="20"/>
    </row>
    <row r="474" spans="1:45" ht="67.95" customHeight="1">
      <c r="A474" s="13" t="s">
        <v>2747</v>
      </c>
      <c r="B474" s="13" t="s">
        <v>2748</v>
      </c>
      <c r="C474" s="13" t="s">
        <v>2749</v>
      </c>
      <c r="D474" s="13" t="s">
        <v>2750</v>
      </c>
      <c r="E474" s="13" t="s">
        <v>51</v>
      </c>
      <c r="F474" s="13">
        <v>2017</v>
      </c>
      <c r="G474" s="13" t="s">
        <v>2751</v>
      </c>
      <c r="H474" s="13" t="s">
        <v>53</v>
      </c>
      <c r="I474" s="13" t="s">
        <v>762</v>
      </c>
      <c r="J474" s="30" t="s">
        <v>579</v>
      </c>
      <c r="K474" s="2"/>
      <c r="L474" s="2"/>
      <c r="M474" s="2"/>
      <c r="N474" s="2"/>
      <c r="O474" s="2"/>
      <c r="P474" s="2"/>
      <c r="Q474" s="2"/>
      <c r="R474" s="2"/>
      <c r="S474" s="2"/>
      <c r="T474" s="2"/>
      <c r="U474" s="2"/>
      <c r="V474" s="2"/>
      <c r="W474" s="2"/>
      <c r="X474" s="2"/>
      <c r="Y474" s="2"/>
      <c r="Z474" s="2"/>
      <c r="AS474" s="20"/>
    </row>
    <row r="475" spans="1:45" ht="67.95" customHeight="1">
      <c r="A475" s="13" t="s">
        <v>2752</v>
      </c>
      <c r="B475" s="13" t="s">
        <v>51</v>
      </c>
      <c r="C475" s="13" t="s">
        <v>2753</v>
      </c>
      <c r="D475" s="13" t="s">
        <v>2754</v>
      </c>
      <c r="E475" s="13" t="s">
        <v>2755</v>
      </c>
      <c r="F475" s="13">
        <v>2023</v>
      </c>
      <c r="G475" s="13" t="s">
        <v>65</v>
      </c>
      <c r="H475" s="13" t="s">
        <v>32</v>
      </c>
      <c r="I475" s="13" t="s">
        <v>762</v>
      </c>
      <c r="J475" s="30" t="s">
        <v>658</v>
      </c>
      <c r="K475" s="2"/>
      <c r="L475" s="2"/>
      <c r="M475" s="2"/>
      <c r="N475" s="2"/>
      <c r="O475" s="2"/>
      <c r="P475" s="2"/>
      <c r="Q475" s="2"/>
      <c r="R475" s="2"/>
      <c r="S475" s="2"/>
      <c r="T475" s="2"/>
      <c r="U475" s="2"/>
      <c r="V475" s="2"/>
      <c r="W475" s="2"/>
      <c r="X475" s="2"/>
      <c r="Y475" s="2"/>
      <c r="Z475" s="2"/>
      <c r="AS475" s="20"/>
    </row>
    <row r="476" spans="1:45" ht="67.95" customHeight="1">
      <c r="A476" s="13" t="s">
        <v>2756</v>
      </c>
      <c r="B476" s="13" t="s">
        <v>2757</v>
      </c>
      <c r="C476" s="13" t="s">
        <v>2758</v>
      </c>
      <c r="D476" s="13" t="s">
        <v>2759</v>
      </c>
      <c r="E476" s="13" t="s">
        <v>2760</v>
      </c>
      <c r="F476" s="13">
        <v>2019</v>
      </c>
      <c r="G476" s="13" t="s">
        <v>555</v>
      </c>
      <c r="H476" s="13" t="s">
        <v>53</v>
      </c>
      <c r="I476" s="13" t="s">
        <v>762</v>
      </c>
      <c r="J476" s="30" t="s">
        <v>536</v>
      </c>
      <c r="K476" s="2"/>
      <c r="L476" s="2"/>
      <c r="M476" s="2"/>
      <c r="N476" s="2"/>
      <c r="O476" s="2"/>
      <c r="P476" s="2"/>
      <c r="Q476" s="2"/>
      <c r="R476" s="2"/>
      <c r="S476" s="2"/>
      <c r="T476" s="2"/>
      <c r="U476" s="2"/>
      <c r="V476" s="2"/>
      <c r="W476" s="2"/>
      <c r="X476" s="2"/>
      <c r="Y476" s="2"/>
      <c r="Z476" s="2"/>
      <c r="AS476" s="20"/>
    </row>
    <row r="477" spans="1:45" ht="67.95" customHeight="1">
      <c r="A477" s="13" t="s">
        <v>2761</v>
      </c>
      <c r="B477" s="13" t="s">
        <v>2762</v>
      </c>
      <c r="C477" s="13" t="s">
        <v>2763</v>
      </c>
      <c r="D477" s="13" t="s">
        <v>2764</v>
      </c>
      <c r="E477" s="13" t="s">
        <v>2765</v>
      </c>
      <c r="F477" s="13">
        <v>2019</v>
      </c>
      <c r="G477" s="13" t="s">
        <v>2766</v>
      </c>
      <c r="H477" s="13" t="s">
        <v>32</v>
      </c>
      <c r="I477" s="13" t="s">
        <v>762</v>
      </c>
      <c r="J477" s="30" t="s">
        <v>567</v>
      </c>
      <c r="K477" s="2"/>
      <c r="L477" s="2"/>
      <c r="M477" s="2"/>
      <c r="N477" s="2"/>
      <c r="O477" s="2"/>
      <c r="P477" s="2"/>
      <c r="Q477" s="2"/>
      <c r="R477" s="2"/>
      <c r="S477" s="2"/>
      <c r="T477" s="2"/>
      <c r="U477" s="2"/>
      <c r="V477" s="2"/>
      <c r="W477" s="2"/>
      <c r="X477" s="2"/>
      <c r="Y477" s="2"/>
      <c r="Z477" s="2"/>
      <c r="AS477" s="20"/>
    </row>
    <row r="478" spans="1:45" ht="67.95" customHeight="1">
      <c r="A478" s="13" t="s">
        <v>2767</v>
      </c>
      <c r="B478" s="13" t="s">
        <v>2768</v>
      </c>
      <c r="C478" s="13" t="s">
        <v>2769</v>
      </c>
      <c r="D478" s="13" t="s">
        <v>2770</v>
      </c>
      <c r="E478" s="13" t="s">
        <v>2771</v>
      </c>
      <c r="F478" s="13">
        <v>2021</v>
      </c>
      <c r="G478" s="13" t="s">
        <v>52</v>
      </c>
      <c r="H478" s="13" t="s">
        <v>32</v>
      </c>
      <c r="I478" s="13" t="s">
        <v>762</v>
      </c>
      <c r="J478" s="30" t="s">
        <v>567</v>
      </c>
      <c r="K478" s="2"/>
      <c r="L478" s="2"/>
      <c r="M478" s="2"/>
      <c r="N478" s="2"/>
      <c r="O478" s="2"/>
      <c r="P478" s="2"/>
      <c r="Q478" s="2"/>
      <c r="R478" s="2"/>
      <c r="S478" s="2"/>
      <c r="T478" s="2"/>
      <c r="U478" s="2"/>
      <c r="V478" s="2"/>
      <c r="W478" s="2"/>
      <c r="X478" s="2"/>
      <c r="Y478" s="2"/>
      <c r="Z478" s="2"/>
      <c r="AS478" s="20"/>
    </row>
    <row r="479" spans="1:45" ht="67.95" customHeight="1">
      <c r="A479" s="13" t="s">
        <v>2772</v>
      </c>
      <c r="B479" s="13" t="s">
        <v>2773</v>
      </c>
      <c r="C479" s="13" t="s">
        <v>2774</v>
      </c>
      <c r="D479" s="13" t="s">
        <v>2775</v>
      </c>
      <c r="E479" s="13" t="s">
        <v>2776</v>
      </c>
      <c r="F479" s="13">
        <v>2023</v>
      </c>
      <c r="G479" s="13" t="s">
        <v>2777</v>
      </c>
      <c r="H479" s="13" t="s">
        <v>53</v>
      </c>
      <c r="I479" s="13" t="s">
        <v>762</v>
      </c>
      <c r="J479" s="30" t="s">
        <v>567</v>
      </c>
      <c r="K479" s="2"/>
      <c r="L479" s="2"/>
      <c r="M479" s="2"/>
      <c r="N479" s="2"/>
      <c r="O479" s="2"/>
      <c r="P479" s="2"/>
      <c r="Q479" s="2"/>
      <c r="R479" s="2"/>
      <c r="S479" s="2"/>
      <c r="T479" s="2"/>
      <c r="U479" s="2"/>
      <c r="V479" s="2"/>
      <c r="W479" s="2"/>
      <c r="X479" s="2"/>
      <c r="Y479" s="2"/>
      <c r="Z479" s="2"/>
      <c r="AS479" s="20"/>
    </row>
    <row r="480" spans="1:45" ht="67.95" customHeight="1">
      <c r="A480" s="13" t="s">
        <v>2778</v>
      </c>
      <c r="B480" s="13" t="s">
        <v>2779</v>
      </c>
      <c r="C480" s="13" t="s">
        <v>2780</v>
      </c>
      <c r="D480" s="13" t="s">
        <v>2781</v>
      </c>
      <c r="E480" s="13" t="s">
        <v>2782</v>
      </c>
      <c r="F480" s="13">
        <v>2023</v>
      </c>
      <c r="G480" s="13" t="s">
        <v>2783</v>
      </c>
      <c r="H480" s="13" t="s">
        <v>32</v>
      </c>
      <c r="I480" s="13" t="s">
        <v>762</v>
      </c>
      <c r="J480" s="30" t="s">
        <v>646</v>
      </c>
      <c r="K480" s="2"/>
      <c r="L480" s="2"/>
      <c r="M480" s="2"/>
      <c r="N480" s="2"/>
      <c r="O480" s="2"/>
      <c r="P480" s="2"/>
      <c r="Q480" s="2"/>
      <c r="R480" s="2"/>
      <c r="S480" s="2"/>
      <c r="T480" s="2"/>
      <c r="U480" s="2"/>
      <c r="V480" s="2"/>
      <c r="W480" s="2"/>
      <c r="X480" s="2"/>
      <c r="Y480" s="2"/>
      <c r="Z480" s="2"/>
      <c r="AS480" s="20"/>
    </row>
    <row r="481" spans="1:45" ht="67.95" customHeight="1">
      <c r="A481" s="13" t="s">
        <v>2784</v>
      </c>
      <c r="B481" s="13" t="s">
        <v>2785</v>
      </c>
      <c r="C481" s="13" t="s">
        <v>2786</v>
      </c>
      <c r="D481" s="13" t="s">
        <v>2787</v>
      </c>
      <c r="E481" s="13" t="s">
        <v>2788</v>
      </c>
      <c r="F481" s="13">
        <v>2022</v>
      </c>
      <c r="G481" s="13" t="s">
        <v>1958</v>
      </c>
      <c r="H481" s="13" t="s">
        <v>32</v>
      </c>
      <c r="I481" s="13" t="s">
        <v>762</v>
      </c>
      <c r="J481" s="30" t="s">
        <v>567</v>
      </c>
      <c r="K481" s="2"/>
      <c r="L481" s="2"/>
      <c r="M481" s="2"/>
      <c r="N481" s="2"/>
      <c r="O481" s="2"/>
      <c r="P481" s="2"/>
      <c r="Q481" s="2"/>
      <c r="R481" s="2"/>
      <c r="S481" s="2"/>
      <c r="T481" s="2"/>
      <c r="U481" s="2"/>
      <c r="V481" s="2"/>
      <c r="W481" s="2"/>
      <c r="X481" s="2"/>
      <c r="Y481" s="2"/>
      <c r="Z481" s="2"/>
      <c r="AS481" s="20"/>
    </row>
    <row r="482" spans="1:45" ht="67.95" customHeight="1">
      <c r="A482" s="13" t="s">
        <v>2789</v>
      </c>
      <c r="B482" s="13" t="s">
        <v>2790</v>
      </c>
      <c r="C482" s="13" t="s">
        <v>2791</v>
      </c>
      <c r="D482" s="13" t="s">
        <v>2792</v>
      </c>
      <c r="E482" s="13" t="s">
        <v>2793</v>
      </c>
      <c r="F482" s="13">
        <v>2022</v>
      </c>
      <c r="G482" s="13" t="s">
        <v>688</v>
      </c>
      <c r="H482" s="13" t="s">
        <v>32</v>
      </c>
      <c r="I482" s="13" t="s">
        <v>762</v>
      </c>
      <c r="J482" s="30" t="s">
        <v>567</v>
      </c>
      <c r="K482" s="2"/>
      <c r="L482" s="2"/>
      <c r="M482" s="2"/>
      <c r="N482" s="2"/>
      <c r="O482" s="2"/>
      <c r="P482" s="2"/>
      <c r="Q482" s="2"/>
      <c r="R482" s="2"/>
      <c r="S482" s="2"/>
      <c r="T482" s="2"/>
      <c r="U482" s="2"/>
      <c r="V482" s="2"/>
      <c r="W482" s="2"/>
      <c r="X482" s="2"/>
      <c r="Y482" s="2"/>
      <c r="Z482" s="2"/>
      <c r="AS482" s="20"/>
    </row>
    <row r="483" spans="1:45" ht="67.95" customHeight="1">
      <c r="A483" s="13" t="s">
        <v>2794</v>
      </c>
      <c r="B483" s="13" t="s">
        <v>2795</v>
      </c>
      <c r="C483" s="13" t="s">
        <v>2796</v>
      </c>
      <c r="D483" s="13" t="s">
        <v>2797</v>
      </c>
      <c r="E483" s="13" t="s">
        <v>2798</v>
      </c>
      <c r="F483" s="13">
        <v>2017</v>
      </c>
      <c r="G483" s="13" t="s">
        <v>65</v>
      </c>
      <c r="H483" s="13" t="s">
        <v>32</v>
      </c>
      <c r="I483" s="13" t="s">
        <v>762</v>
      </c>
      <c r="J483" s="30" t="s">
        <v>882</v>
      </c>
      <c r="K483" s="2"/>
      <c r="L483" s="2"/>
      <c r="M483" s="2"/>
      <c r="N483" s="2"/>
      <c r="O483" s="2"/>
      <c r="P483" s="2"/>
      <c r="Q483" s="2"/>
      <c r="R483" s="2"/>
      <c r="S483" s="2"/>
      <c r="T483" s="2"/>
      <c r="U483" s="2"/>
      <c r="V483" s="2"/>
      <c r="W483" s="2"/>
      <c r="X483" s="2"/>
      <c r="Y483" s="2"/>
      <c r="Z483" s="2"/>
      <c r="AS483" s="20"/>
    </row>
    <row r="484" spans="1:45" ht="67.95" customHeight="1">
      <c r="A484" s="13" t="s">
        <v>2799</v>
      </c>
      <c r="B484" s="13" t="s">
        <v>2800</v>
      </c>
      <c r="C484" s="13" t="s">
        <v>2801</v>
      </c>
      <c r="D484" s="13" t="s">
        <v>2802</v>
      </c>
      <c r="E484" s="13" t="s">
        <v>2803</v>
      </c>
      <c r="F484" s="13">
        <v>2018</v>
      </c>
      <c r="G484" s="13" t="s">
        <v>2804</v>
      </c>
      <c r="H484" s="13" t="s">
        <v>32</v>
      </c>
      <c r="I484" s="13" t="s">
        <v>762</v>
      </c>
      <c r="J484" s="30" t="s">
        <v>567</v>
      </c>
      <c r="K484" s="2"/>
      <c r="L484" s="2"/>
      <c r="M484" s="2"/>
      <c r="N484" s="2"/>
      <c r="O484" s="2"/>
      <c r="P484" s="2"/>
      <c r="Q484" s="2"/>
      <c r="R484" s="2"/>
      <c r="S484" s="2"/>
      <c r="T484" s="2"/>
      <c r="U484" s="2"/>
      <c r="V484" s="2"/>
      <c r="W484" s="2"/>
      <c r="X484" s="2"/>
      <c r="Y484" s="2"/>
      <c r="Z484" s="2"/>
      <c r="AS484" s="20"/>
    </row>
    <row r="485" spans="1:45" ht="67.95" customHeight="1">
      <c r="A485" s="13" t="s">
        <v>2805</v>
      </c>
      <c r="B485" s="13" t="s">
        <v>2806</v>
      </c>
      <c r="C485" s="13" t="s">
        <v>2807</v>
      </c>
      <c r="D485" s="13" t="s">
        <v>2808</v>
      </c>
      <c r="E485" s="13" t="s">
        <v>2809</v>
      </c>
      <c r="F485" s="13">
        <v>2018</v>
      </c>
      <c r="G485" s="13" t="s">
        <v>2810</v>
      </c>
      <c r="H485" s="13" t="s">
        <v>53</v>
      </c>
      <c r="I485" s="13" t="s">
        <v>762</v>
      </c>
      <c r="J485" s="30" t="s">
        <v>536</v>
      </c>
      <c r="K485" s="2"/>
      <c r="L485" s="2"/>
      <c r="M485" s="2"/>
      <c r="N485" s="2"/>
      <c r="O485" s="2"/>
      <c r="P485" s="2"/>
      <c r="Q485" s="2"/>
      <c r="R485" s="2"/>
      <c r="S485" s="2"/>
      <c r="T485" s="2"/>
      <c r="U485" s="2"/>
      <c r="V485" s="2"/>
      <c r="W485" s="2"/>
      <c r="X485" s="2"/>
      <c r="Y485" s="2"/>
      <c r="Z485" s="2"/>
      <c r="AS485" s="20"/>
    </row>
    <row r="486" spans="1:45" ht="67.95" customHeight="1">
      <c r="A486" s="13" t="s">
        <v>2811</v>
      </c>
      <c r="B486" s="13" t="s">
        <v>2812</v>
      </c>
      <c r="C486" s="13" t="s">
        <v>2813</v>
      </c>
      <c r="D486" s="13" t="s">
        <v>2814</v>
      </c>
      <c r="E486" s="13" t="s">
        <v>2815</v>
      </c>
      <c r="F486" s="13">
        <v>2023</v>
      </c>
      <c r="G486" s="13" t="s">
        <v>2816</v>
      </c>
      <c r="H486" s="13" t="s">
        <v>32</v>
      </c>
      <c r="I486" s="13" t="s">
        <v>762</v>
      </c>
      <c r="J486" s="30" t="s">
        <v>567</v>
      </c>
      <c r="K486" s="2"/>
      <c r="L486" s="2"/>
      <c r="M486" s="2"/>
      <c r="N486" s="2"/>
      <c r="O486" s="2"/>
      <c r="P486" s="2"/>
      <c r="Q486" s="2"/>
      <c r="R486" s="2"/>
      <c r="S486" s="2"/>
      <c r="T486" s="2"/>
      <c r="U486" s="2"/>
      <c r="V486" s="2"/>
      <c r="W486" s="2"/>
      <c r="X486" s="2"/>
      <c r="Y486" s="2"/>
      <c r="Z486" s="2"/>
      <c r="AS486" s="20"/>
    </row>
    <row r="487" spans="1:45" ht="67.95" customHeight="1">
      <c r="A487" s="13" t="s">
        <v>2817</v>
      </c>
      <c r="B487" s="13" t="s">
        <v>2818</v>
      </c>
      <c r="C487" s="13" t="s">
        <v>2819</v>
      </c>
      <c r="D487" s="13" t="s">
        <v>2820</v>
      </c>
      <c r="E487" s="13" t="s">
        <v>51</v>
      </c>
      <c r="F487" s="13">
        <v>2025</v>
      </c>
      <c r="G487" s="13" t="s">
        <v>2821</v>
      </c>
      <c r="H487" s="13" t="s">
        <v>32</v>
      </c>
      <c r="I487" s="13" t="s">
        <v>762</v>
      </c>
      <c r="J487" s="30" t="s">
        <v>567</v>
      </c>
      <c r="K487" s="2"/>
      <c r="L487" s="2"/>
      <c r="M487" s="2"/>
      <c r="N487" s="2"/>
      <c r="O487" s="2"/>
      <c r="P487" s="2"/>
      <c r="Q487" s="2"/>
      <c r="R487" s="2"/>
      <c r="S487" s="2"/>
      <c r="T487" s="2"/>
      <c r="U487" s="2"/>
      <c r="V487" s="2"/>
      <c r="W487" s="2"/>
      <c r="X487" s="2"/>
      <c r="Y487" s="2"/>
      <c r="Z487" s="2"/>
      <c r="AS487" s="20"/>
    </row>
    <row r="488" spans="1:45" ht="67.95" customHeight="1">
      <c r="A488" s="13" t="s">
        <v>2822</v>
      </c>
      <c r="B488" s="13" t="s">
        <v>2823</v>
      </c>
      <c r="C488" s="13" t="s">
        <v>2824</v>
      </c>
      <c r="D488" s="13" t="s">
        <v>2825</v>
      </c>
      <c r="E488" s="13" t="s">
        <v>2826</v>
      </c>
      <c r="F488" s="13">
        <v>2018</v>
      </c>
      <c r="G488" s="13" t="s">
        <v>2827</v>
      </c>
      <c r="H488" s="13" t="s">
        <v>32</v>
      </c>
      <c r="I488" s="13" t="s">
        <v>762</v>
      </c>
      <c r="J488" s="30" t="s">
        <v>567</v>
      </c>
      <c r="K488" s="2"/>
      <c r="L488" s="2"/>
      <c r="M488" s="2"/>
      <c r="N488" s="2"/>
      <c r="O488" s="2"/>
      <c r="P488" s="2"/>
      <c r="Q488" s="2"/>
      <c r="R488" s="2"/>
      <c r="S488" s="2"/>
      <c r="T488" s="2"/>
      <c r="U488" s="2"/>
      <c r="V488" s="2"/>
      <c r="W488" s="2"/>
      <c r="X488" s="2"/>
      <c r="Y488" s="2"/>
      <c r="Z488" s="2"/>
      <c r="AS488" s="20"/>
    </row>
    <row r="489" spans="1:45" ht="67.95" customHeight="1">
      <c r="A489" s="13" t="s">
        <v>2828</v>
      </c>
      <c r="B489" s="13" t="s">
        <v>2829</v>
      </c>
      <c r="C489" s="13" t="s">
        <v>2830</v>
      </c>
      <c r="D489" s="13" t="s">
        <v>2831</v>
      </c>
      <c r="E489" s="13" t="s">
        <v>2832</v>
      </c>
      <c r="F489" s="13">
        <v>2021</v>
      </c>
      <c r="G489" s="13" t="s">
        <v>2833</v>
      </c>
      <c r="H489" s="13" t="s">
        <v>32</v>
      </c>
      <c r="I489" s="13" t="s">
        <v>762</v>
      </c>
      <c r="J489" s="30" t="s">
        <v>536</v>
      </c>
      <c r="K489" s="2"/>
      <c r="L489" s="2"/>
      <c r="M489" s="2"/>
      <c r="N489" s="2"/>
      <c r="O489" s="2"/>
      <c r="P489" s="2"/>
      <c r="Q489" s="2"/>
      <c r="R489" s="2"/>
      <c r="S489" s="2"/>
      <c r="T489" s="2"/>
      <c r="U489" s="2"/>
      <c r="V489" s="2"/>
      <c r="W489" s="2"/>
      <c r="X489" s="2"/>
      <c r="Y489" s="2"/>
      <c r="Z489" s="2"/>
      <c r="AS489" s="20"/>
    </row>
    <row r="490" spans="1:45" ht="67.95" customHeight="1">
      <c r="A490" s="13" t="s">
        <v>2834</v>
      </c>
      <c r="B490" s="13" t="s">
        <v>2835</v>
      </c>
      <c r="C490" s="13" t="s">
        <v>2836</v>
      </c>
      <c r="D490" s="13" t="s">
        <v>2837</v>
      </c>
      <c r="E490" s="13" t="s">
        <v>51</v>
      </c>
      <c r="F490" s="13">
        <v>2024</v>
      </c>
      <c r="G490" s="13" t="s">
        <v>2838</v>
      </c>
      <c r="H490" s="13" t="s">
        <v>53</v>
      </c>
      <c r="I490" s="13" t="s">
        <v>762</v>
      </c>
      <c r="J490" s="30" t="s">
        <v>536</v>
      </c>
      <c r="K490" s="2"/>
      <c r="L490" s="2"/>
      <c r="M490" s="2"/>
      <c r="N490" s="2"/>
      <c r="O490" s="2"/>
      <c r="P490" s="2"/>
      <c r="Q490" s="2"/>
      <c r="R490" s="2"/>
      <c r="S490" s="2"/>
      <c r="T490" s="2"/>
      <c r="U490" s="2"/>
      <c r="V490" s="2"/>
      <c r="W490" s="2"/>
      <c r="X490" s="2"/>
      <c r="Y490" s="2"/>
      <c r="Z490" s="2"/>
      <c r="AS490" s="20"/>
    </row>
    <row r="491" spans="1:45" ht="67.95" customHeight="1">
      <c r="A491" s="13" t="s">
        <v>2839</v>
      </c>
      <c r="B491" s="13" t="s">
        <v>2840</v>
      </c>
      <c r="C491" s="13" t="s">
        <v>2841</v>
      </c>
      <c r="D491" s="13" t="s">
        <v>2842</v>
      </c>
      <c r="E491" s="13" t="s">
        <v>2843</v>
      </c>
      <c r="F491" s="13">
        <v>2025</v>
      </c>
      <c r="G491" s="13" t="s">
        <v>2844</v>
      </c>
      <c r="H491" s="13" t="s">
        <v>53</v>
      </c>
      <c r="I491" s="13" t="s">
        <v>762</v>
      </c>
      <c r="J491" s="30" t="s">
        <v>536</v>
      </c>
      <c r="K491" s="2"/>
      <c r="L491" s="2"/>
      <c r="M491" s="2"/>
      <c r="N491" s="2"/>
      <c r="O491" s="2"/>
      <c r="P491" s="2"/>
      <c r="Q491" s="2"/>
      <c r="R491" s="2"/>
      <c r="S491" s="2"/>
      <c r="T491" s="2"/>
      <c r="U491" s="2"/>
      <c r="V491" s="2"/>
      <c r="W491" s="2"/>
      <c r="X491" s="2"/>
      <c r="Y491" s="2"/>
      <c r="Z491" s="2"/>
      <c r="AS491" s="20"/>
    </row>
    <row r="492" spans="1:45" ht="67.95" customHeight="1">
      <c r="A492" s="13" t="s">
        <v>2845</v>
      </c>
      <c r="B492" s="13" t="s">
        <v>2846</v>
      </c>
      <c r="C492" s="13" t="s">
        <v>2847</v>
      </c>
      <c r="D492" s="13" t="s">
        <v>2848</v>
      </c>
      <c r="E492" s="13" t="s">
        <v>2849</v>
      </c>
      <c r="F492" s="13">
        <v>2023</v>
      </c>
      <c r="G492" s="13" t="s">
        <v>2850</v>
      </c>
      <c r="H492" s="13" t="s">
        <v>53</v>
      </c>
      <c r="I492" s="13" t="s">
        <v>762</v>
      </c>
      <c r="J492" s="30" t="s">
        <v>536</v>
      </c>
      <c r="K492" s="2"/>
      <c r="L492" s="2"/>
      <c r="M492" s="2"/>
      <c r="N492" s="2"/>
      <c r="O492" s="2"/>
      <c r="P492" s="2"/>
      <c r="Q492" s="2"/>
      <c r="R492" s="2"/>
      <c r="S492" s="2"/>
      <c r="T492" s="2"/>
      <c r="U492" s="2"/>
      <c r="V492" s="2"/>
      <c r="W492" s="2"/>
      <c r="X492" s="2"/>
      <c r="Y492" s="2"/>
      <c r="Z492" s="2"/>
      <c r="AS492" s="20"/>
    </row>
    <row r="493" spans="1:45" ht="67.95" customHeight="1">
      <c r="A493" s="13" t="s">
        <v>2851</v>
      </c>
      <c r="B493" s="13" t="s">
        <v>2852</v>
      </c>
      <c r="C493" s="13" t="s">
        <v>2853</v>
      </c>
      <c r="D493" s="13" t="s">
        <v>2854</v>
      </c>
      <c r="E493" s="13" t="s">
        <v>51</v>
      </c>
      <c r="F493" s="13">
        <v>2025</v>
      </c>
      <c r="G493" s="13" t="s">
        <v>2855</v>
      </c>
      <c r="H493" s="13" t="s">
        <v>32</v>
      </c>
      <c r="I493" s="13" t="s">
        <v>762</v>
      </c>
      <c r="J493" s="30" t="s">
        <v>536</v>
      </c>
      <c r="K493" s="2"/>
      <c r="L493" s="2"/>
      <c r="M493" s="2"/>
      <c r="N493" s="2"/>
      <c r="O493" s="2"/>
      <c r="P493" s="2"/>
      <c r="Q493" s="2"/>
      <c r="R493" s="2"/>
      <c r="S493" s="2"/>
      <c r="T493" s="2"/>
      <c r="U493" s="2"/>
      <c r="V493" s="2"/>
      <c r="W493" s="2"/>
      <c r="X493" s="2"/>
      <c r="Y493" s="2"/>
      <c r="Z493" s="2"/>
      <c r="AS493" s="20"/>
    </row>
    <row r="494" spans="1:45" ht="67.95" customHeight="1">
      <c r="A494" s="13" t="s">
        <v>2856</v>
      </c>
      <c r="B494" s="13" t="s">
        <v>2857</v>
      </c>
      <c r="C494" s="13" t="s">
        <v>2858</v>
      </c>
      <c r="D494" s="13" t="s">
        <v>2859</v>
      </c>
      <c r="E494" s="13" t="s">
        <v>2860</v>
      </c>
      <c r="F494" s="13">
        <v>2023</v>
      </c>
      <c r="G494" s="13" t="s">
        <v>2844</v>
      </c>
      <c r="H494" s="13" t="s">
        <v>53</v>
      </c>
      <c r="I494" s="13" t="s">
        <v>762</v>
      </c>
      <c r="J494" s="30" t="s">
        <v>536</v>
      </c>
      <c r="K494" s="2"/>
      <c r="L494" s="2"/>
      <c r="M494" s="2"/>
      <c r="N494" s="2"/>
      <c r="O494" s="2"/>
      <c r="P494" s="2"/>
      <c r="Q494" s="2"/>
      <c r="R494" s="2"/>
      <c r="S494" s="2"/>
      <c r="T494" s="2"/>
      <c r="U494" s="2"/>
      <c r="V494" s="2"/>
      <c r="W494" s="2"/>
      <c r="X494" s="2"/>
      <c r="Y494" s="2"/>
      <c r="Z494" s="2"/>
      <c r="AS494" s="20"/>
    </row>
    <row r="495" spans="1:45" ht="67.95" customHeight="1">
      <c r="A495" s="13" t="s">
        <v>2861</v>
      </c>
      <c r="B495" s="13" t="s">
        <v>2862</v>
      </c>
      <c r="C495" s="13" t="s">
        <v>51</v>
      </c>
      <c r="D495" s="13" t="s">
        <v>2863</v>
      </c>
      <c r="E495" s="13" t="s">
        <v>2864</v>
      </c>
      <c r="F495" s="13">
        <v>2023</v>
      </c>
      <c r="G495" s="13" t="s">
        <v>2564</v>
      </c>
      <c r="H495" s="13" t="s">
        <v>32</v>
      </c>
      <c r="I495" s="13" t="s">
        <v>762</v>
      </c>
      <c r="J495" s="30" t="s">
        <v>658</v>
      </c>
      <c r="K495" s="2"/>
      <c r="L495" s="2"/>
      <c r="M495" s="2"/>
      <c r="N495" s="2"/>
      <c r="O495" s="2"/>
      <c r="P495" s="2"/>
      <c r="Q495" s="2"/>
      <c r="R495" s="2"/>
      <c r="S495" s="2"/>
      <c r="T495" s="2"/>
      <c r="U495" s="2"/>
      <c r="V495" s="2"/>
      <c r="W495" s="2"/>
      <c r="X495" s="2"/>
      <c r="Y495" s="2"/>
      <c r="Z495" s="2"/>
      <c r="AS495" s="20"/>
    </row>
    <row r="496" spans="1:45" ht="67.95" customHeight="1">
      <c r="A496" s="13" t="s">
        <v>2865</v>
      </c>
      <c r="B496" s="13" t="s">
        <v>2866</v>
      </c>
      <c r="C496" s="13" t="s">
        <v>51</v>
      </c>
      <c r="D496" s="13" t="s">
        <v>2867</v>
      </c>
      <c r="E496" s="13" t="s">
        <v>2868</v>
      </c>
      <c r="F496" s="13">
        <v>2022</v>
      </c>
      <c r="G496" s="13" t="s">
        <v>2564</v>
      </c>
      <c r="H496" s="13" t="s">
        <v>32</v>
      </c>
      <c r="I496" s="13" t="s">
        <v>762</v>
      </c>
      <c r="J496" s="30" t="s">
        <v>658</v>
      </c>
      <c r="K496" s="2"/>
      <c r="L496" s="2"/>
      <c r="M496" s="2"/>
      <c r="N496" s="2"/>
      <c r="O496" s="2"/>
      <c r="P496" s="2"/>
      <c r="Q496" s="2"/>
      <c r="R496" s="2"/>
      <c r="S496" s="2"/>
      <c r="T496" s="2"/>
      <c r="U496" s="2"/>
      <c r="V496" s="2"/>
      <c r="W496" s="2"/>
      <c r="X496" s="2"/>
      <c r="Y496" s="2"/>
      <c r="Z496" s="2"/>
      <c r="AS496" s="20"/>
    </row>
    <row r="497" spans="1:45" ht="67.95" customHeight="1">
      <c r="A497" s="13" t="s">
        <v>2869</v>
      </c>
      <c r="B497" s="13" t="s">
        <v>51</v>
      </c>
      <c r="C497" s="13" t="s">
        <v>51</v>
      </c>
      <c r="D497" s="13" t="s">
        <v>2870</v>
      </c>
      <c r="E497" s="13" t="s">
        <v>51</v>
      </c>
      <c r="F497" s="13">
        <v>2020</v>
      </c>
      <c r="G497" s="13" t="s">
        <v>2871</v>
      </c>
      <c r="H497" s="13" t="s">
        <v>32</v>
      </c>
      <c r="I497" s="13" t="s">
        <v>762</v>
      </c>
      <c r="J497" s="30" t="s">
        <v>658</v>
      </c>
      <c r="K497" s="2"/>
      <c r="L497" s="2"/>
      <c r="M497" s="2"/>
      <c r="N497" s="2"/>
      <c r="O497" s="2"/>
      <c r="P497" s="2"/>
      <c r="Q497" s="2"/>
      <c r="R497" s="2"/>
      <c r="S497" s="2"/>
      <c r="T497" s="2"/>
      <c r="U497" s="2"/>
      <c r="V497" s="2"/>
      <c r="W497" s="2"/>
      <c r="X497" s="2"/>
      <c r="Y497" s="2"/>
      <c r="Z497" s="2"/>
      <c r="AS497" s="20"/>
    </row>
    <row r="498" spans="1:45" ht="67.95" customHeight="1">
      <c r="A498" s="13" t="s">
        <v>2872</v>
      </c>
      <c r="B498" s="13" t="s">
        <v>2873</v>
      </c>
      <c r="C498" s="13" t="s">
        <v>2874</v>
      </c>
      <c r="D498" s="13" t="s">
        <v>2875</v>
      </c>
      <c r="E498" s="13" t="s">
        <v>51</v>
      </c>
      <c r="F498" s="13">
        <v>2017</v>
      </c>
      <c r="G498" s="13" t="s">
        <v>2876</v>
      </c>
      <c r="H498" s="13" t="s">
        <v>53</v>
      </c>
      <c r="I498" s="13" t="s">
        <v>762</v>
      </c>
      <c r="J498" s="30" t="s">
        <v>536</v>
      </c>
      <c r="K498" s="2"/>
      <c r="L498" s="2"/>
      <c r="M498" s="2"/>
      <c r="N498" s="2"/>
      <c r="O498" s="2"/>
      <c r="P498" s="2"/>
      <c r="Q498" s="2"/>
      <c r="R498" s="2"/>
      <c r="S498" s="2"/>
      <c r="T498" s="2"/>
      <c r="U498" s="2"/>
      <c r="V498" s="2"/>
      <c r="W498" s="2"/>
      <c r="X498" s="2"/>
      <c r="Y498" s="2"/>
      <c r="Z498" s="2"/>
      <c r="AS498" s="20"/>
    </row>
    <row r="499" spans="1:45" ht="67.95" customHeight="1">
      <c r="A499" s="13" t="s">
        <v>2877</v>
      </c>
      <c r="B499" s="13" t="s">
        <v>2878</v>
      </c>
      <c r="C499" s="13" t="s">
        <v>2879</v>
      </c>
      <c r="D499" s="13" t="s">
        <v>2880</v>
      </c>
      <c r="E499" s="13" t="s">
        <v>2881</v>
      </c>
      <c r="F499" s="13">
        <v>2024</v>
      </c>
      <c r="G499" s="13" t="s">
        <v>2882</v>
      </c>
      <c r="H499" s="13" t="s">
        <v>32</v>
      </c>
      <c r="I499" s="13" t="s">
        <v>762</v>
      </c>
      <c r="J499" s="30" t="s">
        <v>536</v>
      </c>
      <c r="K499" s="2"/>
      <c r="L499" s="2"/>
      <c r="M499" s="2"/>
      <c r="N499" s="2"/>
      <c r="O499" s="2"/>
      <c r="P499" s="2"/>
      <c r="Q499" s="2"/>
      <c r="R499" s="2"/>
      <c r="S499" s="2"/>
      <c r="T499" s="2"/>
      <c r="U499" s="2"/>
      <c r="V499" s="2"/>
      <c r="W499" s="2"/>
      <c r="X499" s="2"/>
      <c r="Y499" s="2"/>
      <c r="Z499" s="2"/>
      <c r="AS499" s="20"/>
    </row>
    <row r="500" spans="1:45" ht="67.95" customHeight="1">
      <c r="A500" s="13" t="s">
        <v>2883</v>
      </c>
      <c r="B500" s="13" t="s">
        <v>2884</v>
      </c>
      <c r="C500" s="13" t="s">
        <v>2885</v>
      </c>
      <c r="D500" s="13" t="s">
        <v>2886</v>
      </c>
      <c r="E500" s="13" t="s">
        <v>2887</v>
      </c>
      <c r="F500" s="13">
        <v>2025</v>
      </c>
      <c r="G500" s="13" t="s">
        <v>2888</v>
      </c>
      <c r="H500" s="13" t="s">
        <v>32</v>
      </c>
      <c r="I500" s="13" t="s">
        <v>762</v>
      </c>
      <c r="J500" s="30" t="s">
        <v>567</v>
      </c>
      <c r="K500" s="2"/>
      <c r="L500" s="2"/>
      <c r="M500" s="2"/>
      <c r="N500" s="2"/>
      <c r="O500" s="2"/>
      <c r="P500" s="2"/>
      <c r="Q500" s="2"/>
      <c r="R500" s="2"/>
      <c r="S500" s="2"/>
      <c r="T500" s="2"/>
      <c r="U500" s="2"/>
      <c r="V500" s="2"/>
      <c r="W500" s="2"/>
      <c r="X500" s="2"/>
      <c r="Y500" s="2"/>
      <c r="Z500" s="2"/>
      <c r="AS500" s="20"/>
    </row>
    <row r="501" spans="1:45" ht="67.95" customHeight="1">
      <c r="A501" s="13" t="s">
        <v>2889</v>
      </c>
      <c r="B501" s="13" t="s">
        <v>2890</v>
      </c>
      <c r="C501" s="13" t="s">
        <v>2891</v>
      </c>
      <c r="D501" s="13" t="s">
        <v>2892</v>
      </c>
      <c r="E501" s="13" t="s">
        <v>2893</v>
      </c>
      <c r="F501" s="13">
        <v>2021</v>
      </c>
      <c r="G501" s="13" t="s">
        <v>2894</v>
      </c>
      <c r="H501" s="13" t="s">
        <v>32</v>
      </c>
      <c r="I501" s="13" t="s">
        <v>762</v>
      </c>
      <c r="J501" s="30" t="s">
        <v>882</v>
      </c>
      <c r="K501" s="2"/>
      <c r="L501" s="2"/>
      <c r="M501" s="2"/>
      <c r="N501" s="2"/>
      <c r="O501" s="2"/>
      <c r="P501" s="2"/>
      <c r="Q501" s="2"/>
      <c r="R501" s="2"/>
      <c r="S501" s="2"/>
      <c r="T501" s="2"/>
      <c r="U501" s="2"/>
      <c r="V501" s="2"/>
      <c r="W501" s="2"/>
      <c r="X501" s="2"/>
      <c r="Y501" s="2"/>
      <c r="Z501" s="2"/>
      <c r="AS501" s="20"/>
    </row>
    <row r="502" spans="1:45" ht="67.95" customHeight="1">
      <c r="A502" s="13" t="s">
        <v>2895</v>
      </c>
      <c r="B502" s="13" t="s">
        <v>2896</v>
      </c>
      <c r="C502" s="13" t="s">
        <v>2897</v>
      </c>
      <c r="D502" s="13" t="s">
        <v>2898</v>
      </c>
      <c r="E502" s="13" t="s">
        <v>51</v>
      </c>
      <c r="F502" s="13">
        <v>2023</v>
      </c>
      <c r="G502" s="13" t="s">
        <v>2899</v>
      </c>
      <c r="H502" s="13" t="s">
        <v>136</v>
      </c>
      <c r="I502" s="13" t="s">
        <v>762</v>
      </c>
      <c r="J502" s="30" t="s">
        <v>567</v>
      </c>
      <c r="K502" s="2"/>
      <c r="L502" s="2"/>
      <c r="M502" s="2"/>
      <c r="N502" s="2"/>
      <c r="O502" s="2"/>
      <c r="P502" s="2"/>
      <c r="Q502" s="2"/>
      <c r="R502" s="2"/>
      <c r="S502" s="2"/>
      <c r="T502" s="2"/>
      <c r="U502" s="2"/>
      <c r="V502" s="2"/>
      <c r="W502" s="2"/>
      <c r="X502" s="2"/>
      <c r="Y502" s="2"/>
      <c r="Z502" s="2"/>
      <c r="AS502" s="20"/>
    </row>
    <row r="503" spans="1:45" ht="67.95" customHeight="1">
      <c r="A503" s="13" t="s">
        <v>2900</v>
      </c>
      <c r="B503" s="13" t="s">
        <v>2901</v>
      </c>
      <c r="C503" s="13" t="s">
        <v>2902</v>
      </c>
      <c r="D503" s="13" t="s">
        <v>2903</v>
      </c>
      <c r="E503" s="13" t="s">
        <v>2904</v>
      </c>
      <c r="F503" s="13">
        <v>2025</v>
      </c>
      <c r="G503" s="13" t="s">
        <v>1713</v>
      </c>
      <c r="H503" s="13" t="s">
        <v>32</v>
      </c>
      <c r="I503" s="13" t="s">
        <v>762</v>
      </c>
      <c r="J503" s="30" t="s">
        <v>543</v>
      </c>
      <c r="K503" s="2"/>
      <c r="L503" s="2"/>
      <c r="M503" s="2"/>
      <c r="N503" s="2"/>
      <c r="O503" s="2"/>
      <c r="P503" s="2"/>
      <c r="Q503" s="2"/>
      <c r="R503" s="2"/>
      <c r="S503" s="2"/>
      <c r="T503" s="2"/>
      <c r="U503" s="2"/>
      <c r="V503" s="2"/>
      <c r="W503" s="2"/>
      <c r="X503" s="2"/>
      <c r="Y503" s="2"/>
      <c r="Z503" s="2"/>
      <c r="AS503" s="20"/>
    </row>
    <row r="504" spans="1:45" ht="67.95" customHeight="1">
      <c r="A504" s="13" t="s">
        <v>2905</v>
      </c>
      <c r="B504" s="13" t="s">
        <v>2906</v>
      </c>
      <c r="C504" s="13" t="s">
        <v>2907</v>
      </c>
      <c r="D504" s="13" t="s">
        <v>2908</v>
      </c>
      <c r="E504" s="13" t="s">
        <v>2909</v>
      </c>
      <c r="F504" s="13">
        <v>2023</v>
      </c>
      <c r="G504" s="13" t="s">
        <v>2910</v>
      </c>
      <c r="H504" s="13" t="s">
        <v>32</v>
      </c>
      <c r="I504" s="13" t="s">
        <v>762</v>
      </c>
      <c r="J504" s="30" t="s">
        <v>567</v>
      </c>
      <c r="K504" s="2"/>
      <c r="L504" s="2"/>
      <c r="M504" s="2"/>
      <c r="N504" s="2"/>
      <c r="O504" s="2"/>
      <c r="P504" s="2"/>
      <c r="Q504" s="2"/>
      <c r="R504" s="2"/>
      <c r="S504" s="2"/>
      <c r="T504" s="2"/>
      <c r="U504" s="2"/>
      <c r="V504" s="2"/>
      <c r="W504" s="2"/>
      <c r="X504" s="2"/>
      <c r="Y504" s="2"/>
      <c r="Z504" s="2"/>
      <c r="AS504" s="20"/>
    </row>
    <row r="505" spans="1:45" ht="67.95" customHeight="1">
      <c r="A505" s="13" t="s">
        <v>2911</v>
      </c>
      <c r="B505" s="13" t="s">
        <v>2912</v>
      </c>
      <c r="C505" s="13" t="s">
        <v>2913</v>
      </c>
      <c r="D505" s="13" t="s">
        <v>2914</v>
      </c>
      <c r="E505" s="13" t="s">
        <v>2915</v>
      </c>
      <c r="F505" s="13">
        <v>2022</v>
      </c>
      <c r="G505" s="13" t="s">
        <v>2916</v>
      </c>
      <c r="H505" s="13" t="s">
        <v>32</v>
      </c>
      <c r="I505" s="13" t="s">
        <v>762</v>
      </c>
      <c r="J505" s="30" t="s">
        <v>579</v>
      </c>
      <c r="K505" s="2"/>
      <c r="L505" s="2"/>
      <c r="M505" s="2"/>
      <c r="N505" s="2"/>
      <c r="O505" s="2"/>
      <c r="P505" s="2"/>
      <c r="Q505" s="2"/>
      <c r="R505" s="2"/>
      <c r="S505" s="2"/>
      <c r="T505" s="2"/>
      <c r="U505" s="2"/>
      <c r="V505" s="2"/>
      <c r="W505" s="2"/>
      <c r="X505" s="2"/>
      <c r="Y505" s="2"/>
      <c r="Z505" s="2"/>
      <c r="AS505" s="20"/>
    </row>
    <row r="506" spans="1:45" ht="67.95" customHeight="1">
      <c r="A506" s="13" t="s">
        <v>2917</v>
      </c>
      <c r="B506" s="13" t="s">
        <v>2918</v>
      </c>
      <c r="C506" s="13" t="s">
        <v>2919</v>
      </c>
      <c r="D506" s="13" t="s">
        <v>2920</v>
      </c>
      <c r="E506" s="13" t="s">
        <v>2921</v>
      </c>
      <c r="F506" s="13">
        <v>2021</v>
      </c>
      <c r="G506" s="13" t="s">
        <v>694</v>
      </c>
      <c r="H506" s="13" t="s">
        <v>32</v>
      </c>
      <c r="I506" s="13" t="s">
        <v>762</v>
      </c>
      <c r="J506" s="30" t="s">
        <v>567</v>
      </c>
      <c r="K506" s="2"/>
      <c r="L506" s="2"/>
      <c r="M506" s="2"/>
      <c r="N506" s="2"/>
      <c r="O506" s="2"/>
      <c r="P506" s="2"/>
      <c r="Q506" s="2"/>
      <c r="R506" s="2"/>
      <c r="S506" s="2"/>
      <c r="T506" s="2"/>
      <c r="U506" s="2"/>
      <c r="V506" s="2"/>
      <c r="W506" s="2"/>
      <c r="X506" s="2"/>
      <c r="Y506" s="2"/>
      <c r="Z506" s="2"/>
      <c r="AS506" s="20"/>
    </row>
    <row r="507" spans="1:45" ht="67.95" customHeight="1">
      <c r="A507" s="13" t="s">
        <v>2922</v>
      </c>
      <c r="B507" s="13" t="s">
        <v>2923</v>
      </c>
      <c r="C507" s="13" t="s">
        <v>2924</v>
      </c>
      <c r="D507" s="13" t="s">
        <v>2925</v>
      </c>
      <c r="E507" s="13" t="s">
        <v>2926</v>
      </c>
      <c r="F507" s="13">
        <v>2019</v>
      </c>
      <c r="G507" s="13" t="s">
        <v>2927</v>
      </c>
      <c r="H507" s="13" t="s">
        <v>32</v>
      </c>
      <c r="I507" s="13" t="s">
        <v>762</v>
      </c>
      <c r="J507" s="30" t="s">
        <v>646</v>
      </c>
      <c r="K507" s="2"/>
      <c r="L507" s="2"/>
      <c r="M507" s="2"/>
      <c r="N507" s="2"/>
      <c r="O507" s="2"/>
      <c r="P507" s="2"/>
      <c r="Q507" s="2"/>
      <c r="R507" s="2"/>
      <c r="S507" s="2"/>
      <c r="T507" s="2"/>
      <c r="U507" s="2"/>
      <c r="V507" s="2"/>
      <c r="W507" s="2"/>
      <c r="X507" s="2"/>
      <c r="Y507" s="2"/>
      <c r="Z507" s="2"/>
      <c r="AS507" s="20"/>
    </row>
    <row r="508" spans="1:45" ht="67.95" customHeight="1">
      <c r="A508" s="13" t="s">
        <v>2928</v>
      </c>
      <c r="B508" s="13" t="s">
        <v>2929</v>
      </c>
      <c r="C508" s="13" t="s">
        <v>2930</v>
      </c>
      <c r="D508" s="13" t="s">
        <v>2931</v>
      </c>
      <c r="E508" s="13" t="s">
        <v>2932</v>
      </c>
      <c r="F508" s="13">
        <v>2023</v>
      </c>
      <c r="G508" s="13" t="s">
        <v>2933</v>
      </c>
      <c r="H508" s="13" t="s">
        <v>32</v>
      </c>
      <c r="I508" s="13" t="s">
        <v>762</v>
      </c>
      <c r="J508" s="30" t="s">
        <v>543</v>
      </c>
      <c r="K508" s="2"/>
      <c r="L508" s="2"/>
      <c r="M508" s="2"/>
      <c r="N508" s="2"/>
      <c r="O508" s="2"/>
      <c r="P508" s="2"/>
      <c r="Q508" s="2"/>
      <c r="R508" s="2"/>
      <c r="S508" s="2"/>
      <c r="T508" s="2"/>
      <c r="U508" s="2"/>
      <c r="V508" s="2"/>
      <c r="W508" s="2"/>
      <c r="X508" s="2"/>
      <c r="Y508" s="2"/>
      <c r="Z508" s="2"/>
      <c r="AS508" s="20"/>
    </row>
    <row r="509" spans="1:45" ht="67.95" customHeight="1">
      <c r="A509" s="13" t="s">
        <v>2934</v>
      </c>
      <c r="B509" s="13" t="s">
        <v>2935</v>
      </c>
      <c r="C509" s="13" t="s">
        <v>2936</v>
      </c>
      <c r="D509" s="13" t="s">
        <v>2937</v>
      </c>
      <c r="E509" s="13" t="s">
        <v>2938</v>
      </c>
      <c r="F509" s="13">
        <v>2021</v>
      </c>
      <c r="G509" s="13" t="s">
        <v>627</v>
      </c>
      <c r="H509" s="13" t="s">
        <v>32</v>
      </c>
      <c r="I509" s="13" t="s">
        <v>762</v>
      </c>
      <c r="J509" s="30" t="s">
        <v>882</v>
      </c>
      <c r="K509" s="2"/>
      <c r="L509" s="2"/>
      <c r="M509" s="2"/>
      <c r="N509" s="2"/>
      <c r="O509" s="2"/>
      <c r="P509" s="2"/>
      <c r="Q509" s="2"/>
      <c r="R509" s="2"/>
      <c r="S509" s="2"/>
      <c r="T509" s="2"/>
      <c r="U509" s="2"/>
      <c r="V509" s="2"/>
      <c r="W509" s="2"/>
      <c r="X509" s="2"/>
      <c r="Y509" s="2"/>
      <c r="Z509" s="2"/>
      <c r="AS509" s="20"/>
    </row>
    <row r="510" spans="1:45" ht="67.95" customHeight="1">
      <c r="A510" s="13" t="s">
        <v>2939</v>
      </c>
      <c r="B510" s="13" t="s">
        <v>2940</v>
      </c>
      <c r="C510" s="13" t="s">
        <v>2941</v>
      </c>
      <c r="D510" s="13" t="s">
        <v>2942</v>
      </c>
      <c r="E510" s="13" t="s">
        <v>2943</v>
      </c>
      <c r="F510" s="13">
        <v>2019</v>
      </c>
      <c r="G510" s="13" t="s">
        <v>2944</v>
      </c>
      <c r="H510" s="13" t="s">
        <v>53</v>
      </c>
      <c r="I510" s="13" t="s">
        <v>762</v>
      </c>
      <c r="J510" s="30" t="s">
        <v>536</v>
      </c>
      <c r="K510" s="2"/>
      <c r="L510" s="2"/>
      <c r="M510" s="2"/>
      <c r="N510" s="2"/>
      <c r="O510" s="2"/>
      <c r="P510" s="2"/>
      <c r="Q510" s="2"/>
      <c r="R510" s="2"/>
      <c r="S510" s="2"/>
      <c r="T510" s="2"/>
      <c r="U510" s="2"/>
      <c r="V510" s="2"/>
      <c r="W510" s="2"/>
      <c r="X510" s="2"/>
      <c r="Y510" s="2"/>
      <c r="Z510" s="2"/>
      <c r="AS510" s="20"/>
    </row>
    <row r="511" spans="1:45" ht="67.95" customHeight="1">
      <c r="A511" s="13" t="s">
        <v>2945</v>
      </c>
      <c r="B511" s="13" t="s">
        <v>2946</v>
      </c>
      <c r="C511" s="13" t="s">
        <v>2947</v>
      </c>
      <c r="D511" s="13" t="s">
        <v>2948</v>
      </c>
      <c r="E511" s="13" t="s">
        <v>2949</v>
      </c>
      <c r="F511" s="13">
        <v>2025</v>
      </c>
      <c r="G511" s="13" t="s">
        <v>1391</v>
      </c>
      <c r="H511" s="13" t="s">
        <v>53</v>
      </c>
      <c r="I511" s="13" t="s">
        <v>762</v>
      </c>
      <c r="J511" s="30" t="s">
        <v>536</v>
      </c>
      <c r="K511" s="2"/>
      <c r="L511" s="2"/>
      <c r="M511" s="2"/>
      <c r="N511" s="2"/>
      <c r="O511" s="2"/>
      <c r="P511" s="2"/>
      <c r="Q511" s="2"/>
      <c r="R511" s="2"/>
      <c r="S511" s="2"/>
      <c r="T511" s="2"/>
      <c r="U511" s="2"/>
      <c r="V511" s="2"/>
      <c r="W511" s="2"/>
      <c r="X511" s="2"/>
      <c r="Y511" s="2"/>
      <c r="Z511" s="2"/>
      <c r="AS511" s="20"/>
    </row>
    <row r="512" spans="1:45" ht="67.95" customHeight="1">
      <c r="A512" s="13" t="s">
        <v>2950</v>
      </c>
      <c r="B512" s="13" t="s">
        <v>2951</v>
      </c>
      <c r="C512" s="13" t="s">
        <v>2952</v>
      </c>
      <c r="D512" s="13" t="s">
        <v>2953</v>
      </c>
      <c r="E512" s="13" t="s">
        <v>2954</v>
      </c>
      <c r="F512" s="13">
        <v>2019</v>
      </c>
      <c r="G512" s="13" t="s">
        <v>1391</v>
      </c>
      <c r="H512" s="13" t="s">
        <v>53</v>
      </c>
      <c r="I512" s="13" t="s">
        <v>762</v>
      </c>
      <c r="J512" s="30" t="s">
        <v>646</v>
      </c>
      <c r="K512" s="2"/>
      <c r="L512" s="2"/>
      <c r="M512" s="2"/>
      <c r="N512" s="2"/>
      <c r="O512" s="2"/>
      <c r="P512" s="2"/>
      <c r="Q512" s="2"/>
      <c r="R512" s="2"/>
      <c r="S512" s="2"/>
      <c r="T512" s="2"/>
      <c r="U512" s="2"/>
      <c r="V512" s="2"/>
      <c r="W512" s="2"/>
      <c r="X512" s="2"/>
      <c r="Y512" s="2"/>
      <c r="Z512" s="2"/>
      <c r="AS512" s="20"/>
    </row>
    <row r="513" spans="1:45" ht="67.95" customHeight="1">
      <c r="A513" s="13" t="s">
        <v>2955</v>
      </c>
      <c r="B513" s="13" t="s">
        <v>2956</v>
      </c>
      <c r="C513" s="13" t="s">
        <v>2957</v>
      </c>
      <c r="D513" s="13" t="s">
        <v>2958</v>
      </c>
      <c r="E513" s="13" t="s">
        <v>2959</v>
      </c>
      <c r="F513" s="13">
        <v>2023</v>
      </c>
      <c r="G513" s="13" t="s">
        <v>2960</v>
      </c>
      <c r="H513" s="13" t="s">
        <v>32</v>
      </c>
      <c r="I513" s="13" t="s">
        <v>762</v>
      </c>
      <c r="J513" s="30" t="s">
        <v>536</v>
      </c>
      <c r="K513" s="2"/>
      <c r="L513" s="2"/>
      <c r="M513" s="2"/>
      <c r="N513" s="2"/>
      <c r="O513" s="2"/>
      <c r="P513" s="2"/>
      <c r="Q513" s="2"/>
      <c r="R513" s="2"/>
      <c r="S513" s="2"/>
      <c r="T513" s="2"/>
      <c r="U513" s="2"/>
      <c r="V513" s="2"/>
      <c r="W513" s="2"/>
      <c r="X513" s="2"/>
      <c r="Y513" s="2"/>
      <c r="Z513" s="2"/>
      <c r="AS513" s="20"/>
    </row>
    <row r="514" spans="1:45" ht="67.95" customHeight="1">
      <c r="A514" s="13" t="s">
        <v>2961</v>
      </c>
      <c r="B514" s="13" t="s">
        <v>2962</v>
      </c>
      <c r="C514" s="13" t="s">
        <v>2963</v>
      </c>
      <c r="D514" s="13" t="s">
        <v>2964</v>
      </c>
      <c r="E514" s="13" t="s">
        <v>2965</v>
      </c>
      <c r="F514" s="13">
        <v>2016</v>
      </c>
      <c r="G514" s="13" t="s">
        <v>2966</v>
      </c>
      <c r="H514" s="13" t="s">
        <v>53</v>
      </c>
      <c r="I514" s="13" t="s">
        <v>762</v>
      </c>
      <c r="J514" s="30" t="s">
        <v>536</v>
      </c>
      <c r="K514" s="2"/>
      <c r="L514" s="2"/>
      <c r="M514" s="2"/>
      <c r="N514" s="2"/>
      <c r="O514" s="2"/>
      <c r="P514" s="2"/>
      <c r="Q514" s="2"/>
      <c r="R514" s="2"/>
      <c r="S514" s="2"/>
      <c r="T514" s="2"/>
      <c r="U514" s="2"/>
      <c r="V514" s="2"/>
      <c r="W514" s="2"/>
      <c r="X514" s="2"/>
      <c r="Y514" s="2"/>
      <c r="Z514" s="2"/>
      <c r="AS514" s="20"/>
    </row>
    <row r="515" spans="1:45" ht="67.95" customHeight="1">
      <c r="A515" s="13" t="s">
        <v>2967</v>
      </c>
      <c r="B515" s="13" t="s">
        <v>2968</v>
      </c>
      <c r="C515" s="13" t="s">
        <v>2969</v>
      </c>
      <c r="D515" s="13" t="s">
        <v>2970</v>
      </c>
      <c r="E515" s="13" t="s">
        <v>2971</v>
      </c>
      <c r="F515" s="13">
        <v>2020</v>
      </c>
      <c r="G515" s="13" t="s">
        <v>688</v>
      </c>
      <c r="H515" s="13" t="s">
        <v>32</v>
      </c>
      <c r="I515" s="13" t="s">
        <v>762</v>
      </c>
      <c r="J515" s="30" t="s">
        <v>567</v>
      </c>
      <c r="K515" s="2"/>
      <c r="L515" s="2"/>
      <c r="M515" s="2"/>
      <c r="N515" s="2"/>
      <c r="O515" s="2"/>
      <c r="P515" s="2"/>
      <c r="Q515" s="2"/>
      <c r="R515" s="2"/>
      <c r="S515" s="2"/>
      <c r="T515" s="2"/>
      <c r="U515" s="2"/>
      <c r="V515" s="2"/>
      <c r="W515" s="2"/>
      <c r="X515" s="2"/>
      <c r="Y515" s="2"/>
      <c r="Z515" s="2"/>
      <c r="AS515" s="20"/>
    </row>
    <row r="516" spans="1:45" ht="67.95" customHeight="1">
      <c r="A516" s="13" t="s">
        <v>2972</v>
      </c>
      <c r="B516" s="13" t="s">
        <v>2973</v>
      </c>
      <c r="C516" s="13" t="s">
        <v>2974</v>
      </c>
      <c r="D516" s="13" t="s">
        <v>2975</v>
      </c>
      <c r="E516" s="13" t="s">
        <v>2976</v>
      </c>
      <c r="F516" s="13">
        <v>2022</v>
      </c>
      <c r="G516" s="13" t="s">
        <v>2977</v>
      </c>
      <c r="H516" s="13" t="s">
        <v>32</v>
      </c>
      <c r="I516" s="13" t="s">
        <v>762</v>
      </c>
      <c r="J516" s="30" t="s">
        <v>567</v>
      </c>
      <c r="K516" s="2"/>
      <c r="L516" s="2"/>
      <c r="M516" s="2"/>
      <c r="N516" s="2"/>
      <c r="O516" s="2"/>
      <c r="P516" s="2"/>
      <c r="Q516" s="2"/>
      <c r="R516" s="2"/>
      <c r="S516" s="2"/>
      <c r="T516" s="2"/>
      <c r="U516" s="2"/>
      <c r="V516" s="2"/>
      <c r="W516" s="2"/>
      <c r="X516" s="2"/>
      <c r="Y516" s="2"/>
      <c r="Z516" s="2"/>
      <c r="AS516" s="20"/>
    </row>
    <row r="517" spans="1:45" ht="67.95" customHeight="1">
      <c r="A517" s="13" t="s">
        <v>2978</v>
      </c>
      <c r="B517" s="13" t="s">
        <v>2979</v>
      </c>
      <c r="C517" s="13" t="s">
        <v>2980</v>
      </c>
      <c r="D517" s="13" t="s">
        <v>2981</v>
      </c>
      <c r="E517" s="13" t="s">
        <v>2982</v>
      </c>
      <c r="F517" s="13">
        <v>2021</v>
      </c>
      <c r="G517" s="13" t="s">
        <v>1380</v>
      </c>
      <c r="H517" s="13" t="s">
        <v>53</v>
      </c>
      <c r="I517" s="13" t="s">
        <v>762</v>
      </c>
      <c r="J517" s="30" t="s">
        <v>536</v>
      </c>
      <c r="K517" s="2"/>
      <c r="L517" s="2"/>
      <c r="M517" s="2"/>
      <c r="N517" s="2"/>
      <c r="O517" s="2"/>
      <c r="P517" s="2"/>
      <c r="Q517" s="2"/>
      <c r="R517" s="2"/>
      <c r="S517" s="2"/>
      <c r="T517" s="2"/>
      <c r="U517" s="2"/>
      <c r="V517" s="2"/>
      <c r="W517" s="2"/>
      <c r="X517" s="2"/>
      <c r="Y517" s="2"/>
      <c r="Z517" s="2"/>
      <c r="AS517" s="20"/>
    </row>
    <row r="518" spans="1:45" ht="67.95" customHeight="1">
      <c r="A518" s="13" t="s">
        <v>2983</v>
      </c>
      <c r="B518" s="13" t="s">
        <v>2984</v>
      </c>
      <c r="C518" s="13" t="s">
        <v>2985</v>
      </c>
      <c r="D518" s="13" t="s">
        <v>2986</v>
      </c>
      <c r="E518" s="13" t="s">
        <v>2987</v>
      </c>
      <c r="F518" s="13">
        <v>2023</v>
      </c>
      <c r="G518" s="13" t="s">
        <v>2988</v>
      </c>
      <c r="H518" s="13" t="s">
        <v>32</v>
      </c>
      <c r="I518" s="13" t="s">
        <v>762</v>
      </c>
      <c r="J518" s="30" t="s">
        <v>567</v>
      </c>
      <c r="K518" s="2"/>
      <c r="L518" s="2"/>
      <c r="M518" s="2"/>
      <c r="N518" s="2"/>
      <c r="O518" s="2"/>
      <c r="P518" s="2"/>
      <c r="Q518" s="2"/>
      <c r="R518" s="2"/>
      <c r="S518" s="2"/>
      <c r="T518" s="2"/>
      <c r="U518" s="2"/>
      <c r="V518" s="2"/>
      <c r="W518" s="2"/>
      <c r="X518" s="2"/>
      <c r="Y518" s="2"/>
      <c r="Z518" s="2"/>
      <c r="AS518" s="20"/>
    </row>
    <row r="519" spans="1:45" ht="67.95" customHeight="1">
      <c r="A519" s="13" t="s">
        <v>2989</v>
      </c>
      <c r="B519" s="13" t="s">
        <v>2990</v>
      </c>
      <c r="C519" s="13" t="s">
        <v>2991</v>
      </c>
      <c r="D519" s="13" t="s">
        <v>2992</v>
      </c>
      <c r="E519" s="13" t="s">
        <v>2993</v>
      </c>
      <c r="F519" s="13">
        <v>2018</v>
      </c>
      <c r="G519" s="13" t="s">
        <v>1591</v>
      </c>
      <c r="H519" s="13" t="s">
        <v>53</v>
      </c>
      <c r="I519" s="13" t="s">
        <v>762</v>
      </c>
      <c r="J519" s="30" t="s">
        <v>579</v>
      </c>
      <c r="K519" s="2"/>
      <c r="L519" s="2"/>
      <c r="M519" s="2"/>
      <c r="N519" s="2"/>
      <c r="O519" s="2"/>
      <c r="P519" s="2"/>
      <c r="Q519" s="2"/>
      <c r="R519" s="2"/>
      <c r="S519" s="2"/>
      <c r="T519" s="2"/>
      <c r="U519" s="2"/>
      <c r="V519" s="2"/>
      <c r="W519" s="2"/>
      <c r="X519" s="2"/>
      <c r="Y519" s="2"/>
      <c r="Z519" s="2"/>
      <c r="AS519" s="20"/>
    </row>
    <row r="520" spans="1:45" ht="67.95" customHeight="1">
      <c r="A520" s="13" t="s">
        <v>2994</v>
      </c>
      <c r="B520" s="13" t="s">
        <v>2995</v>
      </c>
      <c r="C520" s="13" t="s">
        <v>2996</v>
      </c>
      <c r="D520" s="13" t="s">
        <v>2997</v>
      </c>
      <c r="E520" s="13" t="s">
        <v>2998</v>
      </c>
      <c r="F520" s="13">
        <v>2024</v>
      </c>
      <c r="G520" s="13" t="s">
        <v>1148</v>
      </c>
      <c r="H520" s="13" t="s">
        <v>32</v>
      </c>
      <c r="I520" s="13" t="s">
        <v>762</v>
      </c>
      <c r="J520" s="30" t="s">
        <v>658</v>
      </c>
      <c r="K520" s="2"/>
      <c r="L520" s="2"/>
      <c r="M520" s="2"/>
      <c r="N520" s="2"/>
      <c r="O520" s="2"/>
      <c r="P520" s="2"/>
      <c r="Q520" s="2"/>
      <c r="R520" s="2"/>
      <c r="S520" s="2"/>
      <c r="T520" s="2"/>
      <c r="U520" s="2"/>
      <c r="V520" s="2"/>
      <c r="W520" s="2"/>
      <c r="X520" s="2"/>
      <c r="Y520" s="2"/>
      <c r="Z520" s="2"/>
      <c r="AS520" s="20"/>
    </row>
    <row r="521" spans="1:45" ht="67.95" customHeight="1">
      <c r="A521" s="13" t="s">
        <v>2999</v>
      </c>
      <c r="B521" s="13" t="s">
        <v>3000</v>
      </c>
      <c r="C521" s="13" t="s">
        <v>3001</v>
      </c>
      <c r="D521" s="13" t="s">
        <v>3002</v>
      </c>
      <c r="E521" s="13" t="s">
        <v>3003</v>
      </c>
      <c r="F521" s="13">
        <v>2017</v>
      </c>
      <c r="G521" s="13" t="s">
        <v>1016</v>
      </c>
      <c r="H521" s="13" t="s">
        <v>53</v>
      </c>
      <c r="I521" s="13" t="s">
        <v>762</v>
      </c>
      <c r="J521" s="30" t="s">
        <v>536</v>
      </c>
      <c r="K521" s="2"/>
      <c r="L521" s="2"/>
      <c r="M521" s="2"/>
      <c r="N521" s="2"/>
      <c r="O521" s="2"/>
      <c r="P521" s="2"/>
      <c r="Q521" s="2"/>
      <c r="R521" s="2"/>
      <c r="S521" s="2"/>
      <c r="T521" s="2"/>
      <c r="U521" s="2"/>
      <c r="V521" s="2"/>
      <c r="W521" s="2"/>
      <c r="X521" s="2"/>
      <c r="Y521" s="2"/>
      <c r="Z521" s="2"/>
      <c r="AS521" s="20"/>
    </row>
    <row r="522" spans="1:45" ht="67.95" customHeight="1">
      <c r="A522" s="13" t="s">
        <v>3004</v>
      </c>
      <c r="B522" s="13" t="s">
        <v>51</v>
      </c>
      <c r="C522" s="13" t="s">
        <v>51</v>
      </c>
      <c r="D522" s="13" t="s">
        <v>3005</v>
      </c>
      <c r="E522" s="13" t="s">
        <v>51</v>
      </c>
      <c r="F522" s="13">
        <v>2021</v>
      </c>
      <c r="G522" s="13" t="s">
        <v>1493</v>
      </c>
      <c r="H522" s="13" t="s">
        <v>32</v>
      </c>
      <c r="I522" s="13" t="s">
        <v>762</v>
      </c>
      <c r="J522" s="30" t="s">
        <v>658</v>
      </c>
      <c r="K522" s="2"/>
      <c r="L522" s="2"/>
      <c r="M522" s="2"/>
      <c r="N522" s="2"/>
      <c r="O522" s="2"/>
      <c r="P522" s="2"/>
      <c r="Q522" s="2"/>
      <c r="R522" s="2"/>
      <c r="S522" s="2"/>
      <c r="T522" s="2"/>
      <c r="U522" s="2"/>
      <c r="V522" s="2"/>
      <c r="W522" s="2"/>
      <c r="X522" s="2"/>
      <c r="Y522" s="2"/>
      <c r="Z522" s="2"/>
      <c r="AS522" s="20"/>
    </row>
    <row r="523" spans="1:45" ht="67.95" customHeight="1">
      <c r="A523" s="13" t="s">
        <v>3006</v>
      </c>
      <c r="B523" s="13" t="s">
        <v>3007</v>
      </c>
      <c r="C523" s="13" t="s">
        <v>3008</v>
      </c>
      <c r="D523" s="13" t="s">
        <v>3009</v>
      </c>
      <c r="E523" s="13" t="s">
        <v>3010</v>
      </c>
      <c r="F523" s="13">
        <v>2022</v>
      </c>
      <c r="G523" s="13" t="s">
        <v>3011</v>
      </c>
      <c r="H523" s="13" t="s">
        <v>32</v>
      </c>
      <c r="I523" s="13" t="s">
        <v>762</v>
      </c>
      <c r="J523" s="30" t="s">
        <v>646</v>
      </c>
      <c r="K523" s="2"/>
      <c r="L523" s="2"/>
      <c r="M523" s="2"/>
      <c r="N523" s="2"/>
      <c r="O523" s="2"/>
      <c r="P523" s="2"/>
      <c r="Q523" s="2"/>
      <c r="R523" s="2"/>
      <c r="S523" s="2"/>
      <c r="T523" s="2"/>
      <c r="U523" s="2"/>
      <c r="V523" s="2"/>
      <c r="W523" s="2"/>
      <c r="X523" s="2"/>
      <c r="Y523" s="2"/>
      <c r="Z523" s="2"/>
      <c r="AS523" s="20"/>
    </row>
    <row r="524" spans="1:45" ht="67.95" customHeight="1">
      <c r="A524" s="13" t="s">
        <v>3012</v>
      </c>
      <c r="B524" s="13" t="s">
        <v>3013</v>
      </c>
      <c r="C524" s="13" t="s">
        <v>3014</v>
      </c>
      <c r="D524" s="13" t="s">
        <v>3015</v>
      </c>
      <c r="E524" s="13" t="s">
        <v>3016</v>
      </c>
      <c r="F524" s="13">
        <v>2021</v>
      </c>
      <c r="G524" s="13" t="s">
        <v>3017</v>
      </c>
      <c r="H524" s="13" t="s">
        <v>32</v>
      </c>
      <c r="I524" s="13" t="s">
        <v>762</v>
      </c>
      <c r="J524" s="30" t="s">
        <v>543</v>
      </c>
      <c r="K524" s="2"/>
      <c r="L524" s="2"/>
      <c r="M524" s="2"/>
      <c r="N524" s="2"/>
      <c r="O524" s="2"/>
      <c r="P524" s="2"/>
      <c r="Q524" s="2"/>
      <c r="R524" s="2"/>
      <c r="S524" s="2"/>
      <c r="T524" s="2"/>
      <c r="U524" s="2"/>
      <c r="V524" s="2"/>
      <c r="W524" s="2"/>
      <c r="X524" s="2"/>
      <c r="Y524" s="2"/>
      <c r="Z524" s="2"/>
      <c r="AS524" s="20"/>
    </row>
    <row r="525" spans="1:45" ht="67.95" customHeight="1">
      <c r="A525" s="13" t="s">
        <v>3018</v>
      </c>
      <c r="B525" s="13" t="s">
        <v>3019</v>
      </c>
      <c r="C525" s="13" t="s">
        <v>3020</v>
      </c>
      <c r="D525" s="13" t="s">
        <v>3021</v>
      </c>
      <c r="E525" s="13" t="s">
        <v>3022</v>
      </c>
      <c r="F525" s="13">
        <v>2022</v>
      </c>
      <c r="G525" s="13" t="s">
        <v>1958</v>
      </c>
      <c r="H525" s="13" t="s">
        <v>32</v>
      </c>
      <c r="I525" s="13" t="s">
        <v>762</v>
      </c>
      <c r="J525" s="30" t="s">
        <v>567</v>
      </c>
      <c r="K525" s="2"/>
      <c r="L525" s="2"/>
      <c r="M525" s="2"/>
      <c r="N525" s="2"/>
      <c r="O525" s="2"/>
      <c r="P525" s="2"/>
      <c r="Q525" s="2"/>
      <c r="R525" s="2"/>
      <c r="S525" s="2"/>
      <c r="T525" s="2"/>
      <c r="U525" s="2"/>
      <c r="V525" s="2"/>
      <c r="W525" s="2"/>
      <c r="X525" s="2"/>
      <c r="Y525" s="2"/>
      <c r="Z525" s="2"/>
      <c r="AS525" s="20"/>
    </row>
    <row r="526" spans="1:45" ht="67.95" customHeight="1">
      <c r="A526" s="13" t="s">
        <v>3023</v>
      </c>
      <c r="B526" s="13" t="s">
        <v>3024</v>
      </c>
      <c r="C526" s="13" t="s">
        <v>3025</v>
      </c>
      <c r="D526" s="13" t="s">
        <v>3026</v>
      </c>
      <c r="E526" s="13" t="s">
        <v>3027</v>
      </c>
      <c r="F526" s="13">
        <v>2019</v>
      </c>
      <c r="G526" s="13" t="s">
        <v>1269</v>
      </c>
      <c r="H526" s="13" t="s">
        <v>32</v>
      </c>
      <c r="I526" s="13" t="s">
        <v>762</v>
      </c>
      <c r="J526" s="30" t="s">
        <v>579</v>
      </c>
      <c r="K526" s="2"/>
      <c r="L526" s="2"/>
      <c r="M526" s="2"/>
      <c r="N526" s="2"/>
      <c r="O526" s="2"/>
      <c r="P526" s="2"/>
      <c r="Q526" s="2"/>
      <c r="R526" s="2"/>
      <c r="S526" s="2"/>
      <c r="T526" s="2"/>
      <c r="U526" s="2"/>
      <c r="V526" s="2"/>
      <c r="W526" s="2"/>
      <c r="X526" s="2"/>
      <c r="Y526" s="2"/>
      <c r="Z526" s="2"/>
      <c r="AS526" s="20"/>
    </row>
    <row r="527" spans="1:45" ht="67.95" customHeight="1">
      <c r="A527" s="13" t="s">
        <v>3028</v>
      </c>
      <c r="B527" s="13" t="s">
        <v>3029</v>
      </c>
      <c r="C527" s="13" t="s">
        <v>3030</v>
      </c>
      <c r="D527" s="13" t="s">
        <v>3031</v>
      </c>
      <c r="E527" s="13" t="s">
        <v>3032</v>
      </c>
      <c r="F527" s="13">
        <v>2021</v>
      </c>
      <c r="G527" s="13" t="s">
        <v>3033</v>
      </c>
      <c r="H527" s="13" t="s">
        <v>53</v>
      </c>
      <c r="I527" s="13" t="s">
        <v>762</v>
      </c>
      <c r="J527" s="30" t="s">
        <v>579</v>
      </c>
      <c r="K527" s="2"/>
      <c r="L527" s="2"/>
      <c r="M527" s="2"/>
      <c r="N527" s="2"/>
      <c r="O527" s="2"/>
      <c r="P527" s="2"/>
      <c r="Q527" s="2"/>
      <c r="R527" s="2"/>
      <c r="S527" s="2"/>
      <c r="T527" s="2"/>
      <c r="U527" s="2"/>
      <c r="V527" s="2"/>
      <c r="W527" s="2"/>
      <c r="X527" s="2"/>
      <c r="Y527" s="2"/>
      <c r="Z527" s="2"/>
      <c r="AS527" s="20"/>
    </row>
    <row r="528" spans="1:45" ht="67.95" customHeight="1">
      <c r="A528" s="13" t="s">
        <v>3034</v>
      </c>
      <c r="B528" s="13" t="s">
        <v>3035</v>
      </c>
      <c r="C528" s="13" t="s">
        <v>3036</v>
      </c>
      <c r="D528" s="13" t="s">
        <v>3037</v>
      </c>
      <c r="E528" s="13" t="s">
        <v>3038</v>
      </c>
      <c r="F528" s="13">
        <v>2023</v>
      </c>
      <c r="G528" s="13" t="s">
        <v>3039</v>
      </c>
      <c r="H528" s="13" t="s">
        <v>32</v>
      </c>
      <c r="I528" s="13" t="s">
        <v>762</v>
      </c>
      <c r="J528" s="30" t="s">
        <v>567</v>
      </c>
      <c r="K528" s="2"/>
      <c r="L528" s="2"/>
      <c r="M528" s="2"/>
      <c r="N528" s="2"/>
      <c r="O528" s="2"/>
      <c r="P528" s="2"/>
      <c r="Q528" s="2"/>
      <c r="R528" s="2"/>
      <c r="S528" s="2"/>
      <c r="T528" s="2"/>
      <c r="U528" s="2"/>
      <c r="V528" s="2"/>
      <c r="W528" s="2"/>
      <c r="X528" s="2"/>
      <c r="Y528" s="2"/>
      <c r="Z528" s="2"/>
      <c r="AS528" s="20"/>
    </row>
    <row r="529" spans="1:45" ht="67.95" customHeight="1">
      <c r="A529" s="13" t="s">
        <v>3040</v>
      </c>
      <c r="B529" s="13" t="s">
        <v>3041</v>
      </c>
      <c r="C529" s="13" t="s">
        <v>3042</v>
      </c>
      <c r="D529" s="13" t="s">
        <v>3043</v>
      </c>
      <c r="E529" s="13" t="s">
        <v>3044</v>
      </c>
      <c r="F529" s="13">
        <v>2021</v>
      </c>
      <c r="G529" s="13" t="s">
        <v>1032</v>
      </c>
      <c r="H529" s="13" t="s">
        <v>53</v>
      </c>
      <c r="I529" s="13" t="s">
        <v>762</v>
      </c>
      <c r="J529" s="30" t="s">
        <v>536</v>
      </c>
      <c r="K529" s="2"/>
      <c r="L529" s="2"/>
      <c r="M529" s="2"/>
      <c r="N529" s="2"/>
      <c r="O529" s="2"/>
      <c r="P529" s="2"/>
      <c r="Q529" s="2"/>
      <c r="R529" s="2"/>
      <c r="S529" s="2"/>
      <c r="T529" s="2"/>
      <c r="U529" s="2"/>
      <c r="V529" s="2"/>
      <c r="W529" s="2"/>
      <c r="X529" s="2"/>
      <c r="Y529" s="2"/>
      <c r="Z529" s="2"/>
      <c r="AS529" s="20"/>
    </row>
    <row r="530" spans="1:45" ht="67.95" customHeight="1">
      <c r="A530" s="13" t="s">
        <v>3045</v>
      </c>
      <c r="B530" s="13" t="s">
        <v>3046</v>
      </c>
      <c r="C530" s="13" t="s">
        <v>3047</v>
      </c>
      <c r="D530" s="13" t="s">
        <v>3048</v>
      </c>
      <c r="E530" s="13" t="s">
        <v>3049</v>
      </c>
      <c r="F530" s="13">
        <v>2021</v>
      </c>
      <c r="G530" s="13" t="s">
        <v>682</v>
      </c>
      <c r="H530" s="13" t="s">
        <v>32</v>
      </c>
      <c r="I530" s="13" t="s">
        <v>762</v>
      </c>
      <c r="J530" s="30" t="s">
        <v>579</v>
      </c>
      <c r="K530" s="2"/>
      <c r="L530" s="2"/>
      <c r="M530" s="2"/>
      <c r="N530" s="2"/>
      <c r="O530" s="2"/>
      <c r="P530" s="2"/>
      <c r="Q530" s="2"/>
      <c r="R530" s="2"/>
      <c r="S530" s="2"/>
      <c r="T530" s="2"/>
      <c r="U530" s="2"/>
      <c r="V530" s="2"/>
      <c r="W530" s="2"/>
      <c r="X530" s="2"/>
      <c r="Y530" s="2"/>
      <c r="Z530" s="2"/>
      <c r="AS530" s="20"/>
    </row>
    <row r="531" spans="1:45" ht="67.95" customHeight="1">
      <c r="A531" s="13" t="s">
        <v>3050</v>
      </c>
      <c r="B531" s="13" t="s">
        <v>3051</v>
      </c>
      <c r="C531" s="13" t="s">
        <v>3052</v>
      </c>
      <c r="D531" s="13" t="s">
        <v>3053</v>
      </c>
      <c r="E531" s="13" t="s">
        <v>3054</v>
      </c>
      <c r="F531" s="13">
        <v>2023</v>
      </c>
      <c r="G531" s="13" t="s">
        <v>670</v>
      </c>
      <c r="H531" s="13" t="s">
        <v>32</v>
      </c>
      <c r="I531" s="13" t="s">
        <v>762</v>
      </c>
      <c r="J531" s="30" t="s">
        <v>567</v>
      </c>
      <c r="K531" s="2"/>
      <c r="L531" s="2"/>
      <c r="M531" s="2"/>
      <c r="N531" s="2"/>
      <c r="O531" s="2"/>
      <c r="P531" s="2"/>
      <c r="Q531" s="2"/>
      <c r="R531" s="2"/>
      <c r="S531" s="2"/>
      <c r="T531" s="2"/>
      <c r="U531" s="2"/>
      <c r="V531" s="2"/>
      <c r="W531" s="2"/>
      <c r="X531" s="2"/>
      <c r="Y531" s="2"/>
      <c r="Z531" s="2"/>
      <c r="AS531" s="20"/>
    </row>
    <row r="532" spans="1:45" ht="67.95" customHeight="1">
      <c r="A532" s="13" t="s">
        <v>3055</v>
      </c>
      <c r="B532" s="13" t="s">
        <v>3056</v>
      </c>
      <c r="C532" s="13" t="s">
        <v>3057</v>
      </c>
      <c r="D532" s="13" t="s">
        <v>3058</v>
      </c>
      <c r="E532" s="13" t="s">
        <v>3059</v>
      </c>
      <c r="F532" s="13">
        <v>2023</v>
      </c>
      <c r="G532" s="13" t="s">
        <v>670</v>
      </c>
      <c r="H532" s="13" t="s">
        <v>32</v>
      </c>
      <c r="I532" s="13" t="s">
        <v>762</v>
      </c>
      <c r="J532" s="30" t="s">
        <v>567</v>
      </c>
      <c r="K532" s="2"/>
      <c r="L532" s="2"/>
      <c r="M532" s="2"/>
      <c r="N532" s="2"/>
      <c r="O532" s="2"/>
      <c r="P532" s="2"/>
      <c r="Q532" s="2"/>
      <c r="R532" s="2"/>
      <c r="S532" s="2"/>
      <c r="T532" s="2"/>
      <c r="U532" s="2"/>
      <c r="V532" s="2"/>
      <c r="W532" s="2"/>
      <c r="X532" s="2"/>
      <c r="Y532" s="2"/>
      <c r="Z532" s="2"/>
      <c r="AS532" s="20"/>
    </row>
    <row r="533" spans="1:45" ht="67.95" customHeight="1">
      <c r="A533" s="13" t="s">
        <v>3060</v>
      </c>
      <c r="B533" s="13" t="s">
        <v>3061</v>
      </c>
      <c r="C533" s="13" t="s">
        <v>3062</v>
      </c>
      <c r="D533" s="13" t="s">
        <v>3063</v>
      </c>
      <c r="E533" s="13" t="s">
        <v>51</v>
      </c>
      <c r="F533" s="13">
        <v>2017</v>
      </c>
      <c r="G533" s="13" t="s">
        <v>74</v>
      </c>
      <c r="H533" s="13" t="s">
        <v>53</v>
      </c>
      <c r="I533" s="13" t="s">
        <v>762</v>
      </c>
      <c r="J533" s="30" t="s">
        <v>536</v>
      </c>
      <c r="K533" s="2"/>
      <c r="L533" s="2"/>
      <c r="M533" s="2"/>
      <c r="N533" s="2"/>
      <c r="O533" s="2"/>
      <c r="P533" s="2"/>
      <c r="Q533" s="2"/>
      <c r="R533" s="2"/>
      <c r="S533" s="2"/>
      <c r="T533" s="2"/>
      <c r="U533" s="2"/>
      <c r="V533" s="2"/>
      <c r="W533" s="2"/>
      <c r="X533" s="2"/>
      <c r="Y533" s="2"/>
      <c r="Z533" s="2"/>
      <c r="AS533" s="20"/>
    </row>
    <row r="534" spans="1:45" ht="67.95" customHeight="1">
      <c r="A534" s="13" t="s">
        <v>3064</v>
      </c>
      <c r="B534" s="13" t="s">
        <v>3065</v>
      </c>
      <c r="C534" s="13" t="s">
        <v>3066</v>
      </c>
      <c r="D534" s="13" t="s">
        <v>3067</v>
      </c>
      <c r="E534" s="13" t="s">
        <v>3068</v>
      </c>
      <c r="F534" s="13">
        <v>2024</v>
      </c>
      <c r="G534" s="13" t="s">
        <v>3069</v>
      </c>
      <c r="H534" s="13" t="s">
        <v>32</v>
      </c>
      <c r="I534" s="13" t="s">
        <v>762</v>
      </c>
      <c r="J534" s="30" t="s">
        <v>536</v>
      </c>
      <c r="K534" s="2"/>
      <c r="L534" s="2"/>
      <c r="M534" s="2"/>
      <c r="N534" s="2"/>
      <c r="O534" s="2"/>
      <c r="P534" s="2"/>
      <c r="Q534" s="2"/>
      <c r="R534" s="2"/>
      <c r="S534" s="2"/>
      <c r="T534" s="2"/>
      <c r="U534" s="2"/>
      <c r="V534" s="2"/>
      <c r="W534" s="2"/>
      <c r="X534" s="2"/>
      <c r="Y534" s="2"/>
      <c r="Z534" s="2"/>
      <c r="AS534" s="20"/>
    </row>
    <row r="535" spans="1:45" ht="67.95" customHeight="1">
      <c r="A535" s="13" t="s">
        <v>3070</v>
      </c>
      <c r="B535" s="13" t="s">
        <v>3071</v>
      </c>
      <c r="C535" s="13" t="s">
        <v>3072</v>
      </c>
      <c r="D535" s="13" t="s">
        <v>3073</v>
      </c>
      <c r="E535" s="13" t="s">
        <v>3074</v>
      </c>
      <c r="F535" s="13">
        <v>2025</v>
      </c>
      <c r="G535" s="13" t="s">
        <v>682</v>
      </c>
      <c r="H535" s="13" t="s">
        <v>32</v>
      </c>
      <c r="I535" s="13" t="s">
        <v>762</v>
      </c>
      <c r="J535" s="30" t="s">
        <v>543</v>
      </c>
      <c r="K535" s="2"/>
      <c r="L535" s="2"/>
      <c r="M535" s="2"/>
      <c r="N535" s="2"/>
      <c r="O535" s="2"/>
      <c r="P535" s="2"/>
      <c r="Q535" s="2"/>
      <c r="R535" s="2"/>
      <c r="S535" s="2"/>
      <c r="T535" s="2"/>
      <c r="U535" s="2"/>
      <c r="V535" s="2"/>
      <c r="W535" s="2"/>
      <c r="X535" s="2"/>
      <c r="Y535" s="2"/>
      <c r="Z535" s="2"/>
      <c r="AS535" s="20"/>
    </row>
    <row r="536" spans="1:45" ht="67.95" customHeight="1">
      <c r="A536" s="13" t="s">
        <v>3075</v>
      </c>
      <c r="B536" s="13" t="s">
        <v>3076</v>
      </c>
      <c r="C536" s="13" t="s">
        <v>3077</v>
      </c>
      <c r="D536" s="13" t="s">
        <v>3078</v>
      </c>
      <c r="E536" s="13" t="s">
        <v>3079</v>
      </c>
      <c r="F536" s="13">
        <v>2024</v>
      </c>
      <c r="G536" s="13" t="s">
        <v>578</v>
      </c>
      <c r="H536" s="13" t="s">
        <v>32</v>
      </c>
      <c r="I536" s="13" t="s">
        <v>762</v>
      </c>
      <c r="J536" s="30" t="s">
        <v>536</v>
      </c>
      <c r="K536" s="2"/>
      <c r="L536" s="2"/>
      <c r="M536" s="2"/>
      <c r="N536" s="2"/>
      <c r="O536" s="2"/>
      <c r="P536" s="2"/>
      <c r="Q536" s="2"/>
      <c r="R536" s="2"/>
      <c r="S536" s="2"/>
      <c r="T536" s="2"/>
      <c r="U536" s="2"/>
      <c r="V536" s="2"/>
      <c r="W536" s="2"/>
      <c r="X536" s="2"/>
      <c r="Y536" s="2"/>
      <c r="Z536" s="2"/>
      <c r="AS536" s="20"/>
    </row>
    <row r="537" spans="1:45" ht="67.95" customHeight="1">
      <c r="A537" s="13" t="s">
        <v>3080</v>
      </c>
      <c r="B537" s="13" t="s">
        <v>3081</v>
      </c>
      <c r="C537" s="13" t="s">
        <v>3082</v>
      </c>
      <c r="D537" s="13" t="s">
        <v>3083</v>
      </c>
      <c r="E537" s="13" t="s">
        <v>3084</v>
      </c>
      <c r="F537" s="13">
        <v>2025</v>
      </c>
      <c r="G537" s="13" t="s">
        <v>670</v>
      </c>
      <c r="H537" s="13" t="s">
        <v>32</v>
      </c>
      <c r="I537" s="13" t="s">
        <v>762</v>
      </c>
      <c r="J537" s="30" t="s">
        <v>567</v>
      </c>
      <c r="K537" s="2"/>
      <c r="L537" s="2"/>
      <c r="M537" s="2"/>
      <c r="N537" s="2"/>
      <c r="O537" s="2"/>
      <c r="P537" s="2"/>
      <c r="Q537" s="2"/>
      <c r="R537" s="2"/>
      <c r="S537" s="2"/>
      <c r="T537" s="2"/>
      <c r="U537" s="2"/>
      <c r="V537" s="2"/>
      <c r="W537" s="2"/>
      <c r="X537" s="2"/>
      <c r="Y537" s="2"/>
      <c r="Z537" s="2"/>
      <c r="AS537" s="20"/>
    </row>
    <row r="538" spans="1:45" ht="67.95" customHeight="1">
      <c r="A538" s="13" t="s">
        <v>3085</v>
      </c>
      <c r="B538" s="13" t="s">
        <v>3086</v>
      </c>
      <c r="C538" s="13" t="s">
        <v>3087</v>
      </c>
      <c r="D538" s="13" t="s">
        <v>3088</v>
      </c>
      <c r="E538" s="13" t="s">
        <v>3089</v>
      </c>
      <c r="F538" s="13">
        <v>2022</v>
      </c>
      <c r="G538" s="13" t="s">
        <v>3090</v>
      </c>
      <c r="H538" s="13" t="s">
        <v>32</v>
      </c>
      <c r="I538" s="13" t="s">
        <v>762</v>
      </c>
      <c r="J538" s="30" t="s">
        <v>567</v>
      </c>
      <c r="K538" s="2"/>
      <c r="L538" s="2"/>
      <c r="M538" s="2"/>
      <c r="N538" s="2"/>
      <c r="O538" s="2"/>
      <c r="P538" s="2"/>
      <c r="Q538" s="2"/>
      <c r="R538" s="2"/>
      <c r="S538" s="2"/>
      <c r="T538" s="2"/>
      <c r="U538" s="2"/>
      <c r="V538" s="2"/>
      <c r="W538" s="2"/>
      <c r="X538" s="2"/>
      <c r="Y538" s="2"/>
      <c r="Z538" s="2"/>
      <c r="AS538" s="20"/>
    </row>
    <row r="539" spans="1:45" ht="67.95" customHeight="1">
      <c r="A539" s="13" t="s">
        <v>3091</v>
      </c>
      <c r="B539" s="13" t="s">
        <v>3092</v>
      </c>
      <c r="C539" s="13" t="s">
        <v>3093</v>
      </c>
      <c r="D539" s="13" t="s">
        <v>3094</v>
      </c>
      <c r="E539" s="13" t="s">
        <v>3095</v>
      </c>
      <c r="F539" s="13">
        <v>2019</v>
      </c>
      <c r="G539" s="13" t="s">
        <v>3096</v>
      </c>
      <c r="H539" s="13" t="s">
        <v>32</v>
      </c>
      <c r="I539" s="13" t="s">
        <v>762</v>
      </c>
      <c r="J539" s="30" t="s">
        <v>567</v>
      </c>
      <c r="K539" s="2"/>
      <c r="L539" s="2"/>
      <c r="M539" s="2"/>
      <c r="N539" s="2"/>
      <c r="O539" s="2"/>
      <c r="P539" s="2"/>
      <c r="Q539" s="2"/>
      <c r="R539" s="2"/>
      <c r="S539" s="2"/>
      <c r="T539" s="2"/>
      <c r="U539" s="2"/>
      <c r="V539" s="2"/>
      <c r="W539" s="2"/>
      <c r="X539" s="2"/>
      <c r="Y539" s="2"/>
      <c r="Z539" s="2"/>
      <c r="AS539" s="20"/>
    </row>
    <row r="540" spans="1:45" ht="67.95" customHeight="1">
      <c r="A540" s="13" t="s">
        <v>3097</v>
      </c>
      <c r="B540" s="13" t="s">
        <v>3098</v>
      </c>
      <c r="C540" s="13" t="s">
        <v>3099</v>
      </c>
      <c r="D540" s="13" t="s">
        <v>3100</v>
      </c>
      <c r="E540" s="13" t="s">
        <v>3101</v>
      </c>
      <c r="F540" s="13">
        <v>2025</v>
      </c>
      <c r="G540" s="13" t="s">
        <v>2645</v>
      </c>
      <c r="H540" s="13" t="s">
        <v>53</v>
      </c>
      <c r="I540" s="13" t="s">
        <v>762</v>
      </c>
      <c r="J540" s="30" t="s">
        <v>536</v>
      </c>
      <c r="K540" s="2"/>
      <c r="L540" s="2"/>
      <c r="M540" s="2"/>
      <c r="N540" s="2"/>
      <c r="O540" s="2"/>
      <c r="P540" s="2"/>
      <c r="Q540" s="2"/>
      <c r="R540" s="2"/>
      <c r="S540" s="2"/>
      <c r="T540" s="2"/>
      <c r="U540" s="2"/>
      <c r="V540" s="2"/>
      <c r="W540" s="2"/>
      <c r="X540" s="2"/>
      <c r="Y540" s="2"/>
      <c r="Z540" s="2"/>
      <c r="AS540" s="20"/>
    </row>
    <row r="541" spans="1:45" ht="67.95" customHeight="1">
      <c r="A541" s="13" t="s">
        <v>3102</v>
      </c>
      <c r="B541" s="13" t="s">
        <v>3103</v>
      </c>
      <c r="C541" s="13" t="s">
        <v>3104</v>
      </c>
      <c r="D541" s="13" t="s">
        <v>3105</v>
      </c>
      <c r="E541" s="13" t="s">
        <v>3106</v>
      </c>
      <c r="F541" s="13">
        <v>2023</v>
      </c>
      <c r="G541" s="13" t="s">
        <v>3107</v>
      </c>
      <c r="H541" s="13" t="s">
        <v>53</v>
      </c>
      <c r="I541" s="13" t="s">
        <v>762</v>
      </c>
      <c r="J541" s="30" t="s">
        <v>536</v>
      </c>
      <c r="K541" s="2"/>
      <c r="L541" s="2"/>
      <c r="M541" s="2"/>
      <c r="N541" s="2"/>
      <c r="O541" s="2"/>
      <c r="P541" s="2"/>
      <c r="Q541" s="2"/>
      <c r="R541" s="2"/>
      <c r="S541" s="2"/>
      <c r="T541" s="2"/>
      <c r="U541" s="2"/>
      <c r="V541" s="2"/>
      <c r="W541" s="2"/>
      <c r="X541" s="2"/>
      <c r="Y541" s="2"/>
      <c r="Z541" s="2"/>
      <c r="AS541" s="20"/>
    </row>
    <row r="542" spans="1:45" ht="67.95" customHeight="1">
      <c r="A542" s="13" t="s">
        <v>3108</v>
      </c>
      <c r="B542" s="13" t="s">
        <v>3109</v>
      </c>
      <c r="C542" s="13" t="s">
        <v>3110</v>
      </c>
      <c r="D542" s="13" t="s">
        <v>3111</v>
      </c>
      <c r="E542" s="13" t="s">
        <v>51</v>
      </c>
      <c r="F542" s="13">
        <v>2020</v>
      </c>
      <c r="G542" s="13" t="s">
        <v>3112</v>
      </c>
      <c r="H542" s="13" t="s">
        <v>53</v>
      </c>
      <c r="I542" s="13" t="s">
        <v>762</v>
      </c>
      <c r="J542" s="30" t="s">
        <v>579</v>
      </c>
      <c r="K542" s="2"/>
      <c r="L542" s="2"/>
      <c r="M542" s="2"/>
      <c r="N542" s="2"/>
      <c r="O542" s="2"/>
      <c r="P542" s="2"/>
      <c r="Q542" s="2"/>
      <c r="R542" s="2"/>
      <c r="S542" s="2"/>
      <c r="T542" s="2"/>
      <c r="U542" s="2"/>
      <c r="V542" s="2"/>
      <c r="W542" s="2"/>
      <c r="X542" s="2"/>
      <c r="Y542" s="2"/>
      <c r="Z542" s="2"/>
      <c r="AS542" s="20"/>
    </row>
    <row r="543" spans="1:45" ht="67.95" customHeight="1">
      <c r="A543" s="13" t="s">
        <v>3113</v>
      </c>
      <c r="B543" s="13" t="s">
        <v>3114</v>
      </c>
      <c r="C543" s="13" t="s">
        <v>3115</v>
      </c>
      <c r="D543" s="13" t="s">
        <v>3116</v>
      </c>
      <c r="E543" s="13" t="s">
        <v>3117</v>
      </c>
      <c r="F543" s="13">
        <v>2016</v>
      </c>
      <c r="G543" s="13" t="s">
        <v>3118</v>
      </c>
      <c r="H543" s="13" t="s">
        <v>53</v>
      </c>
      <c r="I543" s="13" t="s">
        <v>762</v>
      </c>
      <c r="J543" s="30" t="s">
        <v>536</v>
      </c>
      <c r="K543" s="2"/>
      <c r="L543" s="2"/>
      <c r="M543" s="2"/>
      <c r="N543" s="2"/>
      <c r="O543" s="2"/>
      <c r="P543" s="2"/>
      <c r="Q543" s="2"/>
      <c r="R543" s="2"/>
      <c r="S543" s="2"/>
      <c r="T543" s="2"/>
      <c r="U543" s="2"/>
      <c r="V543" s="2"/>
      <c r="W543" s="2"/>
      <c r="X543" s="2"/>
      <c r="Y543" s="2"/>
      <c r="Z543" s="2"/>
      <c r="AS543" s="20"/>
    </row>
    <row r="544" spans="1:45" ht="67.95" customHeight="1">
      <c r="A544" s="13" t="s">
        <v>3119</v>
      </c>
      <c r="B544" s="13" t="s">
        <v>3120</v>
      </c>
      <c r="C544" s="13" t="s">
        <v>3121</v>
      </c>
      <c r="D544" s="13" t="s">
        <v>3122</v>
      </c>
      <c r="E544" s="13" t="s">
        <v>51</v>
      </c>
      <c r="F544" s="13">
        <v>2022</v>
      </c>
      <c r="G544" s="13" t="s">
        <v>1284</v>
      </c>
      <c r="H544" s="13" t="s">
        <v>136</v>
      </c>
      <c r="I544" s="13" t="s">
        <v>762</v>
      </c>
      <c r="J544" s="30" t="s">
        <v>567</v>
      </c>
      <c r="K544" s="2"/>
      <c r="L544" s="2"/>
      <c r="M544" s="2"/>
      <c r="N544" s="2"/>
      <c r="O544" s="2"/>
      <c r="P544" s="2"/>
      <c r="Q544" s="2"/>
      <c r="R544" s="2"/>
      <c r="S544" s="2"/>
      <c r="T544" s="2"/>
      <c r="U544" s="2"/>
      <c r="V544" s="2"/>
      <c r="W544" s="2"/>
      <c r="X544" s="2"/>
      <c r="Y544" s="2"/>
      <c r="Z544" s="2"/>
      <c r="AS544" s="20"/>
    </row>
    <row r="545" spans="1:45" ht="67.95" customHeight="1">
      <c r="A545" s="13" t="s">
        <v>3123</v>
      </c>
      <c r="B545" s="13" t="s">
        <v>51</v>
      </c>
      <c r="C545" s="13" t="s">
        <v>3124</v>
      </c>
      <c r="D545" s="13" t="s">
        <v>3125</v>
      </c>
      <c r="E545" s="13" t="s">
        <v>51</v>
      </c>
      <c r="F545" s="13">
        <v>2022</v>
      </c>
      <c r="G545" s="13" t="s">
        <v>1839</v>
      </c>
      <c r="H545" s="13" t="s">
        <v>32</v>
      </c>
      <c r="I545" s="13" t="s">
        <v>762</v>
      </c>
      <c r="J545" s="30" t="s">
        <v>658</v>
      </c>
      <c r="K545" s="2"/>
      <c r="L545" s="2"/>
      <c r="M545" s="2"/>
      <c r="N545" s="2"/>
      <c r="O545" s="2"/>
      <c r="P545" s="2"/>
      <c r="Q545" s="2"/>
      <c r="R545" s="2"/>
      <c r="S545" s="2"/>
      <c r="T545" s="2"/>
      <c r="U545" s="2"/>
      <c r="V545" s="2"/>
      <c r="W545" s="2"/>
      <c r="X545" s="2"/>
      <c r="Y545" s="2"/>
      <c r="Z545" s="2"/>
      <c r="AS545" s="20"/>
    </row>
    <row r="546" spans="1:45" ht="67.95" customHeight="1">
      <c r="A546" s="13" t="s">
        <v>3126</v>
      </c>
      <c r="B546" s="13" t="s">
        <v>3127</v>
      </c>
      <c r="C546" s="13" t="s">
        <v>3128</v>
      </c>
      <c r="D546" s="13" t="s">
        <v>3129</v>
      </c>
      <c r="E546" s="13" t="s">
        <v>3130</v>
      </c>
      <c r="F546" s="13">
        <v>2018</v>
      </c>
      <c r="G546" s="13" t="s">
        <v>1597</v>
      </c>
      <c r="H546" s="13" t="s">
        <v>32</v>
      </c>
      <c r="I546" s="13" t="s">
        <v>3131</v>
      </c>
      <c r="J546" s="30" t="s">
        <v>2393</v>
      </c>
      <c r="K546" s="7"/>
      <c r="L546" s="2"/>
      <c r="M546" s="2"/>
      <c r="N546" s="2"/>
      <c r="O546" s="7"/>
      <c r="P546" s="2"/>
      <c r="Q546" s="2"/>
      <c r="R546" s="2"/>
      <c r="S546" s="7"/>
      <c r="T546" s="2"/>
      <c r="U546" s="2"/>
      <c r="V546" s="7"/>
      <c r="W546" s="7"/>
      <c r="X546" s="2"/>
      <c r="Y546" s="2"/>
      <c r="Z546" s="7"/>
      <c r="AS546" s="20"/>
    </row>
    <row r="547" spans="1:45" ht="67.95" customHeight="1">
      <c r="A547" s="13" t="s">
        <v>3132</v>
      </c>
      <c r="B547" s="13" t="s">
        <v>51</v>
      </c>
      <c r="C547" s="13" t="s">
        <v>51</v>
      </c>
      <c r="D547" s="13" t="s">
        <v>3133</v>
      </c>
      <c r="E547" s="13" t="s">
        <v>51</v>
      </c>
      <c r="F547" s="13">
        <v>2017</v>
      </c>
      <c r="G547" s="13" t="s">
        <v>3134</v>
      </c>
      <c r="H547" s="13" t="s">
        <v>32</v>
      </c>
      <c r="I547" s="13" t="s">
        <v>762</v>
      </c>
      <c r="J547" s="30" t="s">
        <v>658</v>
      </c>
      <c r="K547" s="2"/>
      <c r="L547" s="2"/>
      <c r="M547" s="2"/>
      <c r="N547" s="2"/>
      <c r="O547" s="2"/>
      <c r="P547" s="2"/>
      <c r="Q547" s="2"/>
      <c r="R547" s="2"/>
      <c r="S547" s="2"/>
      <c r="T547" s="2"/>
      <c r="U547" s="2"/>
      <c r="V547" s="2"/>
      <c r="W547" s="2"/>
      <c r="X547" s="2"/>
      <c r="Y547" s="2"/>
      <c r="Z547" s="2"/>
      <c r="AS547" s="20"/>
    </row>
    <row r="548" spans="1:45" ht="67.95" customHeight="1">
      <c r="A548" s="13" t="s">
        <v>3135</v>
      </c>
      <c r="B548" s="13" t="s">
        <v>3136</v>
      </c>
      <c r="C548" s="13" t="s">
        <v>3137</v>
      </c>
      <c r="D548" s="13" t="s">
        <v>3138</v>
      </c>
      <c r="E548" s="13" t="s">
        <v>3139</v>
      </c>
      <c r="F548" s="13">
        <v>2015</v>
      </c>
      <c r="G548" s="13" t="s">
        <v>555</v>
      </c>
      <c r="H548" s="13" t="s">
        <v>53</v>
      </c>
      <c r="I548" s="13" t="s">
        <v>762</v>
      </c>
      <c r="J548" s="30" t="s">
        <v>536</v>
      </c>
      <c r="K548" s="2"/>
      <c r="L548" s="2"/>
      <c r="M548" s="2"/>
      <c r="N548" s="2"/>
      <c r="O548" s="2"/>
      <c r="P548" s="2"/>
      <c r="Q548" s="2"/>
      <c r="R548" s="2"/>
      <c r="S548" s="2"/>
      <c r="T548" s="2"/>
      <c r="U548" s="2"/>
      <c r="V548" s="2"/>
      <c r="W548" s="2"/>
      <c r="X548" s="2"/>
      <c r="Y548" s="2"/>
      <c r="Z548" s="2"/>
      <c r="AS548" s="20"/>
    </row>
    <row r="549" spans="1:45" ht="67.95" customHeight="1">
      <c r="A549" s="13" t="s">
        <v>3140</v>
      </c>
      <c r="B549" s="13" t="s">
        <v>3141</v>
      </c>
      <c r="C549" s="13" t="s">
        <v>3142</v>
      </c>
      <c r="D549" s="13" t="s">
        <v>3143</v>
      </c>
      <c r="E549" s="13" t="s">
        <v>3144</v>
      </c>
      <c r="F549" s="13">
        <v>2018</v>
      </c>
      <c r="G549" s="13" t="s">
        <v>2711</v>
      </c>
      <c r="H549" s="13" t="s">
        <v>53</v>
      </c>
      <c r="I549" s="13" t="s">
        <v>762</v>
      </c>
      <c r="J549" s="30" t="s">
        <v>536</v>
      </c>
      <c r="K549" s="2"/>
      <c r="L549" s="2"/>
      <c r="M549" s="2"/>
      <c r="N549" s="2"/>
      <c r="O549" s="2"/>
      <c r="P549" s="2"/>
      <c r="Q549" s="2"/>
      <c r="R549" s="2"/>
      <c r="S549" s="2"/>
      <c r="T549" s="2"/>
      <c r="U549" s="2"/>
      <c r="V549" s="2"/>
      <c r="W549" s="2"/>
      <c r="X549" s="2"/>
      <c r="Y549" s="2"/>
      <c r="Z549" s="2"/>
      <c r="AS549" s="20"/>
    </row>
    <row r="550" spans="1:45" ht="67.95" customHeight="1">
      <c r="A550" s="13" t="s">
        <v>3145</v>
      </c>
      <c r="B550" s="13" t="s">
        <v>1321</v>
      </c>
      <c r="C550" s="13" t="s">
        <v>3146</v>
      </c>
      <c r="D550" s="13" t="s">
        <v>3147</v>
      </c>
      <c r="E550" s="13" t="s">
        <v>3148</v>
      </c>
      <c r="F550" s="13">
        <v>2025</v>
      </c>
      <c r="G550" s="13" t="s">
        <v>615</v>
      </c>
      <c r="H550" s="13" t="s">
        <v>32</v>
      </c>
      <c r="I550" s="13" t="s">
        <v>762</v>
      </c>
      <c r="J550" s="30" t="s">
        <v>567</v>
      </c>
      <c r="K550" s="2"/>
      <c r="L550" s="2"/>
      <c r="M550" s="2"/>
      <c r="N550" s="2"/>
      <c r="O550" s="2"/>
      <c r="P550" s="2"/>
      <c r="Q550" s="2"/>
      <c r="R550" s="2"/>
      <c r="S550" s="2"/>
      <c r="T550" s="2"/>
      <c r="U550" s="2"/>
      <c r="V550" s="2"/>
      <c r="W550" s="2"/>
      <c r="X550" s="2"/>
      <c r="Y550" s="2"/>
      <c r="Z550" s="2"/>
      <c r="AS550" s="20"/>
    </row>
    <row r="551" spans="1:45" ht="67.95" customHeight="1">
      <c r="A551" s="13" t="s">
        <v>3149</v>
      </c>
      <c r="B551" s="13" t="s">
        <v>3150</v>
      </c>
      <c r="C551" s="13" t="s">
        <v>3151</v>
      </c>
      <c r="D551" s="13" t="s">
        <v>3152</v>
      </c>
      <c r="E551" s="13" t="s">
        <v>3153</v>
      </c>
      <c r="F551" s="13">
        <v>2021</v>
      </c>
      <c r="G551" s="13" t="s">
        <v>3154</v>
      </c>
      <c r="H551" s="13" t="s">
        <v>2506</v>
      </c>
      <c r="I551" s="13" t="s">
        <v>762</v>
      </c>
      <c r="J551" s="30" t="s">
        <v>536</v>
      </c>
      <c r="K551" s="2"/>
      <c r="L551" s="2"/>
      <c r="M551" s="2"/>
      <c r="N551" s="2"/>
      <c r="O551" s="2"/>
      <c r="P551" s="2"/>
      <c r="Q551" s="2"/>
      <c r="R551" s="2"/>
      <c r="S551" s="2"/>
      <c r="T551" s="2"/>
      <c r="U551" s="2"/>
      <c r="V551" s="2"/>
      <c r="W551" s="2"/>
      <c r="X551" s="2"/>
      <c r="Y551" s="2"/>
      <c r="Z551" s="2"/>
      <c r="AS551" s="20"/>
    </row>
    <row r="552" spans="1:45" ht="67.95" customHeight="1">
      <c r="A552" s="13" t="s">
        <v>3155</v>
      </c>
      <c r="B552" s="13" t="s">
        <v>3156</v>
      </c>
      <c r="C552" s="13" t="s">
        <v>3157</v>
      </c>
      <c r="D552" s="13" t="s">
        <v>3158</v>
      </c>
      <c r="E552" s="13" t="s">
        <v>3159</v>
      </c>
      <c r="F552" s="13">
        <v>2023</v>
      </c>
      <c r="G552" s="13" t="s">
        <v>813</v>
      </c>
      <c r="H552" s="13" t="s">
        <v>32</v>
      </c>
      <c r="I552" s="13" t="s">
        <v>762</v>
      </c>
      <c r="J552" s="30" t="s">
        <v>567</v>
      </c>
      <c r="K552" s="2"/>
      <c r="L552" s="2"/>
      <c r="M552" s="2"/>
      <c r="N552" s="2"/>
      <c r="O552" s="2"/>
      <c r="P552" s="2"/>
      <c r="Q552" s="2"/>
      <c r="R552" s="2"/>
      <c r="S552" s="2"/>
      <c r="T552" s="2"/>
      <c r="U552" s="2"/>
      <c r="V552" s="2"/>
      <c r="W552" s="2"/>
      <c r="X552" s="2"/>
      <c r="Y552" s="2"/>
      <c r="Z552" s="2"/>
      <c r="AS552" s="20"/>
    </row>
    <row r="553" spans="1:45" ht="67.95" customHeight="1">
      <c r="A553" s="13" t="s">
        <v>3160</v>
      </c>
      <c r="B553" s="13" t="s">
        <v>3161</v>
      </c>
      <c r="C553" s="13" t="s">
        <v>3162</v>
      </c>
      <c r="D553" s="13" t="s">
        <v>3163</v>
      </c>
      <c r="E553" s="13" t="s">
        <v>3164</v>
      </c>
      <c r="F553" s="13">
        <v>2020</v>
      </c>
      <c r="G553" s="13" t="s">
        <v>3165</v>
      </c>
      <c r="H553" s="13" t="s">
        <v>53</v>
      </c>
      <c r="I553" s="13" t="s">
        <v>762</v>
      </c>
      <c r="J553" s="30" t="s">
        <v>536</v>
      </c>
      <c r="K553" s="2"/>
      <c r="L553" s="2"/>
      <c r="M553" s="2"/>
      <c r="N553" s="2"/>
      <c r="O553" s="2"/>
      <c r="P553" s="2"/>
      <c r="Q553" s="2"/>
      <c r="R553" s="2"/>
      <c r="S553" s="2"/>
      <c r="T553" s="2"/>
      <c r="U553" s="2"/>
      <c r="V553" s="2"/>
      <c r="W553" s="2"/>
      <c r="X553" s="2"/>
      <c r="Y553" s="2"/>
      <c r="Z553" s="2"/>
      <c r="AS553" s="20"/>
    </row>
    <row r="554" spans="1:45" ht="67.95" customHeight="1">
      <c r="A554" s="13" t="s">
        <v>3166</v>
      </c>
      <c r="B554" s="13" t="s">
        <v>3167</v>
      </c>
      <c r="C554" s="13" t="s">
        <v>3168</v>
      </c>
      <c r="D554" s="13" t="s">
        <v>3169</v>
      </c>
      <c r="E554" s="13" t="s">
        <v>3170</v>
      </c>
      <c r="F554" s="13">
        <v>2022</v>
      </c>
      <c r="G554" s="13" t="s">
        <v>3171</v>
      </c>
      <c r="H554" s="13" t="s">
        <v>32</v>
      </c>
      <c r="I554" s="13" t="s">
        <v>762</v>
      </c>
      <c r="J554" s="30" t="s">
        <v>567</v>
      </c>
      <c r="K554" s="2"/>
      <c r="L554" s="2"/>
      <c r="M554" s="2"/>
      <c r="N554" s="2"/>
      <c r="O554" s="2"/>
      <c r="P554" s="2"/>
      <c r="Q554" s="2"/>
      <c r="R554" s="2"/>
      <c r="S554" s="2"/>
      <c r="T554" s="2"/>
      <c r="U554" s="2"/>
      <c r="V554" s="2"/>
      <c r="W554" s="2"/>
      <c r="X554" s="2"/>
      <c r="Y554" s="2"/>
      <c r="Z554" s="2"/>
      <c r="AS554" s="20"/>
    </row>
    <row r="555" spans="1:45" ht="67.95" customHeight="1">
      <c r="A555" s="13" t="s">
        <v>3172</v>
      </c>
      <c r="B555" s="13" t="s">
        <v>3173</v>
      </c>
      <c r="C555" s="13" t="s">
        <v>3174</v>
      </c>
      <c r="D555" s="13" t="s">
        <v>3175</v>
      </c>
      <c r="E555" s="13" t="s">
        <v>3176</v>
      </c>
      <c r="F555" s="13">
        <v>2022</v>
      </c>
      <c r="G555" s="13" t="s">
        <v>3177</v>
      </c>
      <c r="H555" s="13" t="s">
        <v>32</v>
      </c>
      <c r="I555" s="13" t="s">
        <v>762</v>
      </c>
      <c r="J555" s="30" t="s">
        <v>543</v>
      </c>
      <c r="K555" s="2"/>
      <c r="L555" s="2"/>
      <c r="M555" s="2"/>
      <c r="N555" s="2"/>
      <c r="O555" s="2"/>
      <c r="P555" s="2"/>
      <c r="Q555" s="2"/>
      <c r="R555" s="2"/>
      <c r="S555" s="2"/>
      <c r="T555" s="2"/>
      <c r="U555" s="2"/>
      <c r="V555" s="2"/>
      <c r="W555" s="2"/>
      <c r="X555" s="2"/>
      <c r="Y555" s="2"/>
      <c r="Z555" s="2"/>
      <c r="AS555" s="20"/>
    </row>
    <row r="556" spans="1:45" ht="67.95" customHeight="1">
      <c r="A556" s="13" t="s">
        <v>3178</v>
      </c>
      <c r="B556" s="13" t="s">
        <v>3179</v>
      </c>
      <c r="C556" s="13" t="s">
        <v>3180</v>
      </c>
      <c r="D556" s="13" t="s">
        <v>3181</v>
      </c>
      <c r="E556" s="13" t="s">
        <v>3182</v>
      </c>
      <c r="F556" s="13">
        <v>2021</v>
      </c>
      <c r="G556" s="13" t="s">
        <v>813</v>
      </c>
      <c r="H556" s="13" t="s">
        <v>32</v>
      </c>
      <c r="I556" s="13" t="s">
        <v>762</v>
      </c>
      <c r="J556" s="30" t="s">
        <v>579</v>
      </c>
      <c r="K556" s="2"/>
      <c r="L556" s="2"/>
      <c r="M556" s="2"/>
      <c r="N556" s="2"/>
      <c r="O556" s="2"/>
      <c r="P556" s="2"/>
      <c r="Q556" s="2"/>
      <c r="R556" s="2"/>
      <c r="S556" s="2"/>
      <c r="T556" s="2"/>
      <c r="U556" s="2"/>
      <c r="V556" s="2"/>
      <c r="W556" s="2"/>
      <c r="X556" s="2"/>
      <c r="Y556" s="2"/>
      <c r="Z556" s="2"/>
      <c r="AS556" s="20"/>
    </row>
    <row r="557" spans="1:45" ht="67.95" customHeight="1">
      <c r="A557" s="13" t="s">
        <v>3183</v>
      </c>
      <c r="B557" s="13" t="s">
        <v>3184</v>
      </c>
      <c r="C557" s="13" t="s">
        <v>3185</v>
      </c>
      <c r="D557" s="13" t="s">
        <v>3186</v>
      </c>
      <c r="E557" s="13" t="s">
        <v>3187</v>
      </c>
      <c r="F557" s="13">
        <v>2024</v>
      </c>
      <c r="G557" s="13" t="s">
        <v>182</v>
      </c>
      <c r="H557" s="13" t="s">
        <v>53</v>
      </c>
      <c r="I557" s="13" t="s">
        <v>762</v>
      </c>
      <c r="J557" s="30" t="s">
        <v>579</v>
      </c>
      <c r="K557" s="2"/>
      <c r="L557" s="2"/>
      <c r="M557" s="2"/>
      <c r="N557" s="2"/>
      <c r="O557" s="2"/>
      <c r="P557" s="2"/>
      <c r="Q557" s="2"/>
      <c r="R557" s="2"/>
      <c r="S557" s="2"/>
      <c r="T557" s="2"/>
      <c r="U557" s="2"/>
      <c r="V557" s="2"/>
      <c r="W557" s="2"/>
      <c r="X557" s="2"/>
      <c r="Y557" s="2"/>
      <c r="Z557" s="2"/>
      <c r="AS557" s="20"/>
    </row>
    <row r="558" spans="1:45" ht="67.95" customHeight="1">
      <c r="A558" s="13" t="s">
        <v>3188</v>
      </c>
      <c r="B558" s="13" t="s">
        <v>3189</v>
      </c>
      <c r="C558" s="13" t="s">
        <v>3190</v>
      </c>
      <c r="D558" s="13" t="s">
        <v>3191</v>
      </c>
      <c r="E558" s="13" t="s">
        <v>3192</v>
      </c>
      <c r="F558" s="13">
        <v>2024</v>
      </c>
      <c r="G558" s="13" t="s">
        <v>722</v>
      </c>
      <c r="H558" s="13" t="s">
        <v>32</v>
      </c>
      <c r="I558" s="13" t="s">
        <v>762</v>
      </c>
      <c r="J558" s="30" t="s">
        <v>536</v>
      </c>
      <c r="K558" s="2"/>
      <c r="L558" s="2"/>
      <c r="M558" s="2"/>
      <c r="N558" s="2"/>
      <c r="O558" s="2"/>
      <c r="P558" s="2"/>
      <c r="Q558" s="2"/>
      <c r="R558" s="2"/>
      <c r="S558" s="2"/>
      <c r="T558" s="2"/>
      <c r="U558" s="2"/>
      <c r="V558" s="2"/>
      <c r="W558" s="2"/>
      <c r="X558" s="2"/>
      <c r="Y558" s="2"/>
      <c r="Z558" s="2"/>
      <c r="AS558" s="20"/>
    </row>
    <row r="559" spans="1:45" ht="67.95" customHeight="1">
      <c r="A559" s="13" t="s">
        <v>3193</v>
      </c>
      <c r="B559" s="13" t="s">
        <v>3194</v>
      </c>
      <c r="C559" s="13" t="s">
        <v>3195</v>
      </c>
      <c r="D559" s="13" t="s">
        <v>3196</v>
      </c>
      <c r="E559" s="13" t="s">
        <v>3197</v>
      </c>
      <c r="F559" s="13">
        <v>2024</v>
      </c>
      <c r="G559" s="13" t="s">
        <v>3198</v>
      </c>
      <c r="H559" s="13" t="s">
        <v>32</v>
      </c>
      <c r="I559" s="13" t="s">
        <v>762</v>
      </c>
      <c r="J559" s="30" t="s">
        <v>536</v>
      </c>
      <c r="K559" s="2"/>
      <c r="L559" s="2"/>
      <c r="M559" s="2"/>
      <c r="N559" s="2"/>
      <c r="O559" s="2"/>
      <c r="P559" s="2"/>
      <c r="Q559" s="2"/>
      <c r="R559" s="2"/>
      <c r="S559" s="2"/>
      <c r="T559" s="2"/>
      <c r="U559" s="2"/>
      <c r="V559" s="2"/>
      <c r="W559" s="2"/>
      <c r="X559" s="2"/>
      <c r="Y559" s="2"/>
      <c r="Z559" s="2"/>
      <c r="AS559" s="20"/>
    </row>
    <row r="560" spans="1:45" ht="67.95" customHeight="1">
      <c r="A560" s="13" t="s">
        <v>3199</v>
      </c>
      <c r="B560" s="13" t="s">
        <v>3200</v>
      </c>
      <c r="C560" s="13" t="s">
        <v>3201</v>
      </c>
      <c r="D560" s="13" t="s">
        <v>3202</v>
      </c>
      <c r="E560" s="13" t="s">
        <v>3203</v>
      </c>
      <c r="F560" s="13">
        <v>2017</v>
      </c>
      <c r="G560" s="13" t="s">
        <v>3204</v>
      </c>
      <c r="H560" s="13" t="s">
        <v>53</v>
      </c>
      <c r="I560" s="13" t="s">
        <v>762</v>
      </c>
      <c r="J560" s="30" t="s">
        <v>536</v>
      </c>
      <c r="K560" s="2"/>
      <c r="L560" s="2"/>
      <c r="M560" s="2"/>
      <c r="N560" s="2"/>
      <c r="O560" s="2"/>
      <c r="P560" s="2"/>
      <c r="Q560" s="2"/>
      <c r="R560" s="2"/>
      <c r="S560" s="2"/>
      <c r="T560" s="2"/>
      <c r="U560" s="2"/>
      <c r="V560" s="2"/>
      <c r="W560" s="2"/>
      <c r="X560" s="2"/>
      <c r="Y560" s="2"/>
      <c r="Z560" s="2"/>
      <c r="AS560" s="20"/>
    </row>
    <row r="561" spans="1:45" ht="67.95" customHeight="1">
      <c r="A561" s="13" t="s">
        <v>3205</v>
      </c>
      <c r="B561" s="13" t="s">
        <v>3206</v>
      </c>
      <c r="C561" s="13" t="s">
        <v>3207</v>
      </c>
      <c r="D561" s="13" t="s">
        <v>3208</v>
      </c>
      <c r="E561" s="13" t="s">
        <v>3209</v>
      </c>
      <c r="F561" s="13">
        <v>2017</v>
      </c>
      <c r="G561" s="13" t="s">
        <v>1308</v>
      </c>
      <c r="H561" s="13" t="s">
        <v>53</v>
      </c>
      <c r="I561" s="13" t="s">
        <v>762</v>
      </c>
      <c r="J561" s="30" t="s">
        <v>536</v>
      </c>
      <c r="K561" s="2"/>
      <c r="L561" s="2"/>
      <c r="M561" s="2"/>
      <c r="N561" s="2"/>
      <c r="O561" s="2"/>
      <c r="P561" s="2"/>
      <c r="Q561" s="2"/>
      <c r="R561" s="2"/>
      <c r="S561" s="2"/>
      <c r="T561" s="2"/>
      <c r="U561" s="2"/>
      <c r="V561" s="2"/>
      <c r="W561" s="2"/>
      <c r="X561" s="2"/>
      <c r="Y561" s="2"/>
      <c r="Z561" s="2"/>
      <c r="AS561" s="20"/>
    </row>
    <row r="562" spans="1:45" ht="67.95" customHeight="1">
      <c r="A562" s="13" t="s">
        <v>3210</v>
      </c>
      <c r="B562" s="13" t="s">
        <v>3211</v>
      </c>
      <c r="C562" s="13" t="s">
        <v>3212</v>
      </c>
      <c r="D562" s="13" t="s">
        <v>3213</v>
      </c>
      <c r="E562" s="13" t="s">
        <v>3214</v>
      </c>
      <c r="F562" s="13">
        <v>2020</v>
      </c>
      <c r="G562" s="13" t="s">
        <v>854</v>
      </c>
      <c r="H562" s="13" t="s">
        <v>32</v>
      </c>
      <c r="I562" s="13" t="s">
        <v>762</v>
      </c>
      <c r="J562" s="30" t="s">
        <v>882</v>
      </c>
      <c r="K562" s="2"/>
      <c r="L562" s="2"/>
      <c r="M562" s="2"/>
      <c r="N562" s="2"/>
      <c r="O562" s="2"/>
      <c r="P562" s="2"/>
      <c r="Q562" s="2"/>
      <c r="R562" s="2"/>
      <c r="S562" s="2"/>
      <c r="T562" s="2"/>
      <c r="U562" s="2"/>
      <c r="V562" s="2"/>
      <c r="W562" s="2"/>
      <c r="X562" s="2"/>
      <c r="Y562" s="2"/>
      <c r="Z562" s="2"/>
      <c r="AS562" s="20"/>
    </row>
    <row r="563" spans="1:45" ht="67.95" customHeight="1">
      <c r="A563" s="13" t="s">
        <v>3215</v>
      </c>
      <c r="B563" s="13" t="s">
        <v>3216</v>
      </c>
      <c r="C563" s="13" t="s">
        <v>3217</v>
      </c>
      <c r="D563" s="13" t="s">
        <v>3218</v>
      </c>
      <c r="E563" s="13" t="s">
        <v>3219</v>
      </c>
      <c r="F563" s="13">
        <v>2023</v>
      </c>
      <c r="G563" s="13" t="s">
        <v>1064</v>
      </c>
      <c r="H563" s="13" t="s">
        <v>32</v>
      </c>
      <c r="I563" s="13" t="s">
        <v>762</v>
      </c>
      <c r="J563" s="30" t="s">
        <v>567</v>
      </c>
      <c r="K563" s="2"/>
      <c r="L563" s="2"/>
      <c r="M563" s="2"/>
      <c r="N563" s="2"/>
      <c r="O563" s="2"/>
      <c r="P563" s="2"/>
      <c r="Q563" s="2"/>
      <c r="R563" s="2"/>
      <c r="S563" s="2"/>
      <c r="T563" s="2"/>
      <c r="U563" s="2"/>
      <c r="V563" s="2"/>
      <c r="W563" s="2"/>
      <c r="X563" s="2"/>
      <c r="Y563" s="2"/>
      <c r="Z563" s="2"/>
      <c r="AS563" s="20"/>
    </row>
    <row r="564" spans="1:45" ht="67.95" customHeight="1">
      <c r="A564" s="13" t="s">
        <v>3220</v>
      </c>
      <c r="B564" s="13" t="s">
        <v>3221</v>
      </c>
      <c r="C564" s="13" t="s">
        <v>3222</v>
      </c>
      <c r="D564" s="13" t="s">
        <v>3223</v>
      </c>
      <c r="E564" s="13" t="s">
        <v>3224</v>
      </c>
      <c r="F564" s="13">
        <v>2019</v>
      </c>
      <c r="G564" s="13" t="s">
        <v>955</v>
      </c>
      <c r="H564" s="13" t="s">
        <v>32</v>
      </c>
      <c r="I564" s="13" t="s">
        <v>762</v>
      </c>
      <c r="J564" s="30" t="s">
        <v>567</v>
      </c>
      <c r="K564" s="2"/>
      <c r="L564" s="2"/>
      <c r="M564" s="2"/>
      <c r="N564" s="2"/>
      <c r="O564" s="2"/>
      <c r="P564" s="2"/>
      <c r="Q564" s="2"/>
      <c r="R564" s="2"/>
      <c r="S564" s="2"/>
      <c r="T564" s="2"/>
      <c r="U564" s="2"/>
      <c r="V564" s="2"/>
      <c r="W564" s="2"/>
      <c r="X564" s="2"/>
      <c r="Y564" s="2"/>
      <c r="Z564" s="2"/>
      <c r="AS564" s="20"/>
    </row>
    <row r="565" spans="1:45" ht="67.95" customHeight="1">
      <c r="A565" s="13" t="s">
        <v>3225</v>
      </c>
      <c r="B565" s="13" t="s">
        <v>3226</v>
      </c>
      <c r="C565" s="13" t="s">
        <v>3227</v>
      </c>
      <c r="D565" s="13" t="s">
        <v>3228</v>
      </c>
      <c r="E565" s="13" t="s">
        <v>51</v>
      </c>
      <c r="F565" s="13">
        <v>2020</v>
      </c>
      <c r="G565" s="13" t="s">
        <v>2521</v>
      </c>
      <c r="H565" s="13" t="s">
        <v>53</v>
      </c>
      <c r="I565" s="13" t="s">
        <v>762</v>
      </c>
      <c r="J565" s="30" t="s">
        <v>579</v>
      </c>
      <c r="K565" s="2"/>
      <c r="L565" s="2"/>
      <c r="M565" s="2"/>
      <c r="N565" s="2"/>
      <c r="O565" s="2"/>
      <c r="P565" s="2"/>
      <c r="Q565" s="2"/>
      <c r="R565" s="2"/>
      <c r="S565" s="2"/>
      <c r="T565" s="2"/>
      <c r="U565" s="2"/>
      <c r="V565" s="2"/>
      <c r="W565" s="2"/>
      <c r="X565" s="2"/>
      <c r="Y565" s="2"/>
      <c r="Z565" s="2"/>
      <c r="AS565" s="20"/>
    </row>
    <row r="566" spans="1:45" ht="67.95" customHeight="1">
      <c r="A566" s="13" t="s">
        <v>3229</v>
      </c>
      <c r="B566" s="13" t="s">
        <v>3230</v>
      </c>
      <c r="C566" s="13" t="s">
        <v>3231</v>
      </c>
      <c r="D566" s="13" t="s">
        <v>3232</v>
      </c>
      <c r="E566" s="13" t="s">
        <v>3233</v>
      </c>
      <c r="F566" s="13">
        <v>2022</v>
      </c>
      <c r="G566" s="13" t="s">
        <v>3234</v>
      </c>
      <c r="H566" s="13" t="s">
        <v>1772</v>
      </c>
      <c r="I566" s="13" t="s">
        <v>762</v>
      </c>
      <c r="J566" s="30" t="s">
        <v>536</v>
      </c>
      <c r="K566" s="2"/>
      <c r="L566" s="2"/>
      <c r="M566" s="2"/>
      <c r="N566" s="2"/>
      <c r="O566" s="2"/>
      <c r="P566" s="2"/>
      <c r="Q566" s="2"/>
      <c r="R566" s="2"/>
      <c r="S566" s="2"/>
      <c r="T566" s="2"/>
      <c r="U566" s="2"/>
      <c r="V566" s="2"/>
      <c r="W566" s="2"/>
      <c r="X566" s="2"/>
      <c r="Y566" s="2"/>
      <c r="Z566" s="2"/>
      <c r="AS566" s="20"/>
    </row>
    <row r="567" spans="1:45" ht="67.95" customHeight="1">
      <c r="A567" s="13" t="s">
        <v>3235</v>
      </c>
      <c r="B567" s="13" t="s">
        <v>3236</v>
      </c>
      <c r="C567" s="13" t="s">
        <v>3237</v>
      </c>
      <c r="D567" s="13" t="s">
        <v>3238</v>
      </c>
      <c r="E567" s="13" t="s">
        <v>3239</v>
      </c>
      <c r="F567" s="13">
        <v>2023</v>
      </c>
      <c r="G567" s="13" t="s">
        <v>3240</v>
      </c>
      <c r="H567" s="13" t="s">
        <v>32</v>
      </c>
      <c r="I567" s="13" t="s">
        <v>762</v>
      </c>
      <c r="J567" s="30" t="s">
        <v>536</v>
      </c>
      <c r="K567" s="2"/>
      <c r="L567" s="2"/>
      <c r="M567" s="2"/>
      <c r="N567" s="2"/>
      <c r="O567" s="2"/>
      <c r="P567" s="2"/>
      <c r="Q567" s="2"/>
      <c r="R567" s="2"/>
      <c r="S567" s="2"/>
      <c r="T567" s="2"/>
      <c r="U567" s="2"/>
      <c r="V567" s="2"/>
      <c r="W567" s="2"/>
      <c r="X567" s="2"/>
      <c r="Y567" s="2"/>
      <c r="Z567" s="2"/>
      <c r="AS567" s="20"/>
    </row>
    <row r="568" spans="1:45" ht="67.95" customHeight="1">
      <c r="A568" s="13" t="s">
        <v>3241</v>
      </c>
      <c r="B568" s="13" t="s">
        <v>3242</v>
      </c>
      <c r="C568" s="13" t="s">
        <v>3243</v>
      </c>
      <c r="D568" s="13" t="s">
        <v>3244</v>
      </c>
      <c r="E568" s="13" t="s">
        <v>3245</v>
      </c>
      <c r="F568" s="13">
        <v>2023</v>
      </c>
      <c r="G568" s="13" t="s">
        <v>1391</v>
      </c>
      <c r="H568" s="13" t="s">
        <v>53</v>
      </c>
      <c r="I568" s="13" t="s">
        <v>762</v>
      </c>
      <c r="J568" s="30" t="s">
        <v>567</v>
      </c>
      <c r="K568" s="2"/>
      <c r="L568" s="2"/>
      <c r="M568" s="2"/>
      <c r="N568" s="2"/>
      <c r="O568" s="2"/>
      <c r="P568" s="2"/>
      <c r="Q568" s="2"/>
      <c r="R568" s="2"/>
      <c r="S568" s="2"/>
      <c r="T568" s="2"/>
      <c r="U568" s="2"/>
      <c r="V568" s="2"/>
      <c r="W568" s="2"/>
      <c r="X568" s="2"/>
      <c r="Y568" s="2"/>
      <c r="Z568" s="2"/>
      <c r="AS568" s="20"/>
    </row>
    <row r="569" spans="1:45" ht="67.95" customHeight="1">
      <c r="A569" s="13" t="s">
        <v>3246</v>
      </c>
      <c r="B569" s="13" t="s">
        <v>3247</v>
      </c>
      <c r="C569" s="13" t="s">
        <v>3248</v>
      </c>
      <c r="D569" s="13" t="s">
        <v>3249</v>
      </c>
      <c r="E569" s="13" t="s">
        <v>3250</v>
      </c>
      <c r="F569" s="13">
        <v>2022</v>
      </c>
      <c r="G569" s="13" t="s">
        <v>3251</v>
      </c>
      <c r="H569" s="13" t="s">
        <v>53</v>
      </c>
      <c r="I569" s="13" t="s">
        <v>762</v>
      </c>
      <c r="J569" s="30" t="s">
        <v>536</v>
      </c>
      <c r="K569" s="2"/>
      <c r="L569" s="2"/>
      <c r="M569" s="2"/>
      <c r="N569" s="2"/>
      <c r="O569" s="2"/>
      <c r="P569" s="2"/>
      <c r="Q569" s="2"/>
      <c r="R569" s="2"/>
      <c r="S569" s="2"/>
      <c r="T569" s="2"/>
      <c r="U569" s="2"/>
      <c r="V569" s="2"/>
      <c r="W569" s="2"/>
      <c r="X569" s="2"/>
      <c r="Y569" s="2"/>
      <c r="Z569" s="2"/>
      <c r="AS569" s="20"/>
    </row>
    <row r="570" spans="1:45" ht="67.95" customHeight="1">
      <c r="A570" s="13" t="s">
        <v>3252</v>
      </c>
      <c r="B570" s="13" t="s">
        <v>3253</v>
      </c>
      <c r="C570" s="13" t="s">
        <v>3254</v>
      </c>
      <c r="D570" s="13" t="s">
        <v>3255</v>
      </c>
      <c r="E570" s="13" t="s">
        <v>51</v>
      </c>
      <c r="F570" s="13">
        <v>2023</v>
      </c>
      <c r="G570" s="13" t="s">
        <v>3134</v>
      </c>
      <c r="H570" s="13" t="s">
        <v>32</v>
      </c>
      <c r="I570" s="13" t="s">
        <v>762</v>
      </c>
      <c r="J570" s="30" t="s">
        <v>658</v>
      </c>
      <c r="K570" s="2"/>
      <c r="L570" s="2"/>
      <c r="M570" s="2"/>
      <c r="N570" s="2"/>
      <c r="O570" s="2"/>
      <c r="P570" s="2"/>
      <c r="Q570" s="2"/>
      <c r="R570" s="2"/>
      <c r="S570" s="2"/>
      <c r="T570" s="2"/>
      <c r="U570" s="2"/>
      <c r="V570" s="2"/>
      <c r="W570" s="2"/>
      <c r="X570" s="2"/>
      <c r="Y570" s="2"/>
      <c r="Z570" s="2"/>
      <c r="AS570" s="20"/>
    </row>
    <row r="571" spans="1:45" ht="67.95" customHeight="1">
      <c r="A571" s="13" t="s">
        <v>3256</v>
      </c>
      <c r="B571" s="13" t="s">
        <v>3257</v>
      </c>
      <c r="C571" s="13" t="s">
        <v>3258</v>
      </c>
      <c r="D571" s="13" t="s">
        <v>3259</v>
      </c>
      <c r="E571" s="13" t="s">
        <v>3260</v>
      </c>
      <c r="F571" s="13">
        <v>2023</v>
      </c>
      <c r="G571" s="13" t="s">
        <v>854</v>
      </c>
      <c r="H571" s="13" t="s">
        <v>32</v>
      </c>
      <c r="I571" s="13" t="s">
        <v>762</v>
      </c>
      <c r="J571" s="30" t="s">
        <v>567</v>
      </c>
      <c r="K571" s="2"/>
      <c r="L571" s="2"/>
      <c r="M571" s="2"/>
      <c r="N571" s="2"/>
      <c r="O571" s="2"/>
      <c r="P571" s="2"/>
      <c r="Q571" s="2"/>
      <c r="R571" s="2"/>
      <c r="S571" s="2"/>
      <c r="T571" s="2"/>
      <c r="U571" s="2"/>
      <c r="V571" s="2"/>
      <c r="W571" s="2"/>
      <c r="X571" s="2"/>
      <c r="Y571" s="2"/>
      <c r="Z571" s="2"/>
      <c r="AS571" s="20"/>
    </row>
    <row r="572" spans="1:45" ht="67.95" customHeight="1">
      <c r="A572" s="13" t="s">
        <v>3261</v>
      </c>
      <c r="B572" s="13" t="s">
        <v>3262</v>
      </c>
      <c r="C572" s="13" t="s">
        <v>3263</v>
      </c>
      <c r="D572" s="13" t="s">
        <v>3264</v>
      </c>
      <c r="E572" s="13" t="s">
        <v>3265</v>
      </c>
      <c r="F572" s="13">
        <v>2018</v>
      </c>
      <c r="G572" s="13" t="s">
        <v>3266</v>
      </c>
      <c r="H572" s="13" t="s">
        <v>53</v>
      </c>
      <c r="I572" s="13" t="s">
        <v>762</v>
      </c>
      <c r="J572" s="30" t="s">
        <v>543</v>
      </c>
      <c r="K572" s="2"/>
      <c r="L572" s="2"/>
      <c r="M572" s="2"/>
      <c r="N572" s="2"/>
      <c r="O572" s="2"/>
      <c r="P572" s="2"/>
      <c r="Q572" s="2"/>
      <c r="R572" s="2"/>
      <c r="S572" s="2"/>
      <c r="T572" s="2"/>
      <c r="U572" s="2"/>
      <c r="V572" s="2"/>
      <c r="W572" s="2"/>
      <c r="X572" s="2"/>
      <c r="Y572" s="2"/>
      <c r="Z572" s="2"/>
      <c r="AS572" s="20"/>
    </row>
    <row r="573" spans="1:45" ht="67.95" customHeight="1">
      <c r="A573" s="13" t="s">
        <v>3267</v>
      </c>
      <c r="B573" s="13" t="s">
        <v>3268</v>
      </c>
      <c r="C573" s="13" t="s">
        <v>3269</v>
      </c>
      <c r="D573" s="13" t="s">
        <v>3270</v>
      </c>
      <c r="E573" s="13" t="s">
        <v>3271</v>
      </c>
      <c r="F573" s="13">
        <v>2024</v>
      </c>
      <c r="G573" s="13" t="s">
        <v>2711</v>
      </c>
      <c r="H573" s="13" t="s">
        <v>53</v>
      </c>
      <c r="I573" s="26" t="s">
        <v>762</v>
      </c>
      <c r="J573" s="32" t="s">
        <v>2393</v>
      </c>
      <c r="K573" s="2"/>
      <c r="L573" s="2"/>
      <c r="M573" s="2"/>
      <c r="N573" s="2"/>
      <c r="O573" s="2"/>
      <c r="P573" s="2"/>
      <c r="Q573" s="2"/>
      <c r="R573" s="2"/>
      <c r="S573" s="2"/>
      <c r="T573" s="25"/>
      <c r="U573" s="2"/>
      <c r="V573" s="2"/>
      <c r="W573" s="2"/>
      <c r="X573" s="22"/>
      <c r="Y573" s="2"/>
      <c r="Z573" s="2"/>
      <c r="AS573" s="20"/>
    </row>
    <row r="574" spans="1:45" ht="67.95" customHeight="1">
      <c r="A574" s="13" t="s">
        <v>3272</v>
      </c>
      <c r="B574" s="13" t="s">
        <v>3273</v>
      </c>
      <c r="C574" s="13" t="s">
        <v>3274</v>
      </c>
      <c r="D574" s="13" t="s">
        <v>3275</v>
      </c>
      <c r="E574" s="13" t="s">
        <v>3276</v>
      </c>
      <c r="F574" s="13">
        <v>2021</v>
      </c>
      <c r="G574" s="13" t="s">
        <v>3277</v>
      </c>
      <c r="H574" s="13" t="s">
        <v>32</v>
      </c>
      <c r="I574" s="13" t="s">
        <v>762</v>
      </c>
      <c r="J574" s="30" t="s">
        <v>579</v>
      </c>
      <c r="K574" s="2"/>
      <c r="L574" s="2"/>
      <c r="M574" s="2"/>
      <c r="N574" s="2"/>
      <c r="O574" s="2"/>
      <c r="P574" s="2"/>
      <c r="Q574" s="2"/>
      <c r="R574" s="2"/>
      <c r="S574" s="2"/>
      <c r="T574" s="2"/>
      <c r="U574" s="2"/>
      <c r="V574" s="2"/>
      <c r="W574" s="2"/>
      <c r="X574" s="2"/>
      <c r="Y574" s="2"/>
      <c r="Z574" s="2"/>
      <c r="AS574" s="20"/>
    </row>
    <row r="575" spans="1:45" ht="67.95" customHeight="1">
      <c r="A575" s="13" t="s">
        <v>3278</v>
      </c>
      <c r="B575" s="13" t="s">
        <v>894</v>
      </c>
      <c r="C575" s="13" t="s">
        <v>3279</v>
      </c>
      <c r="D575" s="13" t="s">
        <v>3280</v>
      </c>
      <c r="E575" s="13" t="s">
        <v>3281</v>
      </c>
      <c r="F575" s="13">
        <v>2024</v>
      </c>
      <c r="G575" s="13" t="s">
        <v>898</v>
      </c>
      <c r="H575" s="13" t="s">
        <v>32</v>
      </c>
      <c r="I575" s="13" t="s">
        <v>762</v>
      </c>
      <c r="J575" s="30" t="s">
        <v>658</v>
      </c>
      <c r="K575" s="2"/>
      <c r="L575" s="2"/>
      <c r="M575" s="2"/>
      <c r="N575" s="2"/>
      <c r="O575" s="2"/>
      <c r="P575" s="2"/>
      <c r="Q575" s="2"/>
      <c r="R575" s="2"/>
      <c r="S575" s="2"/>
      <c r="T575" s="2"/>
      <c r="U575" s="2"/>
      <c r="V575" s="2"/>
      <c r="W575" s="2"/>
      <c r="X575" s="2"/>
      <c r="Y575" s="2"/>
      <c r="Z575" s="2"/>
      <c r="AS575" s="20"/>
    </row>
    <row r="576" spans="1:45" ht="67.95" customHeight="1">
      <c r="A576" s="13" t="s">
        <v>3282</v>
      </c>
      <c r="B576" s="13" t="s">
        <v>51</v>
      </c>
      <c r="C576" s="13" t="s">
        <v>51</v>
      </c>
      <c r="D576" s="13" t="s">
        <v>3283</v>
      </c>
      <c r="E576" s="13" t="s">
        <v>51</v>
      </c>
      <c r="F576" s="13">
        <v>2020</v>
      </c>
      <c r="G576" s="13" t="s">
        <v>2804</v>
      </c>
      <c r="H576" s="13" t="s">
        <v>32</v>
      </c>
      <c r="I576" s="13" t="s">
        <v>762</v>
      </c>
      <c r="J576" s="30" t="s">
        <v>658</v>
      </c>
      <c r="K576" s="2"/>
      <c r="L576" s="2"/>
      <c r="M576" s="2"/>
      <c r="N576" s="2"/>
      <c r="O576" s="2"/>
      <c r="P576" s="2"/>
      <c r="Q576" s="2"/>
      <c r="R576" s="2"/>
      <c r="S576" s="2"/>
      <c r="T576" s="2"/>
      <c r="U576" s="2"/>
      <c r="V576" s="2"/>
      <c r="W576" s="2"/>
      <c r="X576" s="2"/>
      <c r="Y576" s="2"/>
      <c r="Z576" s="2"/>
      <c r="AS576" s="20"/>
    </row>
    <row r="577" spans="1:45" ht="67.95" customHeight="1">
      <c r="A577" s="13" t="s">
        <v>3284</v>
      </c>
      <c r="B577" s="13" t="s">
        <v>3285</v>
      </c>
      <c r="C577" s="13" t="s">
        <v>3286</v>
      </c>
      <c r="D577" s="13" t="s">
        <v>3287</v>
      </c>
      <c r="E577" s="13" t="s">
        <v>3288</v>
      </c>
      <c r="F577" s="13">
        <v>2019</v>
      </c>
      <c r="G577" s="13" t="s">
        <v>2894</v>
      </c>
      <c r="H577" s="13" t="s">
        <v>32</v>
      </c>
      <c r="I577" s="13" t="s">
        <v>762</v>
      </c>
      <c r="J577" s="30" t="s">
        <v>567</v>
      </c>
      <c r="K577" s="2"/>
      <c r="L577" s="2"/>
      <c r="M577" s="2"/>
      <c r="N577" s="2"/>
      <c r="O577" s="2"/>
      <c r="P577" s="2"/>
      <c r="Q577" s="2"/>
      <c r="R577" s="2"/>
      <c r="S577" s="2"/>
      <c r="T577" s="2"/>
      <c r="U577" s="2"/>
      <c r="V577" s="2"/>
      <c r="W577" s="2"/>
      <c r="X577" s="2"/>
      <c r="Y577" s="2"/>
      <c r="Z577" s="2"/>
      <c r="AS577" s="20"/>
    </row>
    <row r="578" spans="1:45" ht="67.95" customHeight="1">
      <c r="A578" s="13" t="s">
        <v>3289</v>
      </c>
      <c r="B578" s="13" t="s">
        <v>3290</v>
      </c>
      <c r="C578" s="13" t="s">
        <v>3291</v>
      </c>
      <c r="D578" s="13" t="s">
        <v>3292</v>
      </c>
      <c r="E578" s="13" t="s">
        <v>3293</v>
      </c>
      <c r="F578" s="13">
        <v>2022</v>
      </c>
      <c r="G578" s="13" t="s">
        <v>555</v>
      </c>
      <c r="H578" s="13" t="s">
        <v>53</v>
      </c>
      <c r="I578" s="13" t="s">
        <v>762</v>
      </c>
      <c r="J578" s="30" t="s">
        <v>536</v>
      </c>
      <c r="K578" s="2"/>
      <c r="L578" s="2"/>
      <c r="M578" s="2"/>
      <c r="N578" s="2"/>
      <c r="O578" s="2"/>
      <c r="P578" s="2"/>
      <c r="Q578" s="2"/>
      <c r="R578" s="2"/>
      <c r="S578" s="2"/>
      <c r="T578" s="2"/>
      <c r="U578" s="2"/>
      <c r="V578" s="2"/>
      <c r="W578" s="2"/>
      <c r="X578" s="2"/>
      <c r="Y578" s="2"/>
      <c r="Z578" s="2"/>
      <c r="AS578" s="20"/>
    </row>
    <row r="579" spans="1:45" ht="67.95" customHeight="1">
      <c r="A579" s="13" t="s">
        <v>3294</v>
      </c>
      <c r="B579" s="13" t="s">
        <v>3295</v>
      </c>
      <c r="C579" s="13" t="s">
        <v>3296</v>
      </c>
      <c r="D579" s="13" t="s">
        <v>3297</v>
      </c>
      <c r="E579" s="13" t="s">
        <v>3298</v>
      </c>
      <c r="F579" s="13">
        <v>2017</v>
      </c>
      <c r="G579" s="13" t="s">
        <v>3299</v>
      </c>
      <c r="H579" s="13" t="s">
        <v>53</v>
      </c>
      <c r="I579" s="13" t="s">
        <v>762</v>
      </c>
      <c r="J579" s="30" t="s">
        <v>536</v>
      </c>
      <c r="K579" s="2"/>
      <c r="L579" s="2"/>
      <c r="M579" s="2"/>
      <c r="N579" s="2"/>
      <c r="O579" s="2"/>
      <c r="P579" s="2"/>
      <c r="Q579" s="2"/>
      <c r="R579" s="2"/>
      <c r="S579" s="2"/>
      <c r="T579" s="2"/>
      <c r="U579" s="2"/>
      <c r="V579" s="2"/>
      <c r="W579" s="2"/>
      <c r="X579" s="2"/>
      <c r="Y579" s="2"/>
      <c r="Z579" s="2"/>
      <c r="AS579" s="20"/>
    </row>
    <row r="580" spans="1:45" ht="67.95" customHeight="1">
      <c r="A580" s="13" t="s">
        <v>3300</v>
      </c>
      <c r="B580" s="13" t="s">
        <v>3301</v>
      </c>
      <c r="C580" s="13" t="s">
        <v>3302</v>
      </c>
      <c r="D580" s="13" t="s">
        <v>3303</v>
      </c>
      <c r="E580" s="13" t="s">
        <v>3304</v>
      </c>
      <c r="F580" s="13">
        <v>2019</v>
      </c>
      <c r="G580" s="13" t="s">
        <v>1016</v>
      </c>
      <c r="H580" s="13" t="s">
        <v>53</v>
      </c>
      <c r="I580" s="13" t="s">
        <v>762</v>
      </c>
      <c r="J580" s="30" t="s">
        <v>536</v>
      </c>
      <c r="K580" s="2"/>
      <c r="L580" s="2"/>
      <c r="M580" s="2"/>
      <c r="N580" s="2"/>
      <c r="O580" s="2"/>
      <c r="P580" s="2"/>
      <c r="Q580" s="2"/>
      <c r="R580" s="2"/>
      <c r="S580" s="2"/>
      <c r="T580" s="2"/>
      <c r="U580" s="2"/>
      <c r="V580" s="2"/>
      <c r="W580" s="2"/>
      <c r="X580" s="2"/>
      <c r="Y580" s="2"/>
      <c r="Z580" s="2"/>
      <c r="AS580" s="20"/>
    </row>
    <row r="581" spans="1:45" ht="67.95" customHeight="1">
      <c r="A581" s="13" t="s">
        <v>3305</v>
      </c>
      <c r="B581" s="13" t="s">
        <v>3306</v>
      </c>
      <c r="C581" s="13" t="s">
        <v>3307</v>
      </c>
      <c r="D581" s="13" t="s">
        <v>3308</v>
      </c>
      <c r="E581" s="13" t="s">
        <v>3309</v>
      </c>
      <c r="F581" s="13">
        <v>2017</v>
      </c>
      <c r="G581" s="13" t="s">
        <v>3310</v>
      </c>
      <c r="H581" s="13" t="s">
        <v>53</v>
      </c>
      <c r="I581" s="13" t="s">
        <v>762</v>
      </c>
      <c r="J581" s="30" t="s">
        <v>536</v>
      </c>
      <c r="K581" s="2"/>
      <c r="L581" s="2"/>
      <c r="M581" s="2"/>
      <c r="N581" s="2"/>
      <c r="O581" s="2"/>
      <c r="P581" s="2"/>
      <c r="Q581" s="2"/>
      <c r="R581" s="2"/>
      <c r="S581" s="2"/>
      <c r="T581" s="2"/>
      <c r="U581" s="2"/>
      <c r="V581" s="2"/>
      <c r="W581" s="2"/>
      <c r="X581" s="2"/>
      <c r="Y581" s="2"/>
      <c r="Z581" s="2"/>
      <c r="AS581" s="20"/>
    </row>
    <row r="582" spans="1:45" ht="67.95" customHeight="1">
      <c r="A582" s="13" t="s">
        <v>3311</v>
      </c>
      <c r="B582" s="13" t="s">
        <v>3312</v>
      </c>
      <c r="C582" s="13" t="s">
        <v>3313</v>
      </c>
      <c r="D582" s="13" t="s">
        <v>3314</v>
      </c>
      <c r="E582" s="13" t="s">
        <v>51</v>
      </c>
      <c r="F582" s="13">
        <v>2025</v>
      </c>
      <c r="G582" s="13" t="s">
        <v>3315</v>
      </c>
      <c r="H582" s="13" t="s">
        <v>32</v>
      </c>
      <c r="I582" s="13" t="s">
        <v>762</v>
      </c>
      <c r="J582" s="30" t="s">
        <v>646</v>
      </c>
      <c r="K582" s="2"/>
      <c r="L582" s="2"/>
      <c r="M582" s="2"/>
      <c r="N582" s="2"/>
      <c r="O582" s="2"/>
      <c r="P582" s="2"/>
      <c r="Q582" s="2"/>
      <c r="R582" s="2"/>
      <c r="S582" s="2"/>
      <c r="T582" s="2"/>
      <c r="U582" s="2"/>
      <c r="V582" s="2"/>
      <c r="W582" s="2"/>
      <c r="X582" s="2"/>
      <c r="Y582" s="2"/>
      <c r="Z582" s="2"/>
      <c r="AS582" s="20"/>
    </row>
    <row r="583" spans="1:45" ht="67.95" customHeight="1">
      <c r="A583" s="13" t="s">
        <v>3316</v>
      </c>
      <c r="B583" s="13" t="s">
        <v>3317</v>
      </c>
      <c r="C583" s="13" t="s">
        <v>3318</v>
      </c>
      <c r="D583" s="13" t="s">
        <v>3319</v>
      </c>
      <c r="E583" s="13" t="s">
        <v>3320</v>
      </c>
      <c r="F583" s="13">
        <v>2025</v>
      </c>
      <c r="G583" s="13" t="s">
        <v>3321</v>
      </c>
      <c r="H583" s="13" t="s">
        <v>32</v>
      </c>
      <c r="I583" s="13" t="s">
        <v>762</v>
      </c>
      <c r="J583" s="30" t="s">
        <v>536</v>
      </c>
      <c r="K583" s="2"/>
      <c r="L583" s="2"/>
      <c r="M583" s="2"/>
      <c r="N583" s="2"/>
      <c r="O583" s="2"/>
      <c r="P583" s="2"/>
      <c r="Q583" s="2"/>
      <c r="R583" s="2"/>
      <c r="S583" s="2"/>
      <c r="T583" s="2"/>
      <c r="U583" s="2"/>
      <c r="V583" s="2"/>
      <c r="W583" s="2"/>
      <c r="X583" s="2"/>
      <c r="Y583" s="2"/>
      <c r="Z583" s="2"/>
      <c r="AS583" s="20"/>
    </row>
    <row r="584" spans="1:45" ht="67.95" customHeight="1">
      <c r="A584" s="13" t="s">
        <v>3322</v>
      </c>
      <c r="B584" s="13" t="s">
        <v>3323</v>
      </c>
      <c r="C584" s="13" t="s">
        <v>3324</v>
      </c>
      <c r="D584" s="13" t="s">
        <v>3325</v>
      </c>
      <c r="E584" s="13" t="s">
        <v>3326</v>
      </c>
      <c r="F584" s="13">
        <v>2022</v>
      </c>
      <c r="G584" s="13" t="s">
        <v>1713</v>
      </c>
      <c r="H584" s="13" t="s">
        <v>32</v>
      </c>
      <c r="I584" s="13" t="s">
        <v>762</v>
      </c>
      <c r="J584" s="30" t="s">
        <v>536</v>
      </c>
      <c r="K584" s="2"/>
      <c r="L584" s="2"/>
      <c r="M584" s="2"/>
      <c r="N584" s="2"/>
      <c r="O584" s="2"/>
      <c r="P584" s="2"/>
      <c r="Q584" s="2"/>
      <c r="R584" s="2"/>
      <c r="S584" s="2"/>
      <c r="T584" s="2"/>
      <c r="U584" s="2"/>
      <c r="V584" s="2"/>
      <c r="W584" s="2"/>
      <c r="X584" s="2"/>
      <c r="Y584" s="2"/>
      <c r="Z584" s="2"/>
      <c r="AS584" s="20"/>
    </row>
    <row r="585" spans="1:45" ht="67.95" customHeight="1">
      <c r="A585" s="13" t="s">
        <v>3327</v>
      </c>
      <c r="B585" s="13" t="s">
        <v>3328</v>
      </c>
      <c r="C585" s="13" t="s">
        <v>3329</v>
      </c>
      <c r="D585" s="13" t="s">
        <v>3330</v>
      </c>
      <c r="E585" s="13" t="s">
        <v>3331</v>
      </c>
      <c r="F585" s="13">
        <v>2025</v>
      </c>
      <c r="G585" s="13" t="s">
        <v>670</v>
      </c>
      <c r="H585" s="13" t="s">
        <v>32</v>
      </c>
      <c r="I585" s="13" t="s">
        <v>762</v>
      </c>
      <c r="J585" s="30" t="s">
        <v>543</v>
      </c>
      <c r="K585" s="2"/>
      <c r="L585" s="2"/>
      <c r="M585" s="2"/>
      <c r="N585" s="2"/>
      <c r="O585" s="2"/>
      <c r="P585" s="2"/>
      <c r="Q585" s="2"/>
      <c r="R585" s="2"/>
      <c r="S585" s="2"/>
      <c r="T585" s="2"/>
      <c r="U585" s="2"/>
      <c r="V585" s="2"/>
      <c r="W585" s="2"/>
      <c r="X585" s="2"/>
      <c r="Y585" s="2"/>
      <c r="Z585" s="2"/>
      <c r="AS585" s="20"/>
    </row>
    <row r="586" spans="1:45" ht="67.95" customHeight="1">
      <c r="A586" s="13" t="s">
        <v>3332</v>
      </c>
      <c r="B586" s="13" t="s">
        <v>3333</v>
      </c>
      <c r="C586" s="13" t="s">
        <v>3334</v>
      </c>
      <c r="D586" s="13" t="s">
        <v>3335</v>
      </c>
      <c r="E586" s="13" t="s">
        <v>3336</v>
      </c>
      <c r="F586" s="13">
        <v>2022</v>
      </c>
      <c r="G586" s="13" t="s">
        <v>670</v>
      </c>
      <c r="H586" s="13" t="s">
        <v>32</v>
      </c>
      <c r="I586" s="13" t="s">
        <v>762</v>
      </c>
      <c r="J586" s="30" t="s">
        <v>567</v>
      </c>
      <c r="K586" s="2"/>
      <c r="L586" s="2"/>
      <c r="M586" s="2"/>
      <c r="N586" s="2"/>
      <c r="O586" s="2"/>
      <c r="P586" s="2"/>
      <c r="Q586" s="2"/>
      <c r="R586" s="2"/>
      <c r="S586" s="2"/>
      <c r="T586" s="2"/>
      <c r="U586" s="2"/>
      <c r="V586" s="2"/>
      <c r="W586" s="2"/>
      <c r="X586" s="2"/>
      <c r="Y586" s="2"/>
      <c r="Z586" s="2"/>
      <c r="AS586" s="20"/>
    </row>
    <row r="587" spans="1:45" ht="67.95" customHeight="1">
      <c r="A587" s="13" t="s">
        <v>3337</v>
      </c>
      <c r="B587" s="13" t="s">
        <v>3338</v>
      </c>
      <c r="C587" s="13" t="s">
        <v>3339</v>
      </c>
      <c r="D587" s="13" t="s">
        <v>3340</v>
      </c>
      <c r="E587" s="13" t="s">
        <v>3341</v>
      </c>
      <c r="F587" s="13">
        <v>2019</v>
      </c>
      <c r="G587" s="13" t="s">
        <v>1170</v>
      </c>
      <c r="H587" s="13" t="s">
        <v>32</v>
      </c>
      <c r="I587" s="13" t="s">
        <v>762</v>
      </c>
      <c r="J587" s="30" t="s">
        <v>658</v>
      </c>
      <c r="K587" s="2"/>
      <c r="L587" s="2"/>
      <c r="M587" s="2"/>
      <c r="N587" s="2"/>
      <c r="O587" s="2"/>
      <c r="P587" s="2"/>
      <c r="Q587" s="2"/>
      <c r="R587" s="2"/>
      <c r="S587" s="2"/>
      <c r="T587" s="2"/>
      <c r="U587" s="2"/>
      <c r="V587" s="2"/>
      <c r="W587" s="2"/>
      <c r="X587" s="2"/>
      <c r="Y587" s="2"/>
      <c r="Z587" s="2"/>
      <c r="AS587" s="20"/>
    </row>
    <row r="588" spans="1:45" ht="67.95" customHeight="1">
      <c r="A588" s="13" t="s">
        <v>3342</v>
      </c>
      <c r="B588" s="13" t="s">
        <v>3343</v>
      </c>
      <c r="C588" s="13" t="s">
        <v>3344</v>
      </c>
      <c r="D588" s="13" t="s">
        <v>3345</v>
      </c>
      <c r="E588" s="13" t="s">
        <v>3346</v>
      </c>
      <c r="F588" s="13">
        <v>2017</v>
      </c>
      <c r="G588" s="13" t="s">
        <v>842</v>
      </c>
      <c r="H588" s="13" t="s">
        <v>32</v>
      </c>
      <c r="I588" s="13" t="s">
        <v>762</v>
      </c>
      <c r="J588" s="30" t="s">
        <v>543</v>
      </c>
      <c r="K588" s="2"/>
      <c r="L588" s="2"/>
      <c r="M588" s="2"/>
      <c r="N588" s="2"/>
      <c r="O588" s="2"/>
      <c r="P588" s="2"/>
      <c r="Q588" s="2"/>
      <c r="R588" s="2"/>
      <c r="S588" s="2"/>
      <c r="T588" s="2"/>
      <c r="U588" s="2"/>
      <c r="V588" s="2"/>
      <c r="W588" s="2"/>
      <c r="X588" s="2"/>
      <c r="Y588" s="2"/>
      <c r="Z588" s="2"/>
      <c r="AS588" s="20"/>
    </row>
    <row r="589" spans="1:45" ht="67.95" customHeight="1">
      <c r="A589" s="13" t="s">
        <v>3347</v>
      </c>
      <c r="B589" s="13" t="s">
        <v>3348</v>
      </c>
      <c r="C589" s="13" t="s">
        <v>3349</v>
      </c>
      <c r="D589" s="13" t="s">
        <v>3350</v>
      </c>
      <c r="E589" s="13" t="s">
        <v>3351</v>
      </c>
      <c r="F589" s="13">
        <v>2022</v>
      </c>
      <c r="G589" s="13" t="s">
        <v>688</v>
      </c>
      <c r="H589" s="13" t="s">
        <v>32</v>
      </c>
      <c r="I589" s="13" t="s">
        <v>762</v>
      </c>
      <c r="J589" s="30" t="s">
        <v>536</v>
      </c>
      <c r="K589" s="2"/>
      <c r="L589" s="2"/>
      <c r="M589" s="2"/>
      <c r="N589" s="2"/>
      <c r="O589" s="2"/>
      <c r="P589" s="2"/>
      <c r="Q589" s="2"/>
      <c r="R589" s="2"/>
      <c r="S589" s="2"/>
      <c r="T589" s="2"/>
      <c r="U589" s="2"/>
      <c r="V589" s="2"/>
      <c r="W589" s="2"/>
      <c r="X589" s="2"/>
      <c r="Y589" s="2"/>
      <c r="Z589" s="2"/>
      <c r="AS589" s="20"/>
    </row>
    <row r="590" spans="1:45" ht="67.95" customHeight="1">
      <c r="A590" s="13" t="s">
        <v>3352</v>
      </c>
      <c r="B590" s="13" t="s">
        <v>3353</v>
      </c>
      <c r="C590" s="13" t="s">
        <v>3354</v>
      </c>
      <c r="D590" s="13" t="s">
        <v>3355</v>
      </c>
      <c r="E590" s="13" t="s">
        <v>51</v>
      </c>
      <c r="F590" s="13">
        <v>2023</v>
      </c>
      <c r="G590" s="13" t="s">
        <v>670</v>
      </c>
      <c r="H590" s="13" t="s">
        <v>32</v>
      </c>
      <c r="I590" s="13" t="s">
        <v>762</v>
      </c>
      <c r="J590" s="30" t="s">
        <v>567</v>
      </c>
      <c r="K590" s="2"/>
      <c r="L590" s="2"/>
      <c r="M590" s="2"/>
      <c r="N590" s="2"/>
      <c r="O590" s="2"/>
      <c r="P590" s="2"/>
      <c r="Q590" s="2"/>
      <c r="R590" s="2"/>
      <c r="S590" s="2"/>
      <c r="T590" s="2"/>
      <c r="U590" s="2"/>
      <c r="V590" s="2"/>
      <c r="W590" s="2"/>
      <c r="X590" s="2"/>
      <c r="Y590" s="2"/>
      <c r="Z590" s="2"/>
      <c r="AS590" s="20"/>
    </row>
    <row r="591" spans="1:45" ht="67.95" customHeight="1">
      <c r="A591" s="13" t="s">
        <v>3356</v>
      </c>
      <c r="B591" s="13" t="s">
        <v>3357</v>
      </c>
      <c r="C591" s="13" t="s">
        <v>3358</v>
      </c>
      <c r="D591" s="13" t="s">
        <v>3359</v>
      </c>
      <c r="E591" s="13" t="s">
        <v>3360</v>
      </c>
      <c r="F591" s="13">
        <v>2023</v>
      </c>
      <c r="G591" s="13" t="s">
        <v>621</v>
      </c>
      <c r="H591" s="13" t="s">
        <v>32</v>
      </c>
      <c r="I591" s="13" t="s">
        <v>762</v>
      </c>
      <c r="J591" s="30" t="s">
        <v>567</v>
      </c>
      <c r="K591" s="2"/>
      <c r="L591" s="2"/>
      <c r="M591" s="2"/>
      <c r="N591" s="2"/>
      <c r="O591" s="2"/>
      <c r="P591" s="2"/>
      <c r="Q591" s="2"/>
      <c r="R591" s="2"/>
      <c r="S591" s="2"/>
      <c r="T591" s="2"/>
      <c r="U591" s="2"/>
      <c r="V591" s="2"/>
      <c r="W591" s="2"/>
      <c r="X591" s="2"/>
      <c r="Y591" s="2"/>
      <c r="Z591" s="2"/>
      <c r="AS591" s="20"/>
    </row>
    <row r="592" spans="1:45" ht="67.95" customHeight="1">
      <c r="A592" s="13" t="s">
        <v>3361</v>
      </c>
      <c r="B592" s="13" t="s">
        <v>3362</v>
      </c>
      <c r="C592" s="13" t="s">
        <v>3363</v>
      </c>
      <c r="D592" s="13" t="s">
        <v>3364</v>
      </c>
      <c r="E592" s="13" t="s">
        <v>3365</v>
      </c>
      <c r="F592" s="13">
        <v>2023</v>
      </c>
      <c r="G592" s="13" t="s">
        <v>3366</v>
      </c>
      <c r="H592" s="13" t="s">
        <v>32</v>
      </c>
      <c r="I592" s="13" t="s">
        <v>762</v>
      </c>
      <c r="J592" s="30" t="s">
        <v>567</v>
      </c>
      <c r="K592" s="2"/>
      <c r="L592" s="2"/>
      <c r="M592" s="2"/>
      <c r="N592" s="2"/>
      <c r="O592" s="2"/>
      <c r="P592" s="2"/>
      <c r="Q592" s="2"/>
      <c r="R592" s="2"/>
      <c r="S592" s="2"/>
      <c r="T592" s="2"/>
      <c r="U592" s="2"/>
      <c r="V592" s="2"/>
      <c r="W592" s="2"/>
      <c r="X592" s="2"/>
      <c r="Y592" s="2"/>
      <c r="Z592" s="2"/>
      <c r="AS592" s="20"/>
    </row>
    <row r="593" spans="1:45" ht="67.95" customHeight="1">
      <c r="A593" s="13" t="s">
        <v>3367</v>
      </c>
      <c r="B593" s="13" t="s">
        <v>3368</v>
      </c>
      <c r="C593" s="13" t="s">
        <v>3369</v>
      </c>
      <c r="D593" s="13" t="s">
        <v>3370</v>
      </c>
      <c r="E593" s="13" t="s">
        <v>3371</v>
      </c>
      <c r="F593" s="13">
        <v>2022</v>
      </c>
      <c r="G593" s="13" t="s">
        <v>3372</v>
      </c>
      <c r="H593" s="13" t="s">
        <v>53</v>
      </c>
      <c r="I593" s="13" t="s">
        <v>762</v>
      </c>
      <c r="J593" s="30" t="s">
        <v>536</v>
      </c>
      <c r="K593" s="2"/>
      <c r="L593" s="2"/>
      <c r="M593" s="2"/>
      <c r="N593" s="2"/>
      <c r="O593" s="2"/>
      <c r="P593" s="2"/>
      <c r="Q593" s="2"/>
      <c r="R593" s="2"/>
      <c r="S593" s="2"/>
      <c r="T593" s="2"/>
      <c r="U593" s="2"/>
      <c r="V593" s="2"/>
      <c r="W593" s="2"/>
      <c r="X593" s="2"/>
      <c r="Y593" s="2"/>
      <c r="Z593" s="2"/>
      <c r="AS593" s="20"/>
    </row>
    <row r="594" spans="1:45" ht="67.95" customHeight="1">
      <c r="A594" s="13" t="s">
        <v>3373</v>
      </c>
      <c r="B594" s="13" t="s">
        <v>3374</v>
      </c>
      <c r="C594" s="13" t="s">
        <v>3375</v>
      </c>
      <c r="D594" s="13" t="s">
        <v>3376</v>
      </c>
      <c r="E594" s="13" t="s">
        <v>3377</v>
      </c>
      <c r="F594" s="13">
        <v>2023</v>
      </c>
      <c r="G594" s="13" t="s">
        <v>3378</v>
      </c>
      <c r="H594" s="13" t="s">
        <v>53</v>
      </c>
      <c r="I594" s="13" t="s">
        <v>762</v>
      </c>
      <c r="J594" s="30" t="s">
        <v>567</v>
      </c>
      <c r="K594" s="2"/>
      <c r="L594" s="2"/>
      <c r="M594" s="2"/>
      <c r="N594" s="2"/>
      <c r="O594" s="2"/>
      <c r="P594" s="2"/>
      <c r="Q594" s="2"/>
      <c r="R594" s="2"/>
      <c r="S594" s="2"/>
      <c r="T594" s="2"/>
      <c r="U594" s="2"/>
      <c r="V594" s="2"/>
      <c r="W594" s="2"/>
      <c r="X594" s="2"/>
      <c r="Y594" s="2"/>
      <c r="Z594" s="2"/>
      <c r="AS594" s="20"/>
    </row>
    <row r="595" spans="1:45" ht="67.95" customHeight="1">
      <c r="A595" s="13" t="s">
        <v>3379</v>
      </c>
      <c r="B595" s="13" t="s">
        <v>3380</v>
      </c>
      <c r="C595" s="13" t="s">
        <v>3381</v>
      </c>
      <c r="D595" s="13" t="s">
        <v>3382</v>
      </c>
      <c r="E595" s="13" t="s">
        <v>51</v>
      </c>
      <c r="F595" s="13">
        <v>2024</v>
      </c>
      <c r="G595" s="13" t="s">
        <v>3383</v>
      </c>
      <c r="H595" s="13" t="s">
        <v>53</v>
      </c>
      <c r="I595" s="13" t="s">
        <v>762</v>
      </c>
      <c r="J595" s="30" t="s">
        <v>2393</v>
      </c>
      <c r="K595" s="2"/>
      <c r="L595" s="2"/>
      <c r="M595" s="2"/>
      <c r="N595" s="2"/>
      <c r="O595" s="2"/>
      <c r="P595" s="2"/>
      <c r="Q595" s="2"/>
      <c r="R595" s="2"/>
      <c r="S595" s="2"/>
      <c r="T595" s="2"/>
      <c r="U595" s="2"/>
      <c r="V595" s="2"/>
      <c r="W595" s="2"/>
      <c r="X595" s="2"/>
      <c r="Y595" s="2"/>
      <c r="Z595" s="2"/>
      <c r="AS595" s="20"/>
    </row>
    <row r="596" spans="1:45" ht="67.95" customHeight="1">
      <c r="A596" s="13" t="s">
        <v>3384</v>
      </c>
      <c r="B596" s="13"/>
      <c r="C596" s="13" t="s">
        <v>3385</v>
      </c>
      <c r="D596" s="13" t="s">
        <v>3386</v>
      </c>
      <c r="E596" s="13"/>
      <c r="F596" s="13">
        <v>2026</v>
      </c>
      <c r="G596" s="13" t="s">
        <v>3387</v>
      </c>
      <c r="H596" s="13" t="s">
        <v>193</v>
      </c>
      <c r="I596" s="13" t="s">
        <v>762</v>
      </c>
      <c r="J596" s="30" t="s">
        <v>882</v>
      </c>
      <c r="K596" s="2"/>
      <c r="L596" s="2"/>
      <c r="M596" s="2"/>
      <c r="N596" s="2"/>
      <c r="O596" s="2"/>
      <c r="P596" s="2"/>
      <c r="Q596" s="2"/>
      <c r="R596" s="2"/>
      <c r="S596" s="2"/>
      <c r="T596" s="2"/>
      <c r="U596" s="2"/>
      <c r="V596" s="2"/>
      <c r="W596" s="2"/>
      <c r="X596" s="2"/>
      <c r="Y596" s="2"/>
      <c r="Z596" s="2"/>
      <c r="AS596" s="20"/>
    </row>
    <row r="597" spans="1:45" ht="67.95" customHeight="1">
      <c r="A597" s="13" t="s">
        <v>3388</v>
      </c>
      <c r="B597" s="13" t="s">
        <v>3389</v>
      </c>
      <c r="C597" s="13" t="s">
        <v>3390</v>
      </c>
      <c r="D597" s="13" t="s">
        <v>3391</v>
      </c>
      <c r="E597" s="13" t="s">
        <v>3392</v>
      </c>
      <c r="F597" s="13">
        <v>2020</v>
      </c>
      <c r="G597" s="13" t="s">
        <v>854</v>
      </c>
      <c r="H597" s="13" t="s">
        <v>32</v>
      </c>
      <c r="I597" s="13" t="s">
        <v>762</v>
      </c>
      <c r="J597" s="30" t="s">
        <v>536</v>
      </c>
      <c r="K597" s="2"/>
      <c r="L597" s="2"/>
      <c r="M597" s="2"/>
      <c r="N597" s="2"/>
      <c r="O597" s="2"/>
      <c r="P597" s="2"/>
      <c r="Q597" s="2"/>
      <c r="R597" s="2"/>
      <c r="S597" s="2"/>
      <c r="T597" s="2"/>
      <c r="U597" s="2"/>
      <c r="V597" s="2"/>
      <c r="W597" s="2"/>
      <c r="X597" s="2"/>
      <c r="Y597" s="2"/>
      <c r="Z597" s="2"/>
      <c r="AS597" s="20"/>
    </row>
    <row r="598" spans="1:45" ht="67.95" customHeight="1">
      <c r="A598" s="13" t="s">
        <v>3393</v>
      </c>
      <c r="B598" s="13" t="s">
        <v>3394</v>
      </c>
      <c r="C598" s="13" t="s">
        <v>3395</v>
      </c>
      <c r="D598" s="13" t="s">
        <v>3396</v>
      </c>
      <c r="E598" s="13" t="s">
        <v>3397</v>
      </c>
      <c r="F598" s="13">
        <v>2025</v>
      </c>
      <c r="G598" s="13" t="s">
        <v>578</v>
      </c>
      <c r="H598" s="13" t="s">
        <v>32</v>
      </c>
      <c r="I598" s="13" t="s">
        <v>762</v>
      </c>
      <c r="J598" s="30" t="s">
        <v>579</v>
      </c>
      <c r="K598" s="2"/>
      <c r="L598" s="2"/>
      <c r="M598" s="2"/>
      <c r="N598" s="2"/>
      <c r="O598" s="2"/>
      <c r="P598" s="2"/>
      <c r="Q598" s="2"/>
      <c r="R598" s="2"/>
      <c r="S598" s="2"/>
      <c r="T598" s="2"/>
      <c r="U598" s="2"/>
      <c r="V598" s="2"/>
      <c r="W598" s="2"/>
      <c r="X598" s="2"/>
      <c r="Y598" s="2"/>
      <c r="Z598" s="2"/>
      <c r="AS598" s="20"/>
    </row>
    <row r="599" spans="1:45" ht="67.95" customHeight="1">
      <c r="A599" s="13" t="s">
        <v>3398</v>
      </c>
      <c r="B599" s="13" t="s">
        <v>3399</v>
      </c>
      <c r="C599" s="13" t="s">
        <v>3400</v>
      </c>
      <c r="D599" s="13" t="s">
        <v>3401</v>
      </c>
      <c r="E599" s="13" t="s">
        <v>3402</v>
      </c>
      <c r="F599" s="13">
        <v>2023</v>
      </c>
      <c r="G599" s="13" t="s">
        <v>3403</v>
      </c>
      <c r="H599" s="13" t="s">
        <v>136</v>
      </c>
      <c r="I599" s="13" t="s">
        <v>762</v>
      </c>
      <c r="J599" s="30" t="s">
        <v>567</v>
      </c>
      <c r="K599" s="2"/>
      <c r="L599" s="2"/>
      <c r="M599" s="2"/>
      <c r="N599" s="2"/>
      <c r="O599" s="2"/>
      <c r="P599" s="2"/>
      <c r="Q599" s="2"/>
      <c r="R599" s="2"/>
      <c r="S599" s="2"/>
      <c r="T599" s="2"/>
      <c r="U599" s="2"/>
      <c r="V599" s="2"/>
      <c r="W599" s="2"/>
      <c r="X599" s="2"/>
      <c r="Y599" s="2"/>
      <c r="Z599" s="2"/>
      <c r="AS599" s="20"/>
    </row>
    <row r="600" spans="1:45" ht="67.95" customHeight="1">
      <c r="A600" s="13" t="s">
        <v>3404</v>
      </c>
      <c r="B600" s="13" t="s">
        <v>3405</v>
      </c>
      <c r="C600" s="13" t="s">
        <v>3406</v>
      </c>
      <c r="D600" s="13" t="s">
        <v>3407</v>
      </c>
      <c r="E600" s="13" t="s">
        <v>3408</v>
      </c>
      <c r="F600" s="13">
        <v>2022</v>
      </c>
      <c r="G600" s="13" t="s">
        <v>670</v>
      </c>
      <c r="H600" s="13" t="s">
        <v>53</v>
      </c>
      <c r="I600" s="13" t="s">
        <v>762</v>
      </c>
      <c r="J600" s="30" t="s">
        <v>536</v>
      </c>
      <c r="K600" s="2"/>
      <c r="L600" s="2"/>
      <c r="M600" s="2"/>
      <c r="N600" s="2"/>
      <c r="O600" s="2"/>
      <c r="P600" s="2"/>
      <c r="Q600" s="2"/>
      <c r="R600" s="2"/>
      <c r="S600" s="2"/>
      <c r="T600" s="2"/>
      <c r="U600" s="2"/>
      <c r="V600" s="2"/>
      <c r="W600" s="2"/>
      <c r="X600" s="2"/>
      <c r="Y600" s="2"/>
      <c r="Z600" s="2"/>
      <c r="AS600" s="20"/>
    </row>
    <row r="601" spans="1:45" ht="67.95" customHeight="1">
      <c r="A601" s="13" t="s">
        <v>3409</v>
      </c>
      <c r="B601" s="13" t="s">
        <v>3410</v>
      </c>
      <c r="C601" s="13" t="s">
        <v>3411</v>
      </c>
      <c r="D601" s="13" t="s">
        <v>3412</v>
      </c>
      <c r="E601" s="13" t="s">
        <v>3413</v>
      </c>
      <c r="F601" s="13">
        <v>2024</v>
      </c>
      <c r="G601" s="13" t="s">
        <v>3414</v>
      </c>
      <c r="H601" s="13" t="s">
        <v>32</v>
      </c>
      <c r="I601" s="13" t="s">
        <v>762</v>
      </c>
      <c r="J601" s="30" t="s">
        <v>543</v>
      </c>
      <c r="K601" s="2"/>
      <c r="L601" s="2"/>
      <c r="M601" s="2"/>
      <c r="N601" s="2"/>
      <c r="O601" s="2"/>
      <c r="P601" s="2"/>
      <c r="Q601" s="2"/>
      <c r="R601" s="2"/>
      <c r="S601" s="2"/>
      <c r="T601" s="2"/>
      <c r="U601" s="2"/>
      <c r="V601" s="2"/>
      <c r="W601" s="2"/>
      <c r="X601" s="2"/>
      <c r="Y601" s="2"/>
      <c r="Z601" s="2"/>
      <c r="AS601" s="20"/>
    </row>
    <row r="602" spans="1:45" ht="67.95" customHeight="1">
      <c r="A602" s="13" t="s">
        <v>3415</v>
      </c>
      <c r="B602" s="13" t="s">
        <v>3416</v>
      </c>
      <c r="C602" s="13" t="s">
        <v>3417</v>
      </c>
      <c r="D602" s="13" t="s">
        <v>3418</v>
      </c>
      <c r="E602" s="13" t="s">
        <v>3419</v>
      </c>
      <c r="F602" s="13">
        <v>2023</v>
      </c>
      <c r="G602" s="13" t="s">
        <v>3420</v>
      </c>
      <c r="H602" s="13" t="s">
        <v>32</v>
      </c>
      <c r="I602" s="13" t="s">
        <v>762</v>
      </c>
      <c r="J602" s="30" t="s">
        <v>536</v>
      </c>
      <c r="K602" s="2"/>
      <c r="L602" s="2"/>
      <c r="M602" s="2"/>
      <c r="N602" s="2"/>
      <c r="O602" s="2"/>
      <c r="P602" s="2"/>
      <c r="Q602" s="2"/>
      <c r="R602" s="2"/>
      <c r="S602" s="2"/>
      <c r="T602" s="2"/>
      <c r="U602" s="2"/>
      <c r="V602" s="2"/>
      <c r="W602" s="2"/>
      <c r="X602" s="2"/>
      <c r="Y602" s="2"/>
      <c r="Z602" s="2"/>
      <c r="AS602" s="20"/>
    </row>
    <row r="603" spans="1:45" ht="67.95" customHeight="1">
      <c r="A603" s="13" t="s">
        <v>3421</v>
      </c>
      <c r="B603" s="13" t="s">
        <v>3422</v>
      </c>
      <c r="C603" s="13" t="s">
        <v>3423</v>
      </c>
      <c r="D603" s="13" t="s">
        <v>3424</v>
      </c>
      <c r="E603" s="13" t="s">
        <v>3425</v>
      </c>
      <c r="F603" s="13">
        <v>2019</v>
      </c>
      <c r="G603" s="13" t="s">
        <v>603</v>
      </c>
      <c r="H603" s="13" t="s">
        <v>32</v>
      </c>
      <c r="I603" s="13" t="s">
        <v>762</v>
      </c>
      <c r="J603" s="30" t="s">
        <v>646</v>
      </c>
      <c r="K603" s="2"/>
      <c r="L603" s="2"/>
      <c r="M603" s="2"/>
      <c r="N603" s="2"/>
      <c r="O603" s="2"/>
      <c r="P603" s="2"/>
      <c r="Q603" s="2"/>
      <c r="R603" s="2"/>
      <c r="S603" s="2"/>
      <c r="T603" s="2"/>
      <c r="U603" s="2"/>
      <c r="V603" s="2"/>
      <c r="W603" s="2"/>
      <c r="X603" s="2"/>
      <c r="Y603" s="2"/>
      <c r="Z603" s="2"/>
      <c r="AS603" s="20"/>
    </row>
    <row r="604" spans="1:45" ht="67.95" customHeight="1">
      <c r="A604" s="13" t="s">
        <v>3426</v>
      </c>
      <c r="B604" s="13" t="s">
        <v>3427</v>
      </c>
      <c r="C604" s="13" t="s">
        <v>3428</v>
      </c>
      <c r="D604" s="13" t="s">
        <v>3429</v>
      </c>
      <c r="E604" s="13" t="s">
        <v>3430</v>
      </c>
      <c r="F604" s="13">
        <v>2021</v>
      </c>
      <c r="G604" s="13" t="s">
        <v>1004</v>
      </c>
      <c r="H604" s="13" t="s">
        <v>32</v>
      </c>
      <c r="I604" s="13" t="s">
        <v>762</v>
      </c>
      <c r="J604" s="30" t="s">
        <v>536</v>
      </c>
      <c r="K604" s="2"/>
      <c r="L604" s="2"/>
      <c r="M604" s="2"/>
      <c r="N604" s="2"/>
      <c r="O604" s="2"/>
      <c r="P604" s="2"/>
      <c r="Q604" s="2"/>
      <c r="R604" s="2"/>
      <c r="S604" s="2"/>
      <c r="T604" s="2"/>
      <c r="U604" s="2"/>
      <c r="V604" s="2"/>
      <c r="W604" s="2"/>
      <c r="X604" s="2"/>
      <c r="Y604" s="2"/>
      <c r="Z604" s="2"/>
      <c r="AS604" s="20"/>
    </row>
    <row r="605" spans="1:45" ht="67.95" customHeight="1">
      <c r="A605" s="13" t="s">
        <v>3431</v>
      </c>
      <c r="B605" s="13" t="s">
        <v>3432</v>
      </c>
      <c r="C605" s="13" t="s">
        <v>3433</v>
      </c>
      <c r="D605" s="13" t="s">
        <v>3434</v>
      </c>
      <c r="E605" s="13" t="s">
        <v>3435</v>
      </c>
      <c r="F605" s="13">
        <v>2023</v>
      </c>
      <c r="G605" s="13" t="s">
        <v>3436</v>
      </c>
      <c r="H605" s="13" t="s">
        <v>32</v>
      </c>
      <c r="I605" s="13" t="s">
        <v>762</v>
      </c>
      <c r="J605" s="30" t="s">
        <v>536</v>
      </c>
      <c r="K605" s="2"/>
      <c r="L605" s="2"/>
      <c r="M605" s="2"/>
      <c r="N605" s="2"/>
      <c r="O605" s="2"/>
      <c r="P605" s="2"/>
      <c r="Q605" s="2"/>
      <c r="R605" s="2"/>
      <c r="S605" s="2"/>
      <c r="T605" s="2"/>
      <c r="U605" s="2"/>
      <c r="V605" s="2"/>
      <c r="W605" s="2"/>
      <c r="X605" s="2"/>
      <c r="Y605" s="2"/>
      <c r="Z605" s="2"/>
      <c r="AS605" s="20"/>
    </row>
    <row r="606" spans="1:45" ht="67.95" customHeight="1">
      <c r="A606" s="13" t="s">
        <v>3437</v>
      </c>
      <c r="B606" s="13" t="s">
        <v>3438</v>
      </c>
      <c r="C606" s="13" t="s">
        <v>3439</v>
      </c>
      <c r="D606" s="13" t="s">
        <v>3440</v>
      </c>
      <c r="E606" s="13" t="s">
        <v>3441</v>
      </c>
      <c r="F606" s="13">
        <v>2019</v>
      </c>
      <c r="G606" s="13" t="s">
        <v>1016</v>
      </c>
      <c r="H606" s="13" t="s">
        <v>32</v>
      </c>
      <c r="I606" s="13" t="s">
        <v>762</v>
      </c>
      <c r="J606" s="30" t="s">
        <v>536</v>
      </c>
      <c r="K606" s="2"/>
      <c r="L606" s="2"/>
      <c r="M606" s="2"/>
      <c r="N606" s="2"/>
      <c r="O606" s="2"/>
      <c r="P606" s="2"/>
      <c r="Q606" s="2"/>
      <c r="R606" s="2"/>
      <c r="S606" s="2"/>
      <c r="T606" s="2"/>
      <c r="U606" s="2"/>
      <c r="V606" s="2"/>
      <c r="W606" s="2"/>
      <c r="X606" s="2"/>
      <c r="Y606" s="2"/>
      <c r="Z606" s="2"/>
      <c r="AS606" s="20"/>
    </row>
    <row r="607" spans="1:45" ht="67.95" customHeight="1">
      <c r="A607" s="13" t="s">
        <v>3442</v>
      </c>
      <c r="B607" s="13" t="s">
        <v>3443</v>
      </c>
      <c r="C607" s="13" t="s">
        <v>3444</v>
      </c>
      <c r="D607" s="13" t="s">
        <v>3445</v>
      </c>
      <c r="E607" s="13" t="s">
        <v>3446</v>
      </c>
      <c r="F607" s="13">
        <v>2021</v>
      </c>
      <c r="G607" s="13" t="s">
        <v>561</v>
      </c>
      <c r="H607" s="13" t="s">
        <v>32</v>
      </c>
      <c r="I607" s="13" t="s">
        <v>762</v>
      </c>
      <c r="J607" s="30" t="s">
        <v>579</v>
      </c>
      <c r="K607" s="2"/>
      <c r="L607" s="2"/>
      <c r="M607" s="2"/>
      <c r="N607" s="2"/>
      <c r="O607" s="2"/>
      <c r="P607" s="2"/>
      <c r="Q607" s="2"/>
      <c r="R607" s="2"/>
      <c r="S607" s="2"/>
      <c r="T607" s="2"/>
      <c r="U607" s="2"/>
      <c r="V607" s="2"/>
      <c r="W607" s="2"/>
      <c r="X607" s="2"/>
      <c r="Y607" s="2"/>
      <c r="Z607" s="2"/>
      <c r="AS607" s="20"/>
    </row>
    <row r="608" spans="1:45" ht="67.95" customHeight="1">
      <c r="A608" s="13" t="s">
        <v>3447</v>
      </c>
      <c r="B608" s="13" t="s">
        <v>3448</v>
      </c>
      <c r="C608" s="13" t="s">
        <v>3449</v>
      </c>
      <c r="D608" s="13" t="s">
        <v>3450</v>
      </c>
      <c r="E608" s="13" t="s">
        <v>3451</v>
      </c>
      <c r="F608" s="13">
        <v>2023</v>
      </c>
      <c r="G608" s="13" t="s">
        <v>854</v>
      </c>
      <c r="H608" s="13" t="s">
        <v>32</v>
      </c>
      <c r="I608" s="13" t="s">
        <v>762</v>
      </c>
      <c r="J608" s="30" t="s">
        <v>536</v>
      </c>
      <c r="K608" s="2"/>
      <c r="L608" s="2"/>
      <c r="M608" s="2"/>
      <c r="N608" s="2"/>
      <c r="O608" s="2"/>
      <c r="P608" s="2"/>
      <c r="Q608" s="2"/>
      <c r="R608" s="2"/>
      <c r="S608" s="2"/>
      <c r="T608" s="2"/>
      <c r="U608" s="2"/>
      <c r="V608" s="2"/>
      <c r="W608" s="2"/>
      <c r="X608" s="2"/>
      <c r="Y608" s="2"/>
      <c r="Z608" s="2"/>
      <c r="AS608" s="20"/>
    </row>
    <row r="609" spans="1:45" ht="67.95" customHeight="1">
      <c r="A609" s="13" t="s">
        <v>3452</v>
      </c>
      <c r="B609" s="13" t="s">
        <v>3453</v>
      </c>
      <c r="C609" s="13" t="s">
        <v>3454</v>
      </c>
      <c r="D609" s="13" t="s">
        <v>3455</v>
      </c>
      <c r="E609" s="13" t="s">
        <v>3456</v>
      </c>
      <c r="F609" s="13">
        <v>2021</v>
      </c>
      <c r="G609" s="13" t="s">
        <v>854</v>
      </c>
      <c r="H609" s="13" t="s">
        <v>32</v>
      </c>
      <c r="I609" s="13" t="s">
        <v>762</v>
      </c>
      <c r="J609" s="30" t="s">
        <v>567</v>
      </c>
      <c r="K609" s="2"/>
      <c r="L609" s="2"/>
      <c r="M609" s="2"/>
      <c r="N609" s="2"/>
      <c r="O609" s="2"/>
      <c r="P609" s="2"/>
      <c r="Q609" s="2"/>
      <c r="R609" s="2"/>
      <c r="S609" s="2"/>
      <c r="T609" s="2"/>
      <c r="U609" s="2"/>
      <c r="V609" s="2"/>
      <c r="W609" s="2"/>
      <c r="X609" s="2"/>
      <c r="Y609" s="2"/>
      <c r="Z609" s="2"/>
      <c r="AS609" s="20"/>
    </row>
    <row r="610" spans="1:45" ht="67.95" customHeight="1">
      <c r="A610" s="13" t="s">
        <v>3457</v>
      </c>
      <c r="B610" s="13" t="s">
        <v>3458</v>
      </c>
      <c r="C610" s="13" t="s">
        <v>3459</v>
      </c>
      <c r="D610" s="13" t="s">
        <v>3460</v>
      </c>
      <c r="E610" s="13" t="s">
        <v>3461</v>
      </c>
      <c r="F610" s="13">
        <v>2015</v>
      </c>
      <c r="G610" s="13" t="s">
        <v>1218</v>
      </c>
      <c r="H610" s="13" t="s">
        <v>53</v>
      </c>
      <c r="I610" s="13" t="s">
        <v>762</v>
      </c>
      <c r="J610" s="30" t="s">
        <v>536</v>
      </c>
      <c r="K610" s="2"/>
      <c r="L610" s="2"/>
      <c r="M610" s="2"/>
      <c r="N610" s="2"/>
      <c r="O610" s="2"/>
      <c r="P610" s="2"/>
      <c r="Q610" s="2"/>
      <c r="R610" s="2"/>
      <c r="S610" s="2"/>
      <c r="T610" s="2"/>
      <c r="U610" s="2"/>
      <c r="V610" s="2"/>
      <c r="W610" s="2"/>
      <c r="X610" s="2"/>
      <c r="Y610" s="2"/>
      <c r="Z610" s="2"/>
      <c r="AS610" s="20"/>
    </row>
    <row r="611" spans="1:45" ht="67.95" customHeight="1">
      <c r="A611" s="13" t="s">
        <v>3462</v>
      </c>
      <c r="B611" s="13" t="s">
        <v>3463</v>
      </c>
      <c r="C611" s="13" t="s">
        <v>3464</v>
      </c>
      <c r="D611" s="13" t="s">
        <v>3465</v>
      </c>
      <c r="E611" s="13" t="s">
        <v>3466</v>
      </c>
      <c r="F611" s="13">
        <v>2020</v>
      </c>
      <c r="G611" s="13" t="s">
        <v>898</v>
      </c>
      <c r="H611" s="13" t="s">
        <v>32</v>
      </c>
      <c r="I611" s="13" t="s">
        <v>762</v>
      </c>
      <c r="J611" s="30" t="s">
        <v>567</v>
      </c>
      <c r="K611" s="2"/>
      <c r="L611" s="2"/>
      <c r="M611" s="2"/>
      <c r="N611" s="2"/>
      <c r="O611" s="2"/>
      <c r="P611" s="2"/>
      <c r="Q611" s="2"/>
      <c r="R611" s="2"/>
      <c r="S611" s="2"/>
      <c r="T611" s="2"/>
      <c r="U611" s="2"/>
      <c r="V611" s="2"/>
      <c r="W611" s="2"/>
      <c r="X611" s="2"/>
      <c r="Y611" s="2"/>
      <c r="Z611" s="2"/>
      <c r="AS611" s="20"/>
    </row>
    <row r="612" spans="1:45" ht="67.95" customHeight="1">
      <c r="A612" s="13" t="s">
        <v>3467</v>
      </c>
      <c r="B612" s="13" t="s">
        <v>3468</v>
      </c>
      <c r="C612" s="13" t="s">
        <v>3469</v>
      </c>
      <c r="D612" s="13" t="s">
        <v>3470</v>
      </c>
      <c r="E612" s="13" t="s">
        <v>3471</v>
      </c>
      <c r="F612" s="13">
        <v>2019</v>
      </c>
      <c r="G612" s="13" t="s">
        <v>2711</v>
      </c>
      <c r="H612" s="13" t="s">
        <v>53</v>
      </c>
      <c r="I612" s="13" t="s">
        <v>762</v>
      </c>
      <c r="J612" s="30" t="s">
        <v>536</v>
      </c>
      <c r="K612" s="2"/>
      <c r="L612" s="2"/>
      <c r="M612" s="2"/>
      <c r="N612" s="2"/>
      <c r="O612" s="2"/>
      <c r="P612" s="2"/>
      <c r="Q612" s="2"/>
      <c r="R612" s="2"/>
      <c r="S612" s="2"/>
      <c r="T612" s="2"/>
      <c r="U612" s="2"/>
      <c r="V612" s="2"/>
      <c r="W612" s="2"/>
      <c r="X612" s="2"/>
      <c r="Y612" s="2"/>
      <c r="Z612" s="2"/>
      <c r="AS612" s="20"/>
    </row>
    <row r="613" spans="1:45" ht="67.95" customHeight="1">
      <c r="A613" s="13" t="s">
        <v>3472</v>
      </c>
      <c r="B613" s="13" t="s">
        <v>3473</v>
      </c>
      <c r="C613" s="13" t="s">
        <v>3474</v>
      </c>
      <c r="D613" s="13" t="s">
        <v>3475</v>
      </c>
      <c r="E613" s="13" t="s">
        <v>3476</v>
      </c>
      <c r="F613" s="13">
        <v>2018</v>
      </c>
      <c r="G613" s="13" t="s">
        <v>3477</v>
      </c>
      <c r="H613" s="13" t="s">
        <v>53</v>
      </c>
      <c r="I613" s="13" t="s">
        <v>762</v>
      </c>
      <c r="J613" s="30" t="s">
        <v>536</v>
      </c>
      <c r="K613" s="2"/>
      <c r="L613" s="2"/>
      <c r="M613" s="2"/>
      <c r="N613" s="2"/>
      <c r="O613" s="2"/>
      <c r="P613" s="2"/>
      <c r="Q613" s="2"/>
      <c r="R613" s="2"/>
      <c r="S613" s="2"/>
      <c r="T613" s="2"/>
      <c r="U613" s="2"/>
      <c r="V613" s="2"/>
      <c r="W613" s="2"/>
      <c r="X613" s="2"/>
      <c r="Y613" s="2"/>
      <c r="Z613" s="2"/>
      <c r="AS613" s="20"/>
    </row>
    <row r="614" spans="1:45" ht="67.95" customHeight="1">
      <c r="A614" s="13" t="s">
        <v>3478</v>
      </c>
      <c r="B614" s="13" t="s">
        <v>3479</v>
      </c>
      <c r="C614" s="13" t="s">
        <v>3480</v>
      </c>
      <c r="D614" s="14" t="s">
        <v>3481</v>
      </c>
      <c r="E614" s="13" t="s">
        <v>3482</v>
      </c>
      <c r="F614" s="13">
        <v>2025</v>
      </c>
      <c r="G614" s="13" t="s">
        <v>3483</v>
      </c>
      <c r="H614" s="13" t="s">
        <v>53</v>
      </c>
      <c r="I614" s="13" t="s">
        <v>762</v>
      </c>
      <c r="J614" s="30" t="s">
        <v>567</v>
      </c>
      <c r="K614" s="2"/>
      <c r="L614" s="2"/>
      <c r="M614" s="2"/>
      <c r="N614" s="2"/>
      <c r="O614" s="2"/>
      <c r="P614" s="2"/>
      <c r="Q614" s="2"/>
      <c r="R614" s="2"/>
      <c r="S614" s="2"/>
      <c r="T614" s="2"/>
      <c r="U614" s="2"/>
      <c r="V614" s="2"/>
      <c r="W614" s="2"/>
      <c r="X614" s="2"/>
      <c r="Y614" s="2"/>
      <c r="Z614" s="2"/>
      <c r="AS614" s="20"/>
    </row>
    <row r="615" spans="1:45" ht="67.95" customHeight="1">
      <c r="A615" s="13" t="s">
        <v>3484</v>
      </c>
      <c r="B615" s="13" t="s">
        <v>3485</v>
      </c>
      <c r="C615" s="13" t="s">
        <v>3486</v>
      </c>
      <c r="D615" s="13" t="s">
        <v>3487</v>
      </c>
      <c r="E615" s="13" t="s">
        <v>3488</v>
      </c>
      <c r="F615" s="13">
        <v>2022</v>
      </c>
      <c r="G615" s="13" t="s">
        <v>3489</v>
      </c>
      <c r="H615" s="13" t="s">
        <v>32</v>
      </c>
      <c r="I615" s="13" t="s">
        <v>762</v>
      </c>
      <c r="J615" s="30" t="s">
        <v>536</v>
      </c>
      <c r="K615" s="2"/>
      <c r="L615" s="2"/>
      <c r="M615" s="2"/>
      <c r="N615" s="2"/>
      <c r="O615" s="2"/>
      <c r="P615" s="2"/>
      <c r="Q615" s="2"/>
      <c r="R615" s="2"/>
      <c r="S615" s="2"/>
      <c r="T615" s="2"/>
      <c r="U615" s="2"/>
      <c r="V615" s="2"/>
      <c r="W615" s="2"/>
      <c r="X615" s="2"/>
      <c r="Y615" s="2"/>
      <c r="Z615" s="2"/>
      <c r="AS615" s="20"/>
    </row>
    <row r="616" spans="1:45" ht="67.95" customHeight="1">
      <c r="A616" s="13" t="s">
        <v>3490</v>
      </c>
      <c r="B616" s="13" t="s">
        <v>3491</v>
      </c>
      <c r="C616" s="13" t="s">
        <v>3492</v>
      </c>
      <c r="D616" s="13" t="s">
        <v>3493</v>
      </c>
      <c r="E616" s="13" t="s">
        <v>3494</v>
      </c>
      <c r="F616" s="13">
        <v>2019</v>
      </c>
      <c r="G616" s="13" t="s">
        <v>3495</v>
      </c>
      <c r="H616" s="13" t="s">
        <v>53</v>
      </c>
      <c r="I616" s="13" t="s">
        <v>762</v>
      </c>
      <c r="J616" s="30" t="s">
        <v>536</v>
      </c>
      <c r="K616" s="2"/>
      <c r="L616" s="2"/>
      <c r="M616" s="2"/>
      <c r="N616" s="2"/>
      <c r="O616" s="2"/>
      <c r="P616" s="2"/>
      <c r="Q616" s="2"/>
      <c r="R616" s="2"/>
      <c r="S616" s="2"/>
      <c r="T616" s="2"/>
      <c r="U616" s="2"/>
      <c r="V616" s="2"/>
      <c r="W616" s="2"/>
      <c r="X616" s="2"/>
      <c r="Y616" s="2"/>
      <c r="Z616" s="2"/>
      <c r="AS616" s="20"/>
    </row>
    <row r="617" spans="1:45" ht="67.95" customHeight="1">
      <c r="A617" s="13" t="s">
        <v>3496</v>
      </c>
      <c r="B617" s="13" t="s">
        <v>3497</v>
      </c>
      <c r="C617" s="13" t="s">
        <v>3498</v>
      </c>
      <c r="D617" s="13" t="s">
        <v>3499</v>
      </c>
      <c r="E617" s="13" t="s">
        <v>3500</v>
      </c>
      <c r="F617" s="13">
        <v>2020</v>
      </c>
      <c r="G617" s="13" t="s">
        <v>172</v>
      </c>
      <c r="H617" s="13" t="s">
        <v>32</v>
      </c>
      <c r="I617" s="13" t="s">
        <v>762</v>
      </c>
      <c r="J617" s="30" t="s">
        <v>536</v>
      </c>
      <c r="K617" s="2"/>
      <c r="L617" s="2"/>
      <c r="M617" s="2"/>
      <c r="N617" s="2"/>
      <c r="O617" s="2"/>
      <c r="P617" s="2"/>
      <c r="Q617" s="2"/>
      <c r="R617" s="2"/>
      <c r="S617" s="2"/>
      <c r="T617" s="2"/>
      <c r="U617" s="2"/>
      <c r="V617" s="2"/>
      <c r="W617" s="2"/>
      <c r="X617" s="2"/>
      <c r="Y617" s="2"/>
      <c r="Z617" s="2"/>
      <c r="AS617" s="20"/>
    </row>
    <row r="618" spans="1:45" ht="67.95" customHeight="1">
      <c r="A618" s="13" t="s">
        <v>3501</v>
      </c>
      <c r="B618" s="13" t="s">
        <v>3502</v>
      </c>
      <c r="C618" s="13" t="s">
        <v>3503</v>
      </c>
      <c r="D618" s="13" t="s">
        <v>3504</v>
      </c>
      <c r="E618" s="13" t="s">
        <v>51</v>
      </c>
      <c r="F618" s="13">
        <v>2025</v>
      </c>
      <c r="G618" s="13" t="s">
        <v>3505</v>
      </c>
      <c r="H618" s="13" t="s">
        <v>53</v>
      </c>
      <c r="I618" s="13" t="s">
        <v>762</v>
      </c>
      <c r="J618" s="30" t="s">
        <v>567</v>
      </c>
      <c r="K618" s="2"/>
      <c r="L618" s="2"/>
      <c r="M618" s="2"/>
      <c r="N618" s="2"/>
      <c r="O618" s="2"/>
      <c r="P618" s="2"/>
      <c r="Q618" s="2"/>
      <c r="R618" s="2"/>
      <c r="S618" s="2"/>
      <c r="T618" s="2"/>
      <c r="U618" s="2"/>
      <c r="V618" s="2"/>
      <c r="W618" s="2"/>
      <c r="X618" s="2"/>
      <c r="Y618" s="2"/>
      <c r="Z618" s="2"/>
      <c r="AS618" s="20"/>
    </row>
    <row r="619" spans="1:45" ht="67.95" customHeight="1">
      <c r="A619" s="13" t="s">
        <v>3506</v>
      </c>
      <c r="B619" s="13" t="s">
        <v>3507</v>
      </c>
      <c r="C619" s="13" t="s">
        <v>3508</v>
      </c>
      <c r="D619" s="13" t="s">
        <v>3509</v>
      </c>
      <c r="E619" s="13" t="s">
        <v>3510</v>
      </c>
      <c r="F619" s="13">
        <v>2025</v>
      </c>
      <c r="G619" s="13" t="s">
        <v>378</v>
      </c>
      <c r="H619" s="13" t="s">
        <v>32</v>
      </c>
      <c r="I619" s="13" t="s">
        <v>762</v>
      </c>
      <c r="J619" s="30" t="s">
        <v>567</v>
      </c>
      <c r="K619" s="2"/>
      <c r="L619" s="2"/>
      <c r="M619" s="2"/>
      <c r="N619" s="2"/>
      <c r="O619" s="2"/>
      <c r="P619" s="2"/>
      <c r="Q619" s="2"/>
      <c r="R619" s="2"/>
      <c r="S619" s="2"/>
      <c r="T619" s="2"/>
      <c r="U619" s="2"/>
      <c r="V619" s="2"/>
      <c r="W619" s="2"/>
      <c r="X619" s="2"/>
      <c r="Y619" s="2"/>
      <c r="Z619" s="2"/>
      <c r="AS619" s="20"/>
    </row>
    <row r="620" spans="1:45" ht="67.95" customHeight="1">
      <c r="A620" s="13" t="s">
        <v>3511</v>
      </c>
      <c r="B620" s="13" t="s">
        <v>3512</v>
      </c>
      <c r="C620" s="13" t="s">
        <v>3513</v>
      </c>
      <c r="D620" s="13" t="s">
        <v>3514</v>
      </c>
      <c r="E620" s="13" t="s">
        <v>3515</v>
      </c>
      <c r="F620" s="13">
        <v>2016</v>
      </c>
      <c r="G620" s="13" t="s">
        <v>3516</v>
      </c>
      <c r="H620" s="13" t="s">
        <v>53</v>
      </c>
      <c r="I620" s="13" t="s">
        <v>762</v>
      </c>
      <c r="J620" s="30" t="s">
        <v>536</v>
      </c>
      <c r="K620" s="2"/>
      <c r="L620" s="2"/>
      <c r="M620" s="2"/>
      <c r="N620" s="2"/>
      <c r="O620" s="2"/>
      <c r="P620" s="2"/>
      <c r="Q620" s="2"/>
      <c r="R620" s="2"/>
      <c r="S620" s="2"/>
      <c r="T620" s="2"/>
      <c r="U620" s="2"/>
      <c r="V620" s="2"/>
      <c r="W620" s="2"/>
      <c r="X620" s="2"/>
      <c r="Y620" s="2"/>
      <c r="Z620" s="2"/>
      <c r="AS620" s="20"/>
    </row>
    <row r="621" spans="1:45" ht="67.95" customHeight="1">
      <c r="A621" s="13" t="s">
        <v>3517</v>
      </c>
      <c r="B621" s="13" t="s">
        <v>3518</v>
      </c>
      <c r="C621" s="13" t="s">
        <v>3519</v>
      </c>
      <c r="D621" s="13" t="s">
        <v>3520</v>
      </c>
      <c r="E621" s="13" t="s">
        <v>3521</v>
      </c>
      <c r="F621" s="13">
        <v>2024</v>
      </c>
      <c r="G621" s="13" t="s">
        <v>830</v>
      </c>
      <c r="H621" s="13" t="s">
        <v>32</v>
      </c>
      <c r="I621" s="13" t="s">
        <v>762</v>
      </c>
      <c r="J621" s="30" t="s">
        <v>567</v>
      </c>
      <c r="K621" s="2"/>
      <c r="L621" s="2"/>
      <c r="M621" s="2"/>
      <c r="N621" s="2"/>
      <c r="O621" s="2"/>
      <c r="P621" s="2"/>
      <c r="Q621" s="2"/>
      <c r="R621" s="2"/>
      <c r="S621" s="2"/>
      <c r="T621" s="2"/>
      <c r="U621" s="2"/>
      <c r="V621" s="2"/>
      <c r="W621" s="2"/>
      <c r="X621" s="2"/>
      <c r="Y621" s="2"/>
      <c r="Z621" s="2"/>
      <c r="AS621" s="20"/>
    </row>
    <row r="622" spans="1:45" ht="67.95" customHeight="1">
      <c r="A622" s="13" t="s">
        <v>3522</v>
      </c>
      <c r="B622" s="13" t="s">
        <v>3523</v>
      </c>
      <c r="C622" s="13" t="s">
        <v>3524</v>
      </c>
      <c r="D622" s="13" t="s">
        <v>3525</v>
      </c>
      <c r="E622" s="13" t="s">
        <v>3526</v>
      </c>
      <c r="F622" s="13">
        <v>2025</v>
      </c>
      <c r="G622" s="13" t="s">
        <v>694</v>
      </c>
      <c r="H622" s="13" t="s">
        <v>32</v>
      </c>
      <c r="I622" s="13" t="s">
        <v>762</v>
      </c>
      <c r="J622" s="30" t="s">
        <v>543</v>
      </c>
      <c r="K622" s="2"/>
      <c r="L622" s="2"/>
      <c r="M622" s="2"/>
      <c r="N622" s="2"/>
      <c r="O622" s="2"/>
      <c r="P622" s="2"/>
      <c r="Q622" s="2"/>
      <c r="R622" s="2"/>
      <c r="S622" s="2"/>
      <c r="T622" s="2"/>
      <c r="U622" s="2"/>
      <c r="V622" s="2"/>
      <c r="W622" s="2"/>
      <c r="X622" s="2"/>
      <c r="Y622" s="2"/>
      <c r="Z622" s="2"/>
      <c r="AS622" s="20"/>
    </row>
    <row r="623" spans="1:45" ht="67.95" customHeight="1">
      <c r="A623" s="13" t="s">
        <v>3527</v>
      </c>
      <c r="B623" s="13" t="s">
        <v>3528</v>
      </c>
      <c r="C623" s="13" t="s">
        <v>3529</v>
      </c>
      <c r="D623" s="13" t="s">
        <v>3530</v>
      </c>
      <c r="E623" s="13" t="s">
        <v>3531</v>
      </c>
      <c r="F623" s="13">
        <v>2017</v>
      </c>
      <c r="G623" s="13" t="s">
        <v>1958</v>
      </c>
      <c r="H623" s="13" t="s">
        <v>32</v>
      </c>
      <c r="I623" s="13" t="s">
        <v>762</v>
      </c>
      <c r="J623" s="30" t="s">
        <v>567</v>
      </c>
      <c r="K623" s="2"/>
      <c r="L623" s="2"/>
      <c r="M623" s="2"/>
      <c r="N623" s="2"/>
      <c r="O623" s="2"/>
      <c r="P623" s="2"/>
      <c r="Q623" s="2"/>
      <c r="R623" s="2"/>
      <c r="S623" s="2"/>
      <c r="T623" s="2"/>
      <c r="U623" s="2"/>
      <c r="V623" s="2"/>
      <c r="W623" s="2"/>
      <c r="X623" s="2"/>
      <c r="Y623" s="2"/>
      <c r="Z623" s="2"/>
      <c r="AS623" s="20"/>
    </row>
    <row r="624" spans="1:45" ht="67.95" customHeight="1">
      <c r="A624" s="13" t="s">
        <v>3532</v>
      </c>
      <c r="B624" s="13" t="s">
        <v>3533</v>
      </c>
      <c r="C624" s="13" t="s">
        <v>3534</v>
      </c>
      <c r="D624" s="13" t="s">
        <v>3535</v>
      </c>
      <c r="E624" s="13" t="s">
        <v>3536</v>
      </c>
      <c r="F624" s="13">
        <v>2018</v>
      </c>
      <c r="G624" s="13" t="s">
        <v>1597</v>
      </c>
      <c r="H624" s="13" t="s">
        <v>32</v>
      </c>
      <c r="I624" s="13" t="s">
        <v>762</v>
      </c>
      <c r="J624" s="30" t="s">
        <v>567</v>
      </c>
      <c r="K624" s="2"/>
      <c r="L624" s="2"/>
      <c r="M624" s="2"/>
      <c r="N624" s="2"/>
      <c r="O624" s="2"/>
      <c r="P624" s="2"/>
      <c r="Q624" s="2"/>
      <c r="R624" s="2"/>
      <c r="S624" s="2"/>
      <c r="T624" s="2"/>
      <c r="U624" s="2"/>
      <c r="V624" s="2"/>
      <c r="W624" s="2"/>
      <c r="X624" s="2"/>
      <c r="Y624" s="2"/>
      <c r="Z624" s="2"/>
      <c r="AS624" s="20"/>
    </row>
    <row r="625" spans="1:45" ht="67.95" customHeight="1">
      <c r="A625" s="26" t="s">
        <v>3537</v>
      </c>
      <c r="B625" s="26" t="s">
        <v>3538</v>
      </c>
      <c r="C625" s="26" t="s">
        <v>3539</v>
      </c>
      <c r="D625" s="21" t="s">
        <v>3540</v>
      </c>
      <c r="E625" s="21" t="s">
        <v>3541</v>
      </c>
      <c r="F625" s="21">
        <v>2019</v>
      </c>
      <c r="G625" s="21" t="s">
        <v>2392</v>
      </c>
      <c r="H625" s="21" t="s">
        <v>53</v>
      </c>
      <c r="I625" s="26" t="s">
        <v>762</v>
      </c>
      <c r="J625" s="32" t="s">
        <v>2393</v>
      </c>
      <c r="K625" s="27"/>
      <c r="L625" s="27"/>
      <c r="M625" s="27"/>
      <c r="N625" s="27"/>
      <c r="O625" s="27"/>
      <c r="P625" s="27"/>
      <c r="Q625" s="27"/>
      <c r="R625" s="27"/>
      <c r="S625" s="27"/>
      <c r="T625" s="27"/>
      <c r="U625" s="27"/>
      <c r="V625" s="27"/>
      <c r="W625" s="27"/>
      <c r="X625" s="27"/>
      <c r="Y625" s="27"/>
      <c r="Z625" s="27"/>
      <c r="AS625" s="20"/>
    </row>
    <row r="626" spans="1:45" ht="67.95" customHeight="1">
      <c r="A626" s="13" t="s">
        <v>3542</v>
      </c>
      <c r="B626" s="13" t="s">
        <v>3543</v>
      </c>
      <c r="C626" s="13" t="s">
        <v>3544</v>
      </c>
      <c r="D626" s="13" t="s">
        <v>3545</v>
      </c>
      <c r="E626" s="13" t="s">
        <v>3546</v>
      </c>
      <c r="F626" s="13">
        <v>2023</v>
      </c>
      <c r="G626" s="13" t="s">
        <v>3547</v>
      </c>
      <c r="H626" s="13" t="s">
        <v>32</v>
      </c>
      <c r="I626" s="13" t="s">
        <v>762</v>
      </c>
      <c r="J626" s="30" t="s">
        <v>543</v>
      </c>
      <c r="K626" s="2"/>
      <c r="L626" s="2"/>
      <c r="M626" s="2"/>
      <c r="N626" s="2"/>
      <c r="O626" s="2"/>
      <c r="P626" s="2"/>
      <c r="Q626" s="2"/>
      <c r="R626" s="2"/>
      <c r="S626" s="2"/>
      <c r="T626" s="2"/>
      <c r="U626" s="2"/>
      <c r="V626" s="2"/>
      <c r="W626" s="2"/>
      <c r="X626" s="2"/>
      <c r="Y626" s="2"/>
      <c r="Z626" s="2"/>
      <c r="AS626" s="20"/>
    </row>
    <row r="627" spans="1:45" ht="67.95" customHeight="1">
      <c r="A627" s="13" t="s">
        <v>3548</v>
      </c>
      <c r="B627" s="13" t="s">
        <v>3549</v>
      </c>
      <c r="C627" s="13" t="s">
        <v>3550</v>
      </c>
      <c r="D627" s="13" t="s">
        <v>3551</v>
      </c>
      <c r="E627" s="13" t="s">
        <v>3552</v>
      </c>
      <c r="F627" s="13">
        <v>2021</v>
      </c>
      <c r="G627" s="13" t="s">
        <v>3553</v>
      </c>
      <c r="H627" s="13" t="s">
        <v>53</v>
      </c>
      <c r="I627" s="13" t="s">
        <v>762</v>
      </c>
      <c r="J627" s="30" t="s">
        <v>536</v>
      </c>
      <c r="K627" s="2"/>
      <c r="L627" s="2"/>
      <c r="M627" s="2"/>
      <c r="N627" s="2"/>
      <c r="O627" s="2"/>
      <c r="P627" s="2"/>
      <c r="Q627" s="2"/>
      <c r="R627" s="2"/>
      <c r="S627" s="2"/>
      <c r="T627" s="2"/>
      <c r="U627" s="2"/>
      <c r="V627" s="2"/>
      <c r="W627" s="2"/>
      <c r="X627" s="2"/>
      <c r="Y627" s="2"/>
      <c r="Z627" s="2"/>
      <c r="AS627" s="20"/>
    </row>
    <row r="628" spans="1:45" ht="67.95" customHeight="1">
      <c r="A628" s="13" t="s">
        <v>3554</v>
      </c>
      <c r="B628" s="13" t="s">
        <v>3555</v>
      </c>
      <c r="C628" s="13" t="s">
        <v>3556</v>
      </c>
      <c r="D628" s="13" t="s">
        <v>3557</v>
      </c>
      <c r="E628" s="13" t="s">
        <v>3558</v>
      </c>
      <c r="F628" s="13">
        <v>2020</v>
      </c>
      <c r="G628" s="13" t="s">
        <v>3559</v>
      </c>
      <c r="H628" s="13" t="s">
        <v>32</v>
      </c>
      <c r="I628" s="13" t="s">
        <v>762</v>
      </c>
      <c r="J628" s="30" t="s">
        <v>536</v>
      </c>
      <c r="K628" s="2"/>
      <c r="L628" s="2"/>
      <c r="M628" s="2"/>
      <c r="N628" s="2"/>
      <c r="O628" s="2"/>
      <c r="P628" s="2"/>
      <c r="Q628" s="2"/>
      <c r="R628" s="2"/>
      <c r="S628" s="2"/>
      <c r="T628" s="2"/>
      <c r="U628" s="2"/>
      <c r="V628" s="2"/>
      <c r="W628" s="2"/>
      <c r="X628" s="2"/>
      <c r="Y628" s="2"/>
      <c r="Z628" s="2"/>
      <c r="AS628" s="20"/>
    </row>
    <row r="629" spans="1:45" ht="67.95" customHeight="1">
      <c r="A629" s="13" t="s">
        <v>3560</v>
      </c>
      <c r="B629" s="13" t="s">
        <v>3561</v>
      </c>
      <c r="C629" s="13" t="s">
        <v>3562</v>
      </c>
      <c r="D629" s="13" t="s">
        <v>3563</v>
      </c>
      <c r="E629" s="13" t="s">
        <v>3564</v>
      </c>
      <c r="F629" s="13">
        <v>2021</v>
      </c>
      <c r="G629" s="13" t="s">
        <v>688</v>
      </c>
      <c r="H629" s="13" t="s">
        <v>32</v>
      </c>
      <c r="I629" s="13" t="s">
        <v>762</v>
      </c>
      <c r="J629" s="30" t="s">
        <v>567</v>
      </c>
      <c r="K629" s="2"/>
      <c r="L629" s="2"/>
      <c r="M629" s="2"/>
      <c r="N629" s="2"/>
      <c r="O629" s="2"/>
      <c r="P629" s="2"/>
      <c r="Q629" s="2"/>
      <c r="R629" s="2"/>
      <c r="S629" s="2"/>
      <c r="T629" s="2"/>
      <c r="U629" s="2"/>
      <c r="V629" s="2"/>
      <c r="W629" s="2"/>
      <c r="X629" s="2"/>
      <c r="Y629" s="2"/>
      <c r="Z629" s="2"/>
      <c r="AS629" s="20"/>
    </row>
    <row r="630" spans="1:45" ht="67.95" customHeight="1">
      <c r="A630" s="13" t="s">
        <v>3565</v>
      </c>
      <c r="B630" s="13" t="s">
        <v>3566</v>
      </c>
      <c r="C630" s="13" t="s">
        <v>3567</v>
      </c>
      <c r="D630" s="13" t="s">
        <v>3568</v>
      </c>
      <c r="E630" s="13" t="s">
        <v>3569</v>
      </c>
      <c r="F630" s="13">
        <v>2019</v>
      </c>
      <c r="G630" s="13" t="s">
        <v>3570</v>
      </c>
      <c r="H630" s="13" t="s">
        <v>53</v>
      </c>
      <c r="I630" s="13" t="s">
        <v>762</v>
      </c>
      <c r="J630" s="30" t="s">
        <v>536</v>
      </c>
      <c r="K630" s="2"/>
      <c r="L630" s="2"/>
      <c r="M630" s="2"/>
      <c r="N630" s="2"/>
      <c r="O630" s="2"/>
      <c r="P630" s="2"/>
      <c r="Q630" s="2"/>
      <c r="R630" s="2"/>
      <c r="S630" s="2"/>
      <c r="T630" s="2"/>
      <c r="U630" s="2"/>
      <c r="V630" s="2"/>
      <c r="W630" s="2"/>
      <c r="X630" s="2"/>
      <c r="Y630" s="2"/>
      <c r="Z630" s="2"/>
      <c r="AS630" s="20"/>
    </row>
    <row r="631" spans="1:45" ht="67.95" customHeight="1">
      <c r="A631" s="13" t="s">
        <v>3571</v>
      </c>
      <c r="B631" s="13" t="s">
        <v>3572</v>
      </c>
      <c r="C631" s="13" t="s">
        <v>3573</v>
      </c>
      <c r="D631" s="13" t="s">
        <v>3574</v>
      </c>
      <c r="E631" s="13" t="s">
        <v>3575</v>
      </c>
      <c r="F631" s="13">
        <v>2022</v>
      </c>
      <c r="G631" s="13" t="s">
        <v>2554</v>
      </c>
      <c r="H631" s="13" t="s">
        <v>136</v>
      </c>
      <c r="I631" s="13" t="s">
        <v>762</v>
      </c>
      <c r="J631" s="30" t="s">
        <v>567</v>
      </c>
      <c r="K631" s="2"/>
      <c r="L631" s="2"/>
      <c r="M631" s="2"/>
      <c r="N631" s="2"/>
      <c r="O631" s="2"/>
      <c r="P631" s="2"/>
      <c r="Q631" s="2"/>
      <c r="R631" s="2"/>
      <c r="S631" s="2"/>
      <c r="T631" s="2"/>
      <c r="U631" s="2"/>
      <c r="V631" s="2"/>
      <c r="W631" s="2"/>
      <c r="X631" s="2"/>
      <c r="Y631" s="2"/>
      <c r="Z631" s="2"/>
      <c r="AS631" s="20"/>
    </row>
    <row r="632" spans="1:45" ht="67.95" customHeight="1">
      <c r="A632" s="13" t="s">
        <v>3576</v>
      </c>
      <c r="B632" s="13" t="s">
        <v>3577</v>
      </c>
      <c r="C632" s="13" t="s">
        <v>3578</v>
      </c>
      <c r="D632" s="13" t="s">
        <v>3579</v>
      </c>
      <c r="E632" s="13" t="s">
        <v>3580</v>
      </c>
      <c r="F632" s="13">
        <v>2022</v>
      </c>
      <c r="G632" s="13" t="s">
        <v>1794</v>
      </c>
      <c r="H632" s="13" t="s">
        <v>32</v>
      </c>
      <c r="I632" s="13" t="s">
        <v>762</v>
      </c>
      <c r="J632" s="30" t="s">
        <v>543</v>
      </c>
      <c r="K632" s="2"/>
      <c r="L632" s="2"/>
      <c r="M632" s="2"/>
      <c r="N632" s="2"/>
      <c r="O632" s="2"/>
      <c r="P632" s="2"/>
      <c r="Q632" s="2"/>
      <c r="R632" s="2"/>
      <c r="S632" s="2"/>
      <c r="T632" s="2"/>
      <c r="U632" s="2"/>
      <c r="V632" s="2"/>
      <c r="W632" s="2"/>
      <c r="X632" s="2"/>
      <c r="Y632" s="2"/>
      <c r="Z632" s="2"/>
      <c r="AS632" s="20"/>
    </row>
    <row r="633" spans="1:45" ht="67.95" customHeight="1">
      <c r="A633" s="13" t="s">
        <v>3581</v>
      </c>
      <c r="B633" s="13" t="s">
        <v>3582</v>
      </c>
      <c r="C633" s="13" t="s">
        <v>3583</v>
      </c>
      <c r="D633" s="13" t="s">
        <v>3584</v>
      </c>
      <c r="E633" s="13" t="s">
        <v>3585</v>
      </c>
      <c r="F633" s="13">
        <v>2015</v>
      </c>
      <c r="G633" s="13" t="s">
        <v>172</v>
      </c>
      <c r="H633" s="13" t="s">
        <v>53</v>
      </c>
      <c r="I633" s="13" t="s">
        <v>762</v>
      </c>
      <c r="J633" s="30" t="s">
        <v>536</v>
      </c>
      <c r="K633" s="2"/>
      <c r="L633" s="2"/>
      <c r="M633" s="2"/>
      <c r="N633" s="2"/>
      <c r="O633" s="2"/>
      <c r="P633" s="2"/>
      <c r="Q633" s="2"/>
      <c r="R633" s="2"/>
      <c r="S633" s="2"/>
      <c r="T633" s="2"/>
      <c r="U633" s="2"/>
      <c r="V633" s="2"/>
      <c r="W633" s="2"/>
      <c r="X633" s="2"/>
      <c r="Y633" s="2"/>
      <c r="Z633" s="2"/>
      <c r="AS633" s="20"/>
    </row>
    <row r="634" spans="1:45" ht="67.95" customHeight="1">
      <c r="A634" s="13" t="s">
        <v>3586</v>
      </c>
      <c r="B634" s="13" t="s">
        <v>3587</v>
      </c>
      <c r="C634" s="13" t="s">
        <v>3588</v>
      </c>
      <c r="D634" s="13" t="s">
        <v>3589</v>
      </c>
      <c r="E634" s="13" t="s">
        <v>51</v>
      </c>
      <c r="F634" s="13">
        <v>2023</v>
      </c>
      <c r="G634" s="13" t="s">
        <v>1915</v>
      </c>
      <c r="H634" s="13" t="s">
        <v>53</v>
      </c>
      <c r="I634" s="13" t="s">
        <v>762</v>
      </c>
      <c r="J634" s="30" t="s">
        <v>567</v>
      </c>
      <c r="K634" s="2"/>
      <c r="L634" s="2"/>
      <c r="M634" s="2"/>
      <c r="N634" s="2"/>
      <c r="O634" s="2"/>
      <c r="P634" s="2"/>
      <c r="Q634" s="2"/>
      <c r="R634" s="2"/>
      <c r="S634" s="2"/>
      <c r="T634" s="2"/>
      <c r="U634" s="2"/>
      <c r="V634" s="2"/>
      <c r="W634" s="2"/>
      <c r="X634" s="2"/>
      <c r="Y634" s="2"/>
      <c r="Z634" s="2"/>
      <c r="AS634" s="20"/>
    </row>
    <row r="635" spans="1:45" ht="67.95" customHeight="1">
      <c r="A635" s="13" t="s">
        <v>3590</v>
      </c>
      <c r="B635" s="13" t="s">
        <v>3591</v>
      </c>
      <c r="C635" s="13" t="s">
        <v>3592</v>
      </c>
      <c r="D635" s="13" t="s">
        <v>3593</v>
      </c>
      <c r="E635" s="13" t="s">
        <v>51</v>
      </c>
      <c r="F635" s="13">
        <v>2022</v>
      </c>
      <c r="G635" s="13" t="s">
        <v>1180</v>
      </c>
      <c r="H635" s="13" t="s">
        <v>53</v>
      </c>
      <c r="I635" s="13" t="s">
        <v>762</v>
      </c>
      <c r="J635" s="30" t="s">
        <v>579</v>
      </c>
      <c r="K635" s="2"/>
      <c r="L635" s="2"/>
      <c r="M635" s="2"/>
      <c r="N635" s="2"/>
      <c r="O635" s="2"/>
      <c r="P635" s="2"/>
      <c r="Q635" s="2"/>
      <c r="R635" s="2"/>
      <c r="S635" s="2"/>
      <c r="T635" s="2"/>
      <c r="U635" s="2"/>
      <c r="V635" s="2"/>
      <c r="W635" s="2"/>
      <c r="X635" s="2"/>
      <c r="Y635" s="2"/>
      <c r="Z635" s="2"/>
      <c r="AS635" s="20"/>
    </row>
    <row r="636" spans="1:45" ht="67.95" customHeight="1">
      <c r="A636" s="13" t="s">
        <v>3594</v>
      </c>
      <c r="B636" s="13" t="s">
        <v>3595</v>
      </c>
      <c r="C636" s="13" t="s">
        <v>3596</v>
      </c>
      <c r="D636" s="13" t="s">
        <v>3597</v>
      </c>
      <c r="E636" s="13" t="s">
        <v>3598</v>
      </c>
      <c r="F636" s="13">
        <v>2020</v>
      </c>
      <c r="G636" s="13" t="s">
        <v>627</v>
      </c>
      <c r="H636" s="13" t="s">
        <v>32</v>
      </c>
      <c r="I636" s="13" t="s">
        <v>762</v>
      </c>
      <c r="J636" s="30" t="s">
        <v>567</v>
      </c>
      <c r="K636" s="2"/>
      <c r="L636" s="2"/>
      <c r="M636" s="2"/>
      <c r="N636" s="2"/>
      <c r="O636" s="2"/>
      <c r="P636" s="2"/>
      <c r="Q636" s="2"/>
      <c r="R636" s="2"/>
      <c r="S636" s="2"/>
      <c r="T636" s="2"/>
      <c r="U636" s="2"/>
      <c r="V636" s="2"/>
      <c r="W636" s="2"/>
      <c r="X636" s="2"/>
      <c r="Y636" s="2"/>
      <c r="Z636" s="2"/>
      <c r="AS636" s="20"/>
    </row>
    <row r="637" spans="1:45" ht="67.95" customHeight="1">
      <c r="A637" s="13" t="s">
        <v>3599</v>
      </c>
      <c r="B637" s="13" t="s">
        <v>3600</v>
      </c>
      <c r="C637" s="13" t="s">
        <v>3601</v>
      </c>
      <c r="D637" s="13" t="s">
        <v>3602</v>
      </c>
      <c r="E637" s="13" t="s">
        <v>3603</v>
      </c>
      <c r="F637" s="13">
        <v>2024</v>
      </c>
      <c r="G637" s="13" t="s">
        <v>688</v>
      </c>
      <c r="H637" s="13" t="s">
        <v>32</v>
      </c>
      <c r="I637" s="13" t="s">
        <v>762</v>
      </c>
      <c r="J637" s="30" t="s">
        <v>567</v>
      </c>
      <c r="K637" s="2"/>
      <c r="L637" s="2"/>
      <c r="M637" s="2"/>
      <c r="N637" s="2"/>
      <c r="O637" s="2"/>
      <c r="P637" s="2"/>
      <c r="Q637" s="2"/>
      <c r="R637" s="2"/>
      <c r="S637" s="2"/>
      <c r="T637" s="2"/>
      <c r="U637" s="2"/>
      <c r="V637" s="2"/>
      <c r="W637" s="2"/>
      <c r="X637" s="2"/>
      <c r="Y637" s="2"/>
      <c r="Z637" s="2"/>
      <c r="AS637" s="20"/>
    </row>
    <row r="638" spans="1:45" ht="67.95" customHeight="1">
      <c r="A638" s="13" t="s">
        <v>3604</v>
      </c>
      <c r="B638" s="13" t="s">
        <v>3605</v>
      </c>
      <c r="C638" s="13" t="s">
        <v>3606</v>
      </c>
      <c r="D638" s="13" t="s">
        <v>3607</v>
      </c>
      <c r="E638" s="13" t="s">
        <v>51</v>
      </c>
      <c r="F638" s="13">
        <v>2024</v>
      </c>
      <c r="G638" s="13" t="s">
        <v>74</v>
      </c>
      <c r="H638" s="13" t="s">
        <v>53</v>
      </c>
      <c r="I638" s="13" t="s">
        <v>762</v>
      </c>
      <c r="J638" s="30" t="s">
        <v>567</v>
      </c>
      <c r="K638" s="2"/>
      <c r="L638" s="2"/>
      <c r="M638" s="2"/>
      <c r="N638" s="2"/>
      <c r="O638" s="2"/>
      <c r="P638" s="2"/>
      <c r="Q638" s="2"/>
      <c r="R638" s="2"/>
      <c r="S638" s="2"/>
      <c r="T638" s="2"/>
      <c r="U638" s="2"/>
      <c r="V638" s="2"/>
      <c r="W638" s="2"/>
      <c r="X638" s="2"/>
      <c r="Y638" s="2"/>
      <c r="Z638" s="2"/>
      <c r="AS638" s="20"/>
    </row>
    <row r="639" spans="1:45" ht="67.95" customHeight="1">
      <c r="A639" s="52" t="s">
        <v>3608</v>
      </c>
      <c r="B639" s="13" t="s">
        <v>3609</v>
      </c>
      <c r="C639" s="13" t="s">
        <v>3610</v>
      </c>
      <c r="D639" s="13" t="s">
        <v>3611</v>
      </c>
      <c r="E639" s="13" t="s">
        <v>51</v>
      </c>
      <c r="F639" s="13">
        <v>2017</v>
      </c>
      <c r="G639" s="13" t="s">
        <v>31</v>
      </c>
      <c r="H639" s="13" t="s">
        <v>53</v>
      </c>
      <c r="I639" s="13" t="s">
        <v>762</v>
      </c>
      <c r="J639" s="10" t="s">
        <v>536</v>
      </c>
      <c r="K639" s="2"/>
      <c r="L639" s="2"/>
      <c r="M639" s="2"/>
      <c r="N639" s="2"/>
      <c r="O639" s="2"/>
      <c r="P639" s="2"/>
      <c r="Q639" s="2"/>
      <c r="R639" s="2"/>
      <c r="S639" s="2"/>
      <c r="T639" s="2"/>
      <c r="U639" s="2"/>
      <c r="V639" s="2"/>
      <c r="W639" s="2"/>
      <c r="X639" s="2"/>
      <c r="Y639" s="2"/>
      <c r="Z639" s="2"/>
      <c r="AS639" s="20"/>
    </row>
    <row r="640" spans="1:45" ht="67.95" customHeight="1">
      <c r="A640" s="52" t="s">
        <v>3612</v>
      </c>
      <c r="B640" s="13" t="s">
        <v>3613</v>
      </c>
      <c r="C640" s="13" t="s">
        <v>3614</v>
      </c>
      <c r="D640" s="13" t="s">
        <v>3615</v>
      </c>
      <c r="E640" s="13" t="s">
        <v>3616</v>
      </c>
      <c r="F640" s="13">
        <v>2021</v>
      </c>
      <c r="G640" s="13" t="s">
        <v>3617</v>
      </c>
      <c r="H640" s="13" t="s">
        <v>53</v>
      </c>
      <c r="I640" s="13" t="s">
        <v>762</v>
      </c>
      <c r="J640" s="10" t="s">
        <v>536</v>
      </c>
      <c r="K640" s="2"/>
      <c r="L640" s="2"/>
      <c r="M640" s="2"/>
      <c r="N640" s="2"/>
      <c r="O640" s="2"/>
      <c r="P640" s="2"/>
      <c r="Q640" s="2"/>
      <c r="R640" s="2"/>
      <c r="S640" s="2"/>
      <c r="T640" s="2"/>
      <c r="U640" s="2"/>
      <c r="V640" s="2"/>
      <c r="W640" s="2"/>
      <c r="X640" s="2"/>
      <c r="Y640" s="2"/>
      <c r="Z640" s="2"/>
      <c r="AS640" s="20"/>
    </row>
    <row r="641" spans="1:45" ht="67.95" customHeight="1">
      <c r="A641" s="52" t="s">
        <v>3618</v>
      </c>
      <c r="B641" s="13" t="s">
        <v>3619</v>
      </c>
      <c r="C641" s="13" t="s">
        <v>3620</v>
      </c>
      <c r="D641" s="13" t="s">
        <v>3621</v>
      </c>
      <c r="E641" s="13" t="s">
        <v>3622</v>
      </c>
      <c r="F641" s="13">
        <v>2021</v>
      </c>
      <c r="G641" s="13" t="s">
        <v>627</v>
      </c>
      <c r="H641" s="13" t="s">
        <v>32</v>
      </c>
      <c r="I641" s="13" t="s">
        <v>762</v>
      </c>
      <c r="J641" s="10" t="s">
        <v>567</v>
      </c>
      <c r="K641" s="2"/>
      <c r="L641" s="2"/>
      <c r="M641" s="2"/>
      <c r="N641" s="2"/>
      <c r="O641" s="2"/>
      <c r="P641" s="2"/>
      <c r="Q641" s="2"/>
      <c r="R641" s="2"/>
      <c r="S641" s="2"/>
      <c r="T641" s="2"/>
      <c r="U641" s="2"/>
      <c r="V641" s="2"/>
      <c r="W641" s="2"/>
      <c r="X641" s="2"/>
      <c r="Y641" s="2"/>
      <c r="Z641" s="2"/>
      <c r="AS641" s="20"/>
    </row>
    <row r="642" spans="1:45" ht="67.95" customHeight="1">
      <c r="A642" s="52" t="s">
        <v>3623</v>
      </c>
      <c r="B642" s="13" t="s">
        <v>3624</v>
      </c>
      <c r="C642" s="13" t="s">
        <v>3625</v>
      </c>
      <c r="D642" s="13" t="s">
        <v>3626</v>
      </c>
      <c r="E642" s="13" t="s">
        <v>3627</v>
      </c>
      <c r="F642" s="13">
        <v>2021</v>
      </c>
      <c r="G642" s="13" t="s">
        <v>854</v>
      </c>
      <c r="H642" s="13" t="s">
        <v>32</v>
      </c>
      <c r="I642" s="13" t="s">
        <v>762</v>
      </c>
      <c r="J642" s="10" t="s">
        <v>536</v>
      </c>
      <c r="K642" s="2"/>
      <c r="L642" s="2"/>
      <c r="M642" s="2"/>
      <c r="N642" s="2"/>
      <c r="O642" s="2"/>
      <c r="P642" s="2"/>
      <c r="Q642" s="2"/>
      <c r="R642" s="2"/>
      <c r="S642" s="2"/>
      <c r="T642" s="2"/>
      <c r="U642" s="2"/>
      <c r="V642" s="2"/>
      <c r="W642" s="2"/>
      <c r="X642" s="2"/>
      <c r="Y642" s="2"/>
      <c r="Z642" s="2"/>
      <c r="AS642" s="20"/>
    </row>
    <row r="643" spans="1:45" ht="67.95" customHeight="1">
      <c r="A643" s="52" t="s">
        <v>3628</v>
      </c>
      <c r="B643" s="13" t="s">
        <v>51</v>
      </c>
      <c r="C643" s="13" t="s">
        <v>3629</v>
      </c>
      <c r="D643" s="13" t="s">
        <v>3630</v>
      </c>
      <c r="E643" s="13" t="s">
        <v>51</v>
      </c>
      <c r="F643" s="13">
        <v>2025</v>
      </c>
      <c r="G643" s="13" t="s">
        <v>3631</v>
      </c>
      <c r="H643" s="13" t="s">
        <v>32</v>
      </c>
      <c r="I643" s="13" t="s">
        <v>762</v>
      </c>
      <c r="J643" s="10" t="s">
        <v>658</v>
      </c>
      <c r="K643" s="2"/>
      <c r="L643" s="2"/>
      <c r="M643" s="2"/>
      <c r="N643" s="2"/>
      <c r="O643" s="2"/>
      <c r="P643" s="2"/>
      <c r="Q643" s="2"/>
      <c r="R643" s="2"/>
      <c r="S643" s="2"/>
      <c r="T643" s="2"/>
      <c r="U643" s="2"/>
      <c r="V643" s="2"/>
      <c r="W643" s="2"/>
      <c r="X643" s="2"/>
      <c r="Y643" s="2"/>
      <c r="Z643" s="2"/>
      <c r="AS643" s="20"/>
    </row>
    <row r="644" spans="1:45" ht="67.95" customHeight="1">
      <c r="A644" s="13" t="s">
        <v>3632</v>
      </c>
      <c r="B644" s="13" t="s">
        <v>3633</v>
      </c>
      <c r="C644" s="13" t="s">
        <v>3634</v>
      </c>
      <c r="D644" s="13" t="s">
        <v>3635</v>
      </c>
      <c r="E644" s="13" t="s">
        <v>3636</v>
      </c>
      <c r="F644" s="13">
        <v>2022</v>
      </c>
      <c r="G644" s="13" t="s">
        <v>3637</v>
      </c>
      <c r="H644" s="13" t="s">
        <v>53</v>
      </c>
      <c r="I644" s="13" t="s">
        <v>762</v>
      </c>
      <c r="J644" s="30" t="s">
        <v>567</v>
      </c>
      <c r="K644" s="2"/>
      <c r="L644" s="2"/>
      <c r="M644" s="2"/>
      <c r="N644" s="2"/>
      <c r="O644" s="2"/>
      <c r="P644" s="2"/>
      <c r="Q644" s="2"/>
      <c r="R644" s="2"/>
      <c r="S644" s="2"/>
      <c r="T644" s="2"/>
      <c r="U644" s="2"/>
      <c r="V644" s="2"/>
      <c r="W644" s="2"/>
      <c r="X644" s="2"/>
      <c r="Y644" s="2"/>
      <c r="Z644" s="2"/>
      <c r="AS644" s="20"/>
    </row>
    <row r="645" spans="1:45" ht="67.95" customHeight="1">
      <c r="A645" s="40" t="s">
        <v>3638</v>
      </c>
      <c r="B645" s="40" t="s">
        <v>3639</v>
      </c>
      <c r="C645" s="40" t="s">
        <v>3640</v>
      </c>
      <c r="D645" s="40" t="s">
        <v>3641</v>
      </c>
      <c r="E645" s="40" t="s">
        <v>3642</v>
      </c>
      <c r="F645" s="40">
        <v>2022</v>
      </c>
      <c r="G645" s="40" t="s">
        <v>3643</v>
      </c>
      <c r="H645" s="40" t="s">
        <v>32</v>
      </c>
      <c r="I645" s="40" t="s">
        <v>762</v>
      </c>
      <c r="J645" s="41" t="s">
        <v>567</v>
      </c>
      <c r="K645" s="42"/>
      <c r="L645" s="42"/>
      <c r="M645" s="42"/>
      <c r="N645" s="42"/>
      <c r="O645" s="42"/>
      <c r="P645" s="42"/>
      <c r="Q645" s="42"/>
      <c r="R645" s="42"/>
      <c r="S645" s="42"/>
      <c r="T645" s="42"/>
      <c r="U645" s="42"/>
      <c r="V645" s="42"/>
      <c r="W645" s="42"/>
      <c r="X645" s="42"/>
      <c r="Y645" s="42"/>
      <c r="Z645" s="42"/>
      <c r="AS645" s="20"/>
    </row>
    <row r="646" spans="1:45" ht="14.4">
      <c r="AS646" s="20"/>
    </row>
    <row r="647" spans="1:45" ht="14.4">
      <c r="AS647" s="20"/>
    </row>
    <row r="648" spans="1:45" ht="14.4">
      <c r="AS648" s="20"/>
    </row>
    <row r="649" spans="1:45" ht="14.4">
      <c r="AS649" s="20"/>
    </row>
    <row r="650" spans="1:45" ht="14.4">
      <c r="AS650" s="20"/>
    </row>
    <row r="651" spans="1:45" ht="14.4">
      <c r="AS651" s="20"/>
    </row>
    <row r="652" spans="1:45" ht="14.4">
      <c r="AS652" s="20"/>
    </row>
    <row r="653" spans="1:45" ht="14.4">
      <c r="AS653" s="20"/>
    </row>
    <row r="654" spans="1:45" ht="14.4">
      <c r="AS654" s="20"/>
    </row>
    <row r="655" spans="1:45" ht="14.4">
      <c r="AS655" s="20"/>
    </row>
    <row r="656" spans="1:45" ht="14.4">
      <c r="AS656" s="20"/>
    </row>
    <row r="657" spans="45:45" ht="14.4">
      <c r="AS657" s="20"/>
    </row>
    <row r="658" spans="45:45" ht="14.4">
      <c r="AS658" s="20"/>
    </row>
    <row r="659" spans="45:45" ht="14.4">
      <c r="AS659" s="20"/>
    </row>
    <row r="660" spans="45:45" ht="14.4">
      <c r="AS660" s="20"/>
    </row>
    <row r="661" spans="45:45" ht="14.4">
      <c r="AS661" s="20"/>
    </row>
    <row r="662" spans="45:45" ht="14.4">
      <c r="AS662" s="20"/>
    </row>
    <row r="663" spans="45:45" ht="14.4">
      <c r="AS663" s="20"/>
    </row>
    <row r="664" spans="45:45" ht="14.4">
      <c r="AS664" s="20"/>
    </row>
    <row r="665" spans="45:45" ht="14.4">
      <c r="AS665" s="20"/>
    </row>
    <row r="666" spans="45:45" ht="14.4">
      <c r="AS666" s="20"/>
    </row>
    <row r="667" spans="45:45" ht="14.4">
      <c r="AS667" s="20"/>
    </row>
    <row r="668" spans="45:45" ht="14.4">
      <c r="AS668" s="20"/>
    </row>
    <row r="669" spans="45:45" ht="14.4">
      <c r="AS669" s="20"/>
    </row>
    <row r="670" spans="45:45" ht="14.4">
      <c r="AS670" s="20"/>
    </row>
    <row r="671" spans="45:45" ht="14.4">
      <c r="AS671" s="20"/>
    </row>
    <row r="672" spans="45:45" ht="14.4">
      <c r="AS672" s="20"/>
    </row>
    <row r="673" spans="45:45" ht="14.4">
      <c r="AS673" s="20"/>
    </row>
    <row r="674" spans="45:45" ht="14.4">
      <c r="AS674" s="20"/>
    </row>
    <row r="675" spans="45:45" ht="14.4">
      <c r="AS675" s="20"/>
    </row>
    <row r="676" spans="45:45" ht="14.4">
      <c r="AS676" s="20"/>
    </row>
    <row r="677" spans="45:45" ht="14.4">
      <c r="AS677" s="20"/>
    </row>
    <row r="678" spans="45:45" ht="14.4">
      <c r="AS678" s="20"/>
    </row>
    <row r="679" spans="45:45" ht="14.4">
      <c r="AS679" s="20"/>
    </row>
    <row r="680" spans="45:45" ht="14.4">
      <c r="AS680" s="20"/>
    </row>
    <row r="681" spans="45:45" ht="14.4">
      <c r="AS681" s="20"/>
    </row>
    <row r="682" spans="45:45" ht="14.4">
      <c r="AS682" s="20"/>
    </row>
    <row r="683" spans="45:45" ht="14.4">
      <c r="AS683" s="20"/>
    </row>
    <row r="684" spans="45:45" ht="14.4">
      <c r="AS684" s="20"/>
    </row>
    <row r="685" spans="45:45" ht="14.4">
      <c r="AS685" s="20"/>
    </row>
    <row r="686" spans="45:45" ht="14.4">
      <c r="AS686" s="20"/>
    </row>
    <row r="687" spans="45:45" ht="14.4">
      <c r="AS687" s="20"/>
    </row>
    <row r="688" spans="45:45" ht="14.4">
      <c r="AS688" s="20"/>
    </row>
    <row r="689" spans="45:45" ht="14.4">
      <c r="AS689" s="20"/>
    </row>
    <row r="690" spans="45:45" ht="14.4">
      <c r="AS690" s="20"/>
    </row>
    <row r="691" spans="45:45" ht="14.4">
      <c r="AS691" s="20"/>
    </row>
    <row r="692" spans="45:45" ht="14.4">
      <c r="AS692" s="20"/>
    </row>
    <row r="693" spans="45:45" ht="14.4">
      <c r="AS693" s="20"/>
    </row>
    <row r="694" spans="45:45" ht="14.4">
      <c r="AS694" s="20"/>
    </row>
    <row r="695" spans="45:45" ht="14.4">
      <c r="AS695" s="20"/>
    </row>
    <row r="696" spans="45:45" ht="14.4">
      <c r="AS696" s="20"/>
    </row>
    <row r="697" spans="45:45" ht="14.4">
      <c r="AS697" s="20"/>
    </row>
    <row r="698" spans="45:45" ht="14.4">
      <c r="AS698" s="20"/>
    </row>
    <row r="699" spans="45:45" ht="14.4">
      <c r="AS699" s="20"/>
    </row>
    <row r="700" spans="45:45" ht="14.4">
      <c r="AS700" s="20"/>
    </row>
    <row r="701" spans="45:45" ht="14.4">
      <c r="AS701" s="20"/>
    </row>
    <row r="702" spans="45:45" ht="14.4">
      <c r="AS702" s="20"/>
    </row>
    <row r="703" spans="45:45" ht="14.4">
      <c r="AS703" s="20"/>
    </row>
    <row r="704" spans="45:45" ht="14.4">
      <c r="AS704" s="20"/>
    </row>
    <row r="705" spans="45:45" ht="14.4">
      <c r="AS705" s="20"/>
    </row>
    <row r="706" spans="45:45" ht="14.4">
      <c r="AS706" s="20"/>
    </row>
    <row r="707" spans="45:45" ht="14.4">
      <c r="AS707" s="20"/>
    </row>
    <row r="708" spans="45:45" ht="14.4">
      <c r="AS708" s="20"/>
    </row>
    <row r="709" spans="45:45" ht="14.4">
      <c r="AS709" s="20"/>
    </row>
    <row r="710" spans="45:45" ht="14.4">
      <c r="AS710" s="20"/>
    </row>
    <row r="711" spans="45:45" ht="14.4">
      <c r="AS711" s="20"/>
    </row>
    <row r="712" spans="45:45" ht="14.4">
      <c r="AS712" s="20"/>
    </row>
    <row r="713" spans="45:45" ht="14.4">
      <c r="AS713" s="20"/>
    </row>
    <row r="714" spans="45:45" ht="14.4">
      <c r="AS714" s="20"/>
    </row>
    <row r="715" spans="45:45" ht="14.4">
      <c r="AS715" s="20"/>
    </row>
    <row r="716" spans="45:45" ht="14.4">
      <c r="AS716" s="20"/>
    </row>
    <row r="717" spans="45:45" ht="14.4">
      <c r="AS717" s="20"/>
    </row>
    <row r="718" spans="45:45" ht="14.4">
      <c r="AS718" s="20"/>
    </row>
    <row r="719" spans="45:45" ht="14.4">
      <c r="AS719" s="20"/>
    </row>
    <row r="720" spans="45:45" ht="14.4">
      <c r="AS720" s="20"/>
    </row>
    <row r="721" spans="45:45" ht="14.4">
      <c r="AS721" s="20"/>
    </row>
    <row r="722" spans="45:45" ht="14.4">
      <c r="AS722" s="20"/>
    </row>
    <row r="723" spans="45:45" ht="14.4">
      <c r="AS723" s="20"/>
    </row>
    <row r="724" spans="45:45" ht="14.4">
      <c r="AS724" s="20"/>
    </row>
    <row r="725" spans="45:45" ht="14.4">
      <c r="AS725" s="20"/>
    </row>
    <row r="726" spans="45:45" ht="14.4">
      <c r="AS726" s="20"/>
    </row>
    <row r="727" spans="45:45" ht="14.4">
      <c r="AS727" s="20"/>
    </row>
    <row r="728" spans="45:45" ht="14.4">
      <c r="AS728" s="20"/>
    </row>
    <row r="729" spans="45:45" ht="14.4">
      <c r="AS729" s="20"/>
    </row>
    <row r="730" spans="45:45" ht="14.4">
      <c r="AS730" s="20"/>
    </row>
    <row r="731" spans="45:45" ht="14.4">
      <c r="AS731" s="20"/>
    </row>
    <row r="732" spans="45:45" ht="14.4">
      <c r="AS732" s="20"/>
    </row>
    <row r="733" spans="45:45" ht="14.4">
      <c r="AS733" s="20"/>
    </row>
    <row r="734" spans="45:45" ht="14.4">
      <c r="AS734" s="20"/>
    </row>
    <row r="735" spans="45:45" ht="14.4">
      <c r="AS735" s="20"/>
    </row>
    <row r="736" spans="45:45" ht="14.4">
      <c r="AS736" s="20"/>
    </row>
    <row r="737" spans="45:45" ht="14.4">
      <c r="AS737" s="20"/>
    </row>
    <row r="738" spans="45:45" ht="14.4">
      <c r="AS738" s="20"/>
    </row>
    <row r="739" spans="45:45" ht="14.4">
      <c r="AS739" s="20"/>
    </row>
    <row r="740" spans="45:45" ht="14.4">
      <c r="AS740" s="20"/>
    </row>
    <row r="741" spans="45:45" ht="14.4">
      <c r="AS741" s="20"/>
    </row>
    <row r="742" spans="45:45" ht="14.4">
      <c r="AS742" s="20"/>
    </row>
    <row r="743" spans="45:45" ht="14.4">
      <c r="AS743" s="20"/>
    </row>
    <row r="744" spans="45:45" ht="14.4">
      <c r="AS744" s="20"/>
    </row>
    <row r="745" spans="45:45" ht="14.4">
      <c r="AS745" s="20"/>
    </row>
    <row r="746" spans="45:45" ht="14.4">
      <c r="AS746" s="20"/>
    </row>
    <row r="747" spans="45:45" ht="14.4">
      <c r="AS747" s="20"/>
    </row>
    <row r="748" spans="45:45" ht="14.4">
      <c r="AS748" s="20"/>
    </row>
    <row r="749" spans="45:45" ht="14.4">
      <c r="AS749" s="20"/>
    </row>
    <row r="750" spans="45:45" ht="14.4">
      <c r="AS750" s="20"/>
    </row>
    <row r="751" spans="45:45" ht="14.4">
      <c r="AS751" s="20"/>
    </row>
    <row r="752" spans="45:45" ht="14.4">
      <c r="AS752" s="20"/>
    </row>
    <row r="753" spans="45:45" ht="14.4">
      <c r="AS753" s="20"/>
    </row>
    <row r="754" spans="45:45" ht="14.4">
      <c r="AS754" s="20"/>
    </row>
    <row r="755" spans="45:45" ht="14.4">
      <c r="AS755" s="20"/>
    </row>
    <row r="756" spans="45:45" ht="14.4">
      <c r="AS756" s="20"/>
    </row>
    <row r="757" spans="45:45" ht="14.4">
      <c r="AS757" s="20"/>
    </row>
    <row r="758" spans="45:45" ht="14.4">
      <c r="AS758" s="20"/>
    </row>
    <row r="759" spans="45:45" ht="14.4">
      <c r="AS759" s="20"/>
    </row>
    <row r="760" spans="45:45" ht="14.4">
      <c r="AS760" s="20"/>
    </row>
    <row r="761" spans="45:45" ht="14.4">
      <c r="AS761" s="20"/>
    </row>
    <row r="762" spans="45:45" ht="14.4">
      <c r="AS762" s="20"/>
    </row>
    <row r="763" spans="45:45" ht="14.4">
      <c r="AS763" s="20"/>
    </row>
    <row r="764" spans="45:45" ht="14.4">
      <c r="AS764" s="20"/>
    </row>
    <row r="765" spans="45:45" ht="14.4">
      <c r="AS765" s="20"/>
    </row>
    <row r="766" spans="45:45" ht="14.4">
      <c r="AS766" s="20"/>
    </row>
    <row r="767" spans="45:45" ht="14.4">
      <c r="AS767" s="20"/>
    </row>
    <row r="768" spans="45:45" ht="14.4">
      <c r="AS768" s="20"/>
    </row>
    <row r="769" spans="45:45" ht="14.4">
      <c r="AS769" s="20"/>
    </row>
    <row r="770" spans="45:45" ht="14.4">
      <c r="AS770" s="20"/>
    </row>
    <row r="771" spans="45:45" ht="14.4">
      <c r="AS771" s="20"/>
    </row>
    <row r="772" spans="45:45" ht="14.4">
      <c r="AS772" s="20"/>
    </row>
    <row r="773" spans="45:45" ht="14.4">
      <c r="AS773" s="20"/>
    </row>
    <row r="774" spans="45:45" ht="14.4">
      <c r="AS774" s="20"/>
    </row>
    <row r="775" spans="45:45" ht="14.4">
      <c r="AS775" s="20"/>
    </row>
    <row r="776" spans="45:45" ht="14.4">
      <c r="AS776" s="20"/>
    </row>
    <row r="777" spans="45:45" ht="14.4">
      <c r="AS777" s="20"/>
    </row>
    <row r="778" spans="45:45" ht="14.4">
      <c r="AS778" s="20"/>
    </row>
    <row r="779" spans="45:45" ht="14.4">
      <c r="AS779" s="20"/>
    </row>
    <row r="780" spans="45:45" ht="14.4">
      <c r="AS780" s="20"/>
    </row>
    <row r="781" spans="45:45" ht="14.4">
      <c r="AS781" s="20"/>
    </row>
    <row r="782" spans="45:45" ht="14.4">
      <c r="AS782" s="20"/>
    </row>
    <row r="783" spans="45:45" ht="14.4">
      <c r="AS783" s="20"/>
    </row>
    <row r="784" spans="45:45" ht="14.4">
      <c r="AS784" s="20"/>
    </row>
    <row r="785" spans="45:45" ht="14.4">
      <c r="AS785" s="20"/>
    </row>
    <row r="786" spans="45:45" ht="14.4">
      <c r="AS786" s="20"/>
    </row>
    <row r="787" spans="45:45" ht="14.4">
      <c r="AS787" s="20"/>
    </row>
    <row r="788" spans="45:45" ht="14.4">
      <c r="AS788" s="20"/>
    </row>
    <row r="789" spans="45:45" ht="14.4">
      <c r="AS789" s="20"/>
    </row>
    <row r="790" spans="45:45" ht="14.4">
      <c r="AS790" s="20"/>
    </row>
    <row r="791" spans="45:45" ht="14.4">
      <c r="AS791" s="20"/>
    </row>
    <row r="792" spans="45:45" ht="14.4">
      <c r="AS792" s="20"/>
    </row>
    <row r="793" spans="45:45" ht="14.4">
      <c r="AS793" s="20"/>
    </row>
    <row r="794" spans="45:45" ht="14.4">
      <c r="AS794" s="20"/>
    </row>
    <row r="795" spans="45:45" ht="14.4">
      <c r="AS795" s="20"/>
    </row>
    <row r="796" spans="45:45" ht="14.4">
      <c r="AS796" s="20"/>
    </row>
    <row r="797" spans="45:45" ht="14.4">
      <c r="AS797" s="20"/>
    </row>
    <row r="798" spans="45:45" ht="14.4">
      <c r="AS798" s="20"/>
    </row>
    <row r="799" spans="45:45" ht="14.4">
      <c r="AS799" s="20"/>
    </row>
    <row r="800" spans="45:45" ht="14.4">
      <c r="AS800" s="20"/>
    </row>
    <row r="801" spans="45:45" ht="14.4">
      <c r="AS801" s="20"/>
    </row>
    <row r="802" spans="45:45" ht="14.4">
      <c r="AS802" s="20"/>
    </row>
    <row r="803" spans="45:45" ht="14.4">
      <c r="AS803" s="20"/>
    </row>
    <row r="804" spans="45:45" ht="14.4">
      <c r="AS804" s="20"/>
    </row>
    <row r="805" spans="45:45" ht="14.4">
      <c r="AS805" s="20"/>
    </row>
    <row r="806" spans="45:45" ht="14.4">
      <c r="AS806" s="20"/>
    </row>
    <row r="807" spans="45:45" ht="14.4">
      <c r="AS807" s="20"/>
    </row>
    <row r="808" spans="45:45" ht="14.4">
      <c r="AS808" s="20"/>
    </row>
    <row r="809" spans="45:45" ht="14.4">
      <c r="AS809" s="20"/>
    </row>
    <row r="810" spans="45:45" ht="14.4">
      <c r="AS810" s="20"/>
    </row>
    <row r="811" spans="45:45" ht="14.4">
      <c r="AS811" s="20"/>
    </row>
    <row r="812" spans="45:45" ht="14.4">
      <c r="AS812" s="20"/>
    </row>
    <row r="813" spans="45:45" ht="14.4">
      <c r="AS813" s="20"/>
    </row>
    <row r="814" spans="45:45" ht="14.4">
      <c r="AS814" s="20"/>
    </row>
    <row r="815" spans="45:45" ht="14.4">
      <c r="AS815" s="20"/>
    </row>
    <row r="816" spans="45:45" ht="14.4">
      <c r="AS816" s="20"/>
    </row>
    <row r="817" spans="45:45" ht="14.4">
      <c r="AS817" s="20"/>
    </row>
    <row r="818" spans="45:45" ht="14.4">
      <c r="AS818" s="20"/>
    </row>
    <row r="819" spans="45:45" ht="14.4">
      <c r="AS819" s="20"/>
    </row>
    <row r="820" spans="45:45" ht="14.4">
      <c r="AS820" s="20"/>
    </row>
    <row r="821" spans="45:45" ht="14.4">
      <c r="AS821" s="20"/>
    </row>
    <row r="822" spans="45:45" ht="14.4">
      <c r="AS822" s="20"/>
    </row>
    <row r="823" spans="45:45" ht="14.4">
      <c r="AS823" s="20"/>
    </row>
    <row r="824" spans="45:45" ht="14.4">
      <c r="AS824" s="20"/>
    </row>
    <row r="825" spans="45:45" ht="14.4">
      <c r="AS825" s="20"/>
    </row>
    <row r="826" spans="45:45" ht="14.4">
      <c r="AS826" s="20"/>
    </row>
    <row r="827" spans="45:45" ht="14.4">
      <c r="AS827" s="20"/>
    </row>
    <row r="828" spans="45:45" ht="14.4">
      <c r="AS828" s="20"/>
    </row>
    <row r="829" spans="45:45" ht="14.4">
      <c r="AS829" s="20"/>
    </row>
    <row r="830" spans="45:45" ht="14.4">
      <c r="AS830" s="20"/>
    </row>
    <row r="831" spans="45:45" ht="14.4">
      <c r="AS831" s="20"/>
    </row>
    <row r="832" spans="45:45" ht="14.4">
      <c r="AS832" s="20"/>
    </row>
    <row r="833" spans="45:45" ht="14.4">
      <c r="AS833" s="20"/>
    </row>
    <row r="834" spans="45:45" ht="14.4">
      <c r="AS834" s="20"/>
    </row>
    <row r="835" spans="45:45" ht="14.4">
      <c r="AS835" s="20"/>
    </row>
    <row r="836" spans="45:45" ht="14.4">
      <c r="AS836" s="20"/>
    </row>
    <row r="837" spans="45:45" ht="14.4">
      <c r="AS837" s="20"/>
    </row>
    <row r="838" spans="45:45" ht="14.4">
      <c r="AS838" s="20"/>
    </row>
    <row r="839" spans="45:45" ht="14.4">
      <c r="AS839" s="20"/>
    </row>
    <row r="840" spans="45:45" ht="14.4">
      <c r="AS840" s="20"/>
    </row>
    <row r="841" spans="45:45" ht="14.4">
      <c r="AS841" s="20"/>
    </row>
    <row r="842" spans="45:45" ht="14.4">
      <c r="AS842" s="20"/>
    </row>
    <row r="843" spans="45:45" ht="14.4">
      <c r="AS843" s="20"/>
    </row>
    <row r="844" spans="45:45" ht="14.4">
      <c r="AS844" s="20"/>
    </row>
    <row r="845" spans="45:45" ht="14.4">
      <c r="AS845" s="20"/>
    </row>
    <row r="846" spans="45:45" ht="14.4">
      <c r="AS846" s="20"/>
    </row>
    <row r="847" spans="45:45" ht="14.4">
      <c r="AS847" s="20"/>
    </row>
    <row r="848" spans="45:45" ht="14.4">
      <c r="AS848" s="20"/>
    </row>
    <row r="849" spans="45:45" ht="14.4">
      <c r="AS849" s="20"/>
    </row>
    <row r="850" spans="45:45" ht="14.4">
      <c r="AS850" s="20"/>
    </row>
    <row r="851" spans="45:45" ht="14.4">
      <c r="AS851" s="20"/>
    </row>
    <row r="852" spans="45:45" ht="14.4">
      <c r="AS852" s="20"/>
    </row>
    <row r="853" spans="45:45" ht="14.4">
      <c r="AS853" s="20"/>
    </row>
    <row r="854" spans="45:45" ht="14.4">
      <c r="AS854" s="20"/>
    </row>
    <row r="855" spans="45:45" ht="14.4">
      <c r="AS855" s="20"/>
    </row>
    <row r="856" spans="45:45" ht="14.4">
      <c r="AS856" s="20"/>
    </row>
    <row r="857" spans="45:45" ht="14.4">
      <c r="AS857" s="20"/>
    </row>
    <row r="858" spans="45:45" ht="14.4">
      <c r="AS858" s="20"/>
    </row>
    <row r="859" spans="45:45" ht="14.4">
      <c r="AS859" s="20"/>
    </row>
    <row r="860" spans="45:45" ht="14.4">
      <c r="AS860" s="20"/>
    </row>
    <row r="861" spans="45:45" ht="14.4">
      <c r="AS861" s="20"/>
    </row>
    <row r="862" spans="45:45" ht="14.4">
      <c r="AS862" s="20"/>
    </row>
    <row r="863" spans="45:45" ht="14.4">
      <c r="AS863" s="20"/>
    </row>
    <row r="864" spans="45:45" ht="14.4">
      <c r="AS864" s="20"/>
    </row>
    <row r="865" spans="45:45" ht="14.4">
      <c r="AS865" s="20"/>
    </row>
    <row r="866" spans="45:45" ht="14.4">
      <c r="AS866" s="20"/>
    </row>
    <row r="867" spans="45:45" ht="14.4">
      <c r="AS867" s="20"/>
    </row>
    <row r="868" spans="45:45" ht="14.4">
      <c r="AS868" s="20"/>
    </row>
    <row r="869" spans="45:45" ht="14.4">
      <c r="AS869" s="20"/>
    </row>
    <row r="870" spans="45:45" ht="14.4">
      <c r="AS870" s="20"/>
    </row>
    <row r="871" spans="45:45" ht="14.4">
      <c r="AS871" s="20"/>
    </row>
    <row r="872" spans="45:45" ht="14.4">
      <c r="AS872" s="20"/>
    </row>
    <row r="873" spans="45:45" ht="14.4">
      <c r="AS873" s="20"/>
    </row>
    <row r="874" spans="45:45" ht="14.4">
      <c r="AS874" s="20"/>
    </row>
    <row r="875" spans="45:45" ht="14.4">
      <c r="AS875" s="20"/>
    </row>
    <row r="876" spans="45:45" ht="14.4">
      <c r="AS876" s="20"/>
    </row>
    <row r="877" spans="45:45" ht="14.4">
      <c r="AS877" s="20"/>
    </row>
    <row r="878" spans="45:45" ht="14.4">
      <c r="AS878" s="20"/>
    </row>
    <row r="879" spans="45:45" ht="14.4">
      <c r="AS879" s="20"/>
    </row>
    <row r="880" spans="45:45" ht="14.4">
      <c r="AS880" s="20"/>
    </row>
    <row r="881" spans="45:45" ht="14.4">
      <c r="AS881" s="20"/>
    </row>
    <row r="882" spans="45:45" ht="14.4">
      <c r="AS882" s="20"/>
    </row>
    <row r="883" spans="45:45" ht="14.4">
      <c r="AS883" s="20"/>
    </row>
    <row r="884" spans="45:45" ht="14.4">
      <c r="AS884" s="20"/>
    </row>
    <row r="885" spans="45:45" ht="14.4">
      <c r="AS885" s="20"/>
    </row>
    <row r="886" spans="45:45" ht="14.4">
      <c r="AS886" s="20"/>
    </row>
    <row r="887" spans="45:45" ht="14.4">
      <c r="AS887" s="20"/>
    </row>
    <row r="888" spans="45:45" ht="14.4">
      <c r="AS888" s="20"/>
    </row>
    <row r="889" spans="45:45" ht="14.4">
      <c r="AS889" s="20"/>
    </row>
    <row r="890" spans="45:45" ht="14.4">
      <c r="AS890" s="20"/>
    </row>
    <row r="891" spans="45:45" ht="14.4">
      <c r="AS891" s="20"/>
    </row>
    <row r="892" spans="45:45" ht="14.4">
      <c r="AS892" s="20"/>
    </row>
    <row r="893" spans="45:45" ht="14.4">
      <c r="AS893" s="20"/>
    </row>
    <row r="894" spans="45:45" ht="14.4">
      <c r="AS894" s="20"/>
    </row>
    <row r="895" spans="45:45" ht="14.4">
      <c r="AS895" s="20"/>
    </row>
    <row r="896" spans="45:45" ht="14.4">
      <c r="AS896" s="20"/>
    </row>
    <row r="897" spans="45:45" ht="14.4">
      <c r="AS897" s="20"/>
    </row>
    <row r="898" spans="45:45" ht="14.4">
      <c r="AS898" s="20"/>
    </row>
    <row r="899" spans="45:45" ht="14.4">
      <c r="AS899" s="20"/>
    </row>
    <row r="900" spans="45:45" ht="14.4">
      <c r="AS900" s="20"/>
    </row>
    <row r="901" spans="45:45" ht="14.4">
      <c r="AS901" s="20"/>
    </row>
    <row r="902" spans="45:45" ht="14.4">
      <c r="AS902" s="20"/>
    </row>
    <row r="903" spans="45:45" ht="14.4">
      <c r="AS903" s="20"/>
    </row>
    <row r="904" spans="45:45" ht="14.4">
      <c r="AS904" s="20"/>
    </row>
    <row r="905" spans="45:45" ht="14.4">
      <c r="AS905" s="20"/>
    </row>
    <row r="906" spans="45:45" ht="14.4">
      <c r="AS906" s="20"/>
    </row>
    <row r="907" spans="45:45" ht="14.4">
      <c r="AS907" s="20"/>
    </row>
    <row r="908" spans="45:45" ht="14.4">
      <c r="AS908" s="20"/>
    </row>
    <row r="909" spans="45:45" ht="14.4">
      <c r="AS909" s="20"/>
    </row>
    <row r="910" spans="45:45" ht="14.4">
      <c r="AS910" s="20"/>
    </row>
    <row r="911" spans="45:45" ht="14.4">
      <c r="AS911" s="20"/>
    </row>
    <row r="912" spans="45:45" ht="14.4">
      <c r="AS912" s="20"/>
    </row>
    <row r="913" spans="45:45" ht="14.4">
      <c r="AS913" s="20"/>
    </row>
    <row r="914" spans="45:45" ht="14.4">
      <c r="AS914" s="20"/>
    </row>
    <row r="915" spans="45:45" ht="14.4">
      <c r="AS915" s="20"/>
    </row>
    <row r="916" spans="45:45" ht="14.4">
      <c r="AS916" s="20"/>
    </row>
    <row r="917" spans="45:45" ht="14.4">
      <c r="AS917" s="20"/>
    </row>
    <row r="918" spans="45:45" ht="14.4">
      <c r="AS918" s="20"/>
    </row>
    <row r="919" spans="45:45" ht="14.4">
      <c r="AS919" s="20"/>
    </row>
    <row r="920" spans="45:45" ht="14.4">
      <c r="AS920" s="20"/>
    </row>
    <row r="921" spans="45:45" ht="14.4">
      <c r="AS921" s="20"/>
    </row>
    <row r="922" spans="45:45" ht="14.4">
      <c r="AS922" s="20"/>
    </row>
    <row r="923" spans="45:45" ht="14.4">
      <c r="AS923" s="20"/>
    </row>
    <row r="924" spans="45:45" ht="14.4">
      <c r="AS924" s="20"/>
    </row>
    <row r="925" spans="45:45" ht="14.4">
      <c r="AS925" s="20"/>
    </row>
    <row r="926" spans="45:45" ht="14.4">
      <c r="AS926" s="20"/>
    </row>
    <row r="927" spans="45:45" ht="14.4">
      <c r="AS927" s="20"/>
    </row>
    <row r="928" spans="45:45" ht="14.4">
      <c r="AS928" s="20"/>
    </row>
    <row r="929" spans="45:45" ht="14.4">
      <c r="AS929" s="20"/>
    </row>
    <row r="930" spans="45:45" ht="14.4">
      <c r="AS930" s="20"/>
    </row>
    <row r="931" spans="45:45" ht="14.4">
      <c r="AS931" s="20"/>
    </row>
    <row r="932" spans="45:45" ht="14.4">
      <c r="AS932" s="20"/>
    </row>
    <row r="933" spans="45:45" ht="14.4">
      <c r="AS933" s="20"/>
    </row>
    <row r="934" spans="45:45" ht="14.4">
      <c r="AS934" s="20"/>
    </row>
    <row r="935" spans="45:45" ht="14.4">
      <c r="AS935" s="20"/>
    </row>
    <row r="936" spans="45:45" ht="14.4">
      <c r="AS936" s="20"/>
    </row>
    <row r="937" spans="45:45" ht="14.4">
      <c r="AS937" s="20"/>
    </row>
    <row r="938" spans="45:45" ht="14.4">
      <c r="AS938" s="20"/>
    </row>
    <row r="939" spans="45:45" ht="14.4">
      <c r="AS939" s="20"/>
    </row>
    <row r="940" spans="45:45" ht="14.4">
      <c r="AS940" s="20"/>
    </row>
    <row r="941" spans="45:45" ht="14.4">
      <c r="AS941" s="20"/>
    </row>
    <row r="942" spans="45:45" ht="14.4">
      <c r="AS942" s="20"/>
    </row>
    <row r="943" spans="45:45" ht="14.4">
      <c r="AS943" s="20"/>
    </row>
    <row r="944" spans="45:45" ht="14.4">
      <c r="AS944" s="20"/>
    </row>
    <row r="945" spans="45:45" ht="14.4">
      <c r="AS945" s="20"/>
    </row>
    <row r="946" spans="45:45" ht="14.4">
      <c r="AS946" s="20"/>
    </row>
    <row r="947" spans="45:45" ht="14.4">
      <c r="AS947" s="20"/>
    </row>
    <row r="948" spans="45:45" ht="14.4">
      <c r="AS948" s="20"/>
    </row>
    <row r="949" spans="45:45" ht="14.4">
      <c r="AS949" s="20"/>
    </row>
    <row r="950" spans="45:45" ht="14.4">
      <c r="AS950" s="20"/>
    </row>
    <row r="951" spans="45:45" ht="14.4">
      <c r="AS951" s="20"/>
    </row>
    <row r="952" spans="45:45" ht="14.4">
      <c r="AS952" s="20"/>
    </row>
    <row r="953" spans="45:45" ht="14.4">
      <c r="AS953" s="20"/>
    </row>
    <row r="954" spans="45:45" ht="14.4">
      <c r="AS954" s="20"/>
    </row>
    <row r="955" spans="45:45" ht="14.4">
      <c r="AS955" s="20"/>
    </row>
    <row r="956" spans="45:45" ht="14.4">
      <c r="AS956" s="20"/>
    </row>
    <row r="957" spans="45:45" ht="14.4">
      <c r="AS957" s="20"/>
    </row>
    <row r="958" spans="45:45" ht="14.4">
      <c r="AS958" s="20"/>
    </row>
    <row r="959" spans="45:45" ht="14.4">
      <c r="AS959" s="20"/>
    </row>
    <row r="960" spans="45:45" ht="14.4">
      <c r="AS960" s="20"/>
    </row>
    <row r="961" spans="45:45" ht="14.4">
      <c r="AS961" s="20"/>
    </row>
    <row r="962" spans="45:45" ht="14.4">
      <c r="AS962" s="20"/>
    </row>
    <row r="963" spans="45:45" ht="14.4">
      <c r="AS963" s="20"/>
    </row>
    <row r="964" spans="45:45" ht="14.4">
      <c r="AS964" s="20"/>
    </row>
    <row r="965" spans="45:45" ht="14.4">
      <c r="AS965" s="20"/>
    </row>
    <row r="966" spans="45:45" ht="14.4">
      <c r="AS966" s="20"/>
    </row>
    <row r="967" spans="45:45" ht="14.4">
      <c r="AS967" s="20"/>
    </row>
    <row r="968" spans="45:45" ht="14.4">
      <c r="AS968" s="20"/>
    </row>
    <row r="969" spans="45:45" ht="14.4">
      <c r="AS969" s="20"/>
    </row>
    <row r="970" spans="45:45" ht="14.4">
      <c r="AS970" s="20"/>
    </row>
    <row r="971" spans="45:45" ht="14.4">
      <c r="AS971" s="20"/>
    </row>
    <row r="972" spans="45:45" ht="14.4">
      <c r="AS972" s="20"/>
    </row>
    <row r="973" spans="45:45" ht="14.4">
      <c r="AS973" s="20"/>
    </row>
    <row r="974" spans="45:45" ht="14.4">
      <c r="AS974" s="20"/>
    </row>
    <row r="975" spans="45:45" ht="14.4">
      <c r="AS975" s="20"/>
    </row>
    <row r="976" spans="45:45" ht="14.4">
      <c r="AS976" s="20"/>
    </row>
    <row r="977" spans="45:45" ht="14.4">
      <c r="AS977" s="20"/>
    </row>
    <row r="978" spans="45:45" ht="14.4">
      <c r="AS978" s="20"/>
    </row>
    <row r="979" spans="45:45" ht="14.4">
      <c r="AS979" s="20"/>
    </row>
    <row r="980" spans="45:45" ht="14.4">
      <c r="AS980" s="20"/>
    </row>
    <row r="981" spans="45:45" ht="14.4">
      <c r="AS981" s="20"/>
    </row>
    <row r="982" spans="45:45" ht="14.4">
      <c r="AS982" s="20"/>
    </row>
    <row r="983" spans="45:45" ht="14.4">
      <c r="AS983" s="20"/>
    </row>
    <row r="984" spans="45:45" ht="14.4">
      <c r="AS984" s="20"/>
    </row>
    <row r="985" spans="45:45" ht="14.4">
      <c r="AS985" s="20"/>
    </row>
    <row r="986" spans="45:45" ht="14.4">
      <c r="AS986" s="20"/>
    </row>
    <row r="987" spans="45:45" ht="14.4">
      <c r="AS987" s="20"/>
    </row>
    <row r="988" spans="45:45" ht="14.4">
      <c r="AS988" s="20"/>
    </row>
    <row r="989" spans="45:45" ht="14.4">
      <c r="AS989" s="20"/>
    </row>
    <row r="990" spans="45:45" ht="14.4">
      <c r="AS990" s="20"/>
    </row>
    <row r="991" spans="45:45" ht="14.4">
      <c r="AS991" s="20"/>
    </row>
    <row r="992" spans="45:45" ht="14.4">
      <c r="AS992" s="20"/>
    </row>
    <row r="993" spans="45:45" ht="14.4">
      <c r="AS993" s="20"/>
    </row>
    <row r="994" spans="45:45" ht="14.4">
      <c r="AS994" s="20"/>
    </row>
    <row r="995" spans="45:45" ht="14.4">
      <c r="AS995" s="20"/>
    </row>
    <row r="996" spans="45:45" ht="14.4">
      <c r="AS996" s="20"/>
    </row>
    <row r="997" spans="45:45" ht="14.4">
      <c r="AS997" s="20"/>
    </row>
    <row r="998" spans="45:45" ht="14.4">
      <c r="AS998" s="20"/>
    </row>
    <row r="999" spans="45:45" ht="14.4">
      <c r="AS999" s="20"/>
    </row>
    <row r="1000" spans="45:45" ht="14.4">
      <c r="AS1000" s="20"/>
    </row>
    <row r="1001" spans="45:45" ht="14.4">
      <c r="AS1001" s="20"/>
    </row>
    <row r="1002" spans="45:45" ht="14.4">
      <c r="AS1002" s="20"/>
    </row>
    <row r="1003" spans="45:45" ht="14.4">
      <c r="AS1003" s="20"/>
    </row>
    <row r="1004" spans="45:45" ht="14.4">
      <c r="AS1004" s="20"/>
    </row>
    <row r="1005" spans="45:45" ht="14.4">
      <c r="AS1005" s="20"/>
    </row>
    <row r="1006" spans="45:45" ht="14.4">
      <c r="AS1006" s="20"/>
    </row>
    <row r="1007" spans="45:45" ht="14.4">
      <c r="AS1007" s="20"/>
    </row>
    <row r="1008" spans="45:45" ht="14.4">
      <c r="AS1008" s="20"/>
    </row>
    <row r="1009" spans="45:45" ht="14.4">
      <c r="AS1009" s="20"/>
    </row>
    <row r="1010" spans="45:45" ht="14.4">
      <c r="AS1010" s="20"/>
    </row>
    <row r="1011" spans="45:45" ht="14.4">
      <c r="AS1011" s="20"/>
    </row>
    <row r="1012" spans="45:45" ht="14.4">
      <c r="AS1012" s="20"/>
    </row>
    <row r="1013" spans="45:45" ht="14.4">
      <c r="AS1013" s="20"/>
    </row>
    <row r="1014" spans="45:45" ht="14.4">
      <c r="AS1014" s="20"/>
    </row>
    <row r="1015" spans="45:45" ht="14.4">
      <c r="AS1015" s="20"/>
    </row>
    <row r="1016" spans="45:45" ht="14.4">
      <c r="AS1016" s="20"/>
    </row>
    <row r="1017" spans="45:45" ht="14.4">
      <c r="AS1017" s="20"/>
    </row>
    <row r="1018" spans="45:45" ht="14.4">
      <c r="AS1018" s="20"/>
    </row>
    <row r="1019" spans="45:45" ht="14.4">
      <c r="AS1019" s="20"/>
    </row>
    <row r="1020" spans="45:45" ht="14.4">
      <c r="AS1020" s="20"/>
    </row>
    <row r="1021" spans="45:45" ht="14.4">
      <c r="AS1021" s="20"/>
    </row>
    <row r="1022" spans="45:45" ht="14.4">
      <c r="AS1022" s="20"/>
    </row>
    <row r="1023" spans="45:45" ht="14.4">
      <c r="AS1023" s="20"/>
    </row>
    <row r="1024" spans="45:45" ht="14.4">
      <c r="AS1024" s="20"/>
    </row>
    <row r="1025" spans="45:45" ht="14.4">
      <c r="AS1025" s="20"/>
    </row>
    <row r="1026" spans="45:45" ht="14.4">
      <c r="AS1026" s="20"/>
    </row>
    <row r="1027" spans="45:45" ht="14.4">
      <c r="AS1027" s="20"/>
    </row>
    <row r="1028" spans="45:45" ht="14.4">
      <c r="AS1028" s="20"/>
    </row>
    <row r="1029" spans="45:45" ht="14.4">
      <c r="AS1029" s="20"/>
    </row>
    <row r="1030" spans="45:45" ht="14.4">
      <c r="AS1030" s="20"/>
    </row>
    <row r="1031" spans="45:45" ht="14.4">
      <c r="AS1031" s="20"/>
    </row>
    <row r="1032" spans="45:45" ht="14.4">
      <c r="AS1032" s="20"/>
    </row>
    <row r="1033" spans="45:45" ht="14.4">
      <c r="AS1033" s="20"/>
    </row>
    <row r="1034" spans="45:45" ht="14.4">
      <c r="AS1034" s="20"/>
    </row>
    <row r="1035" spans="45:45" ht="14.4">
      <c r="AS1035" s="20"/>
    </row>
    <row r="1036" spans="45:45" ht="14.4">
      <c r="AS1036" s="20"/>
    </row>
    <row r="1037" spans="45:45" ht="14.4">
      <c r="AS1037" s="20"/>
    </row>
    <row r="1038" spans="45:45" ht="14.4">
      <c r="AS1038" s="20"/>
    </row>
    <row r="1039" spans="45:45" ht="14.4">
      <c r="AS1039" s="20"/>
    </row>
    <row r="1040" spans="45:45" ht="14.4">
      <c r="AS1040" s="20"/>
    </row>
    <row r="1041" spans="45:45" ht="14.4">
      <c r="AS1041" s="20"/>
    </row>
    <row r="1042" spans="45:45" ht="14.4">
      <c r="AS1042" s="20"/>
    </row>
    <row r="1043" spans="45:45" ht="14.4">
      <c r="AS1043" s="20"/>
    </row>
    <row r="1044" spans="45:45" ht="14.4">
      <c r="AS1044" s="20"/>
    </row>
    <row r="1045" spans="45:45" ht="14.4">
      <c r="AS1045" s="20"/>
    </row>
    <row r="1046" spans="45:45" ht="14.4">
      <c r="AS1046" s="20"/>
    </row>
    <row r="1047" spans="45:45" ht="14.4">
      <c r="AS1047" s="20"/>
    </row>
    <row r="1048" spans="45:45" ht="14.4">
      <c r="AS1048" s="20"/>
    </row>
    <row r="1049" spans="45:45" ht="14.4">
      <c r="AS1049" s="20"/>
    </row>
    <row r="1050" spans="45:45" ht="14.4">
      <c r="AS1050" s="20"/>
    </row>
    <row r="1051" spans="45:45" ht="14.4">
      <c r="AS1051" s="20"/>
    </row>
    <row r="1052" spans="45:45" ht="14.4">
      <c r="AS1052" s="20"/>
    </row>
    <row r="1053" spans="45:45" ht="14.4">
      <c r="AS1053" s="20"/>
    </row>
    <row r="1054" spans="45:45" ht="14.4">
      <c r="AS1054" s="20"/>
    </row>
    <row r="1055" spans="45:45" ht="14.4">
      <c r="AS1055" s="20"/>
    </row>
    <row r="1056" spans="45:45" ht="14.4">
      <c r="AS1056" s="20"/>
    </row>
    <row r="1057" spans="45:45" ht="14.4">
      <c r="AS1057" s="20"/>
    </row>
    <row r="1058" spans="45:45" ht="14.4">
      <c r="AS1058" s="20"/>
    </row>
    <row r="1059" spans="45:45" ht="14.4">
      <c r="AS1059" s="20"/>
    </row>
    <row r="1060" spans="45:45" ht="14.4">
      <c r="AS1060" s="20"/>
    </row>
    <row r="1061" spans="45:45" ht="14.4">
      <c r="AS1061" s="20"/>
    </row>
    <row r="1062" spans="45:45" ht="14.4">
      <c r="AS1062" s="20"/>
    </row>
    <row r="1063" spans="45:45" ht="14.4">
      <c r="AS1063" s="20"/>
    </row>
    <row r="1064" spans="45:45" ht="14.4">
      <c r="AS1064" s="20"/>
    </row>
    <row r="1065" spans="45:45" ht="14.4">
      <c r="AS1065" s="20"/>
    </row>
    <row r="1066" spans="45:45" ht="14.4">
      <c r="AS1066" s="20"/>
    </row>
    <row r="1067" spans="45:45" ht="14.4">
      <c r="AS1067" s="20"/>
    </row>
    <row r="1068" spans="45:45" ht="14.4">
      <c r="AS1068" s="20"/>
    </row>
    <row r="1069" spans="45:45" ht="14.4">
      <c r="AS1069" s="20"/>
    </row>
    <row r="1070" spans="45:45" ht="14.4">
      <c r="AS1070" s="20"/>
    </row>
    <row r="1071" spans="45:45" ht="14.4">
      <c r="AS1071" s="20"/>
    </row>
    <row r="1072" spans="45:45" ht="14.4">
      <c r="AS1072" s="20"/>
    </row>
    <row r="1073" spans="45:45" ht="14.4">
      <c r="AS1073" s="20"/>
    </row>
    <row r="1074" spans="45:45" ht="14.4">
      <c r="AS1074" s="20"/>
    </row>
    <row r="1075" spans="45:45" ht="14.4">
      <c r="AS1075" s="20"/>
    </row>
    <row r="1076" spans="45:45" ht="14.4">
      <c r="AS1076" s="20"/>
    </row>
    <row r="1077" spans="45:45" ht="14.4">
      <c r="AS1077" s="20"/>
    </row>
    <row r="1078" spans="45:45" ht="14.4">
      <c r="AS1078" s="20"/>
    </row>
    <row r="1079" spans="45:45" ht="14.4">
      <c r="AS1079" s="20"/>
    </row>
    <row r="1080" spans="45:45" ht="14.4">
      <c r="AS1080" s="20"/>
    </row>
    <row r="1081" spans="45:45" ht="14.4">
      <c r="AS1081" s="20"/>
    </row>
    <row r="1082" spans="45:45" ht="14.4">
      <c r="AS1082" s="20"/>
    </row>
    <row r="1083" spans="45:45" ht="14.4">
      <c r="AS1083" s="20"/>
    </row>
    <row r="1084" spans="45:45" ht="14.4">
      <c r="AS1084" s="20"/>
    </row>
    <row r="1085" spans="45:45" ht="14.4">
      <c r="AS1085" s="20"/>
    </row>
    <row r="1086" spans="45:45" ht="14.4">
      <c r="AS1086" s="20"/>
    </row>
    <row r="1087" spans="45:45" ht="14.4">
      <c r="AS1087" s="20"/>
    </row>
    <row r="1088" spans="45:45" ht="14.4">
      <c r="AS1088" s="20"/>
    </row>
    <row r="1089" spans="45:45" ht="14.4">
      <c r="AS1089" s="20"/>
    </row>
    <row r="1090" spans="45:45" ht="14.4">
      <c r="AS1090" s="20"/>
    </row>
    <row r="1091" spans="45:45" ht="14.4">
      <c r="AS1091" s="20"/>
    </row>
    <row r="1092" spans="45:45" ht="14.4">
      <c r="AS1092" s="20"/>
    </row>
    <row r="1093" spans="45:45" ht="14.4">
      <c r="AS1093" s="20"/>
    </row>
    <row r="1094" spans="45:45" ht="14.4">
      <c r="AS1094" s="20"/>
    </row>
    <row r="1095" spans="45:45" ht="14.4">
      <c r="AS1095" s="20"/>
    </row>
    <row r="1096" spans="45:45" ht="14.4">
      <c r="AS1096" s="20"/>
    </row>
    <row r="1097" spans="45:45" ht="14.4">
      <c r="AS1097" s="20"/>
    </row>
    <row r="1098" spans="45:45" ht="14.4">
      <c r="AS1098" s="20"/>
    </row>
    <row r="1099" spans="45:45" ht="14.4">
      <c r="AS1099" s="20"/>
    </row>
    <row r="1100" spans="45:45" ht="14.4">
      <c r="AS1100" s="20"/>
    </row>
    <row r="1101" spans="45:45" ht="14.4">
      <c r="AS1101" s="20"/>
    </row>
    <row r="1102" spans="45:45" ht="14.4">
      <c r="AS1102" s="20"/>
    </row>
    <row r="1103" spans="45:45" ht="14.4">
      <c r="AS1103" s="20"/>
    </row>
    <row r="1104" spans="45:45" ht="14.4">
      <c r="AS1104" s="20"/>
    </row>
    <row r="1105" spans="45:45" ht="14.4">
      <c r="AS1105" s="20"/>
    </row>
    <row r="1106" spans="45:45" ht="14.4">
      <c r="AS1106" s="20"/>
    </row>
    <row r="1107" spans="45:45" ht="14.4">
      <c r="AS1107" s="20"/>
    </row>
    <row r="1108" spans="45:45" ht="14.4">
      <c r="AS1108" s="20"/>
    </row>
    <row r="1109" spans="45:45" ht="14.4">
      <c r="AS1109" s="20"/>
    </row>
    <row r="1110" spans="45:45" ht="14.4">
      <c r="AS1110" s="20"/>
    </row>
    <row r="1111" spans="45:45" ht="14.4">
      <c r="AS1111" s="20"/>
    </row>
    <row r="1112" spans="45:45" ht="14.4">
      <c r="AS1112" s="20"/>
    </row>
    <row r="1113" spans="45:45" ht="14.4">
      <c r="AS1113" s="20"/>
    </row>
    <row r="1114" spans="45:45" ht="14.4">
      <c r="AS1114" s="20"/>
    </row>
    <row r="1115" spans="45:45" ht="14.4">
      <c r="AS1115" s="20"/>
    </row>
    <row r="1116" spans="45:45" ht="14.4">
      <c r="AS1116" s="20"/>
    </row>
    <row r="1117" spans="45:45" ht="14.4">
      <c r="AS1117" s="20"/>
    </row>
    <row r="1118" spans="45:45" ht="14.4">
      <c r="AS1118" s="20"/>
    </row>
    <row r="1119" spans="45:45" ht="14.4">
      <c r="AS1119" s="20"/>
    </row>
    <row r="1120" spans="45:45" ht="14.4">
      <c r="AS1120" s="20"/>
    </row>
    <row r="1121" spans="45:45" ht="14.4">
      <c r="AS1121" s="20"/>
    </row>
    <row r="1122" spans="45:45" ht="14.4">
      <c r="AS1122" s="20"/>
    </row>
    <row r="1123" spans="45:45" ht="14.4">
      <c r="AS1123" s="20"/>
    </row>
    <row r="1124" spans="45:45" ht="14.4">
      <c r="AS1124" s="20"/>
    </row>
    <row r="1125" spans="45:45" ht="14.4">
      <c r="AS1125" s="20"/>
    </row>
    <row r="1126" spans="45:45" ht="14.4">
      <c r="AS1126" s="20"/>
    </row>
    <row r="1127" spans="45:45" ht="14.4">
      <c r="AS1127" s="20"/>
    </row>
    <row r="1128" spans="45:45" ht="14.4">
      <c r="AS1128" s="20"/>
    </row>
    <row r="1129" spans="45:45" ht="14.4">
      <c r="AS1129" s="20"/>
    </row>
    <row r="1130" spans="45:45" ht="14.4">
      <c r="AS1130" s="20"/>
    </row>
    <row r="1131" spans="45:45" ht="14.4">
      <c r="AS1131" s="20"/>
    </row>
    <row r="1132" spans="45:45" ht="14.4">
      <c r="AS1132" s="20"/>
    </row>
    <row r="1133" spans="45:45" ht="14.4">
      <c r="AS1133" s="20"/>
    </row>
    <row r="1134" spans="45:45" ht="14.4">
      <c r="AS1134" s="20"/>
    </row>
    <row r="1135" spans="45:45" ht="14.4">
      <c r="AS1135" s="20"/>
    </row>
    <row r="1136" spans="45:45" ht="14.4">
      <c r="AS1136" s="20"/>
    </row>
    <row r="1137" spans="45:45" ht="14.4">
      <c r="AS1137" s="20"/>
    </row>
    <row r="1138" spans="45:45" ht="14.4">
      <c r="AS1138" s="20"/>
    </row>
    <row r="1139" spans="45:45" ht="14.4">
      <c r="AS1139" s="20"/>
    </row>
    <row r="1140" spans="45:45" ht="14.4">
      <c r="AS1140" s="20"/>
    </row>
    <row r="1141" spans="45:45" ht="14.4">
      <c r="AS1141" s="20"/>
    </row>
    <row r="1142" spans="45:45" ht="14.4">
      <c r="AS1142" s="20"/>
    </row>
    <row r="1143" spans="45:45" ht="14.4">
      <c r="AS1143" s="20"/>
    </row>
    <row r="1144" spans="45:45" ht="14.4">
      <c r="AS1144" s="20"/>
    </row>
    <row r="1145" spans="45:45" ht="14.4">
      <c r="AS1145" s="20"/>
    </row>
    <row r="1146" spans="45:45" ht="14.4">
      <c r="AS1146" s="20"/>
    </row>
    <row r="1147" spans="45:45" ht="14.4">
      <c r="AS1147" s="20"/>
    </row>
    <row r="1148" spans="45:45" ht="14.4">
      <c r="AS1148" s="20"/>
    </row>
    <row r="1149" spans="45:45" ht="14.4">
      <c r="AS1149" s="20"/>
    </row>
    <row r="1150" spans="45:45" ht="14.4">
      <c r="AS1150" s="20"/>
    </row>
    <row r="1151" spans="45:45" ht="14.4">
      <c r="AS1151" s="20"/>
    </row>
    <row r="1152" spans="45:45" ht="14.4">
      <c r="AS1152" s="20"/>
    </row>
    <row r="1153" spans="45:45" ht="14.4">
      <c r="AS1153" s="20"/>
    </row>
    <row r="1154" spans="45:45" ht="14.4">
      <c r="AS1154" s="20"/>
    </row>
    <row r="1155" spans="45:45" ht="14.4">
      <c r="AS1155" s="20"/>
    </row>
    <row r="1156" spans="45:45" ht="14.4">
      <c r="AS1156" s="20"/>
    </row>
    <row r="1157" spans="45:45" ht="14.4">
      <c r="AS1157" s="20"/>
    </row>
    <row r="1158" spans="45:45" ht="14.4">
      <c r="AS1158" s="20"/>
    </row>
    <row r="1159" spans="45:45" ht="14.4">
      <c r="AS1159" s="20"/>
    </row>
    <row r="1160" spans="45:45" ht="14.4">
      <c r="AS1160" s="20"/>
    </row>
    <row r="1161" spans="45:45" ht="14.4">
      <c r="AS1161" s="20"/>
    </row>
    <row r="1162" spans="45:45" ht="14.4">
      <c r="AS1162" s="20"/>
    </row>
    <row r="1163" spans="45:45" ht="14.4">
      <c r="AS1163" s="20"/>
    </row>
    <row r="1164" spans="45:45" ht="14.4">
      <c r="AS1164" s="20"/>
    </row>
    <row r="1165" spans="45:45" ht="14.4">
      <c r="AS1165" s="20"/>
    </row>
    <row r="1166" spans="45:45" ht="14.4">
      <c r="AS1166" s="20"/>
    </row>
    <row r="1167" spans="45:45" ht="14.4">
      <c r="AS1167" s="20"/>
    </row>
    <row r="1168" spans="45:45" ht="14.4">
      <c r="AS1168" s="20"/>
    </row>
    <row r="1169" spans="45:45" ht="14.4">
      <c r="AS1169" s="20"/>
    </row>
    <row r="1170" spans="45:45" ht="14.4">
      <c r="AS1170" s="20"/>
    </row>
    <row r="1171" spans="45:45" ht="14.4">
      <c r="AS1171" s="20"/>
    </row>
    <row r="1172" spans="45:45" ht="14.4">
      <c r="AS1172" s="20"/>
    </row>
    <row r="1173" spans="45:45" ht="14.4">
      <c r="AS1173" s="20"/>
    </row>
    <row r="1174" spans="45:45" ht="14.4">
      <c r="AS1174" s="20"/>
    </row>
    <row r="1175" spans="45:45" ht="14.4">
      <c r="AS1175" s="20"/>
    </row>
    <row r="1176" spans="45:45" ht="14.4">
      <c r="AS1176" s="20"/>
    </row>
    <row r="1177" spans="45:45" ht="14.4">
      <c r="AS1177" s="20"/>
    </row>
    <row r="1178" spans="45:45" ht="14.4">
      <c r="AS1178" s="20"/>
    </row>
    <row r="1179" spans="45:45" ht="14.4">
      <c r="AS1179" s="20"/>
    </row>
    <row r="1180" spans="45:45" ht="14.4">
      <c r="AS1180" s="20"/>
    </row>
    <row r="1181" spans="45:45" ht="14.4">
      <c r="AS1181" s="20"/>
    </row>
    <row r="1182" spans="45:45" ht="14.4">
      <c r="AS1182" s="20"/>
    </row>
    <row r="1183" spans="45:45" ht="14.4">
      <c r="AS1183" s="20"/>
    </row>
    <row r="1184" spans="45:45" ht="14.4">
      <c r="AS1184" s="20"/>
    </row>
    <row r="1185" spans="45:45" ht="14.4">
      <c r="AS1185" s="20"/>
    </row>
    <row r="1186" spans="45:45" ht="14.4">
      <c r="AS1186" s="20"/>
    </row>
    <row r="1187" spans="45:45" ht="14.4">
      <c r="AS1187" s="20"/>
    </row>
    <row r="1188" spans="45:45" ht="14.4">
      <c r="AS1188" s="20"/>
    </row>
    <row r="1189" spans="45:45" ht="14.4">
      <c r="AS1189" s="20"/>
    </row>
    <row r="1190" spans="45:45" ht="14.4">
      <c r="AS1190" s="20"/>
    </row>
    <row r="1191" spans="45:45" ht="14.4">
      <c r="AS1191" s="20"/>
    </row>
    <row r="1192" spans="45:45" ht="14.4">
      <c r="AS1192" s="20"/>
    </row>
    <row r="1193" spans="45:45" ht="14.4">
      <c r="AS1193" s="20"/>
    </row>
    <row r="1194" spans="45:45" ht="14.4">
      <c r="AS1194" s="20"/>
    </row>
    <row r="1195" spans="45:45" ht="14.4">
      <c r="AS1195" s="20"/>
    </row>
    <row r="1196" spans="45:45" ht="14.4">
      <c r="AS1196" s="20"/>
    </row>
    <row r="1197" spans="45:45" ht="14.4">
      <c r="AS1197" s="20"/>
    </row>
    <row r="1198" spans="45:45" ht="14.4">
      <c r="AS1198" s="20"/>
    </row>
    <row r="1199" spans="45:45" ht="14.4">
      <c r="AS1199" s="20"/>
    </row>
    <row r="1200" spans="45:45" ht="14.4">
      <c r="AS1200" s="20"/>
    </row>
    <row r="1201" spans="45:45" ht="14.4">
      <c r="AS1201" s="20"/>
    </row>
    <row r="1202" spans="45:45" ht="14.4">
      <c r="AS1202" s="20"/>
    </row>
    <row r="1203" spans="45:45" ht="14.4">
      <c r="AS1203" s="20"/>
    </row>
    <row r="1204" spans="45:45" ht="14.4">
      <c r="AS1204" s="20"/>
    </row>
    <row r="1205" spans="45:45" ht="14.4">
      <c r="AS1205" s="20"/>
    </row>
    <row r="1206" spans="45:45" ht="14.4">
      <c r="AS1206" s="20"/>
    </row>
    <row r="1207" spans="45:45" ht="14.4">
      <c r="AS1207" s="20"/>
    </row>
    <row r="1208" spans="45:45" ht="14.4">
      <c r="AS1208" s="20"/>
    </row>
    <row r="1209" spans="45:45" ht="14.4">
      <c r="AS1209" s="20"/>
    </row>
    <row r="1210" spans="45:45" ht="14.4">
      <c r="AS1210" s="20"/>
    </row>
    <row r="1211" spans="45:45" ht="14.4">
      <c r="AS1211" s="20"/>
    </row>
    <row r="1212" spans="45:45" ht="14.4">
      <c r="AS1212" s="20"/>
    </row>
    <row r="1213" spans="45:45" ht="14.4">
      <c r="AS1213" s="20"/>
    </row>
    <row r="1214" spans="45:45" ht="14.4">
      <c r="AS1214" s="20"/>
    </row>
    <row r="1215" spans="45:45" ht="14.4">
      <c r="AS1215" s="20"/>
    </row>
    <row r="1216" spans="45:45" ht="14.4">
      <c r="AS1216" s="20"/>
    </row>
    <row r="1217" spans="45:45" ht="14.4">
      <c r="AS1217" s="20"/>
    </row>
    <row r="1218" spans="45:45" ht="14.4">
      <c r="AS1218" s="20"/>
    </row>
    <row r="1219" spans="45:45" ht="14.4">
      <c r="AS1219" s="20"/>
    </row>
    <row r="1220" spans="45:45" ht="14.4">
      <c r="AS1220" s="20"/>
    </row>
    <row r="1221" spans="45:45" ht="14.4">
      <c r="AS1221" s="20"/>
    </row>
    <row r="1222" spans="45:45" ht="14.4">
      <c r="AS1222" s="20"/>
    </row>
    <row r="1223" spans="45:45" ht="14.4">
      <c r="AS1223" s="20"/>
    </row>
    <row r="1224" spans="45:45" ht="14.4">
      <c r="AS1224" s="20"/>
    </row>
    <row r="1225" spans="45:45" ht="14.4">
      <c r="AS1225" s="20"/>
    </row>
    <row r="1226" spans="45:45" ht="14.4">
      <c r="AS1226" s="20"/>
    </row>
    <row r="1227" spans="45:45" ht="14.4">
      <c r="AS1227" s="20"/>
    </row>
    <row r="1228" spans="45:45" ht="14.4">
      <c r="AS1228" s="20"/>
    </row>
    <row r="1229" spans="45:45" ht="14.4">
      <c r="AS1229" s="20"/>
    </row>
    <row r="1230" spans="45:45" ht="14.4">
      <c r="AS1230" s="20"/>
    </row>
    <row r="1231" spans="45:45" ht="14.4">
      <c r="AS1231" s="20"/>
    </row>
    <row r="1232" spans="45:45" ht="14.4">
      <c r="AS1232" s="20"/>
    </row>
    <row r="1233" spans="45:45" ht="14.4">
      <c r="AS1233" s="20"/>
    </row>
    <row r="1234" spans="45:45" ht="14.4">
      <c r="AS1234" s="20"/>
    </row>
    <row r="1235" spans="45:45" ht="14.4">
      <c r="AS1235" s="20"/>
    </row>
    <row r="1236" spans="45:45" ht="14.4">
      <c r="AS1236" s="20"/>
    </row>
    <row r="1237" spans="45:45" ht="14.4">
      <c r="AS1237" s="20"/>
    </row>
    <row r="1238" spans="45:45" ht="14.4">
      <c r="AS1238" s="20"/>
    </row>
    <row r="1239" spans="45:45" ht="14.4">
      <c r="AS1239" s="20"/>
    </row>
    <row r="1240" spans="45:45" ht="14.4">
      <c r="AS1240" s="20"/>
    </row>
    <row r="1241" spans="45:45" ht="14.4">
      <c r="AS1241" s="20"/>
    </row>
    <row r="1242" spans="45:45" ht="14.4">
      <c r="AS1242" s="20"/>
    </row>
    <row r="1243" spans="45:45" ht="14.4">
      <c r="AS1243" s="20"/>
    </row>
    <row r="1244" spans="45:45" ht="14.4">
      <c r="AS1244" s="20"/>
    </row>
    <row r="1245" spans="45:45" ht="14.4">
      <c r="AS1245" s="20"/>
    </row>
    <row r="1246" spans="45:45" ht="14.4">
      <c r="AS1246" s="20"/>
    </row>
    <row r="1247" spans="45:45" ht="14.4">
      <c r="AS1247" s="20"/>
    </row>
    <row r="1248" spans="45:45" ht="14.4">
      <c r="AS1248" s="20"/>
    </row>
    <row r="1249" spans="45:45" ht="14.4">
      <c r="AS1249" s="20"/>
    </row>
    <row r="1250" spans="45:45" ht="14.4">
      <c r="AS1250" s="20"/>
    </row>
    <row r="1251" spans="45:45" ht="14.4">
      <c r="AS1251" s="20"/>
    </row>
    <row r="1252" spans="45:45" ht="14.4">
      <c r="AS1252" s="20"/>
    </row>
    <row r="1253" spans="45:45" ht="14.4">
      <c r="AS1253" s="20"/>
    </row>
    <row r="1254" spans="45:45" ht="14.4">
      <c r="AS1254" s="20"/>
    </row>
    <row r="1255" spans="45:45" ht="14.4">
      <c r="AS1255" s="20"/>
    </row>
    <row r="1256" spans="45:45" ht="14.4">
      <c r="AS1256" s="20"/>
    </row>
    <row r="1257" spans="45:45" ht="14.4">
      <c r="AS1257" s="20"/>
    </row>
    <row r="1258" spans="45:45" ht="14.4">
      <c r="AS1258" s="20"/>
    </row>
    <row r="1259" spans="45:45" ht="14.4">
      <c r="AS1259" s="20"/>
    </row>
    <row r="1260" spans="45:45" ht="14.4">
      <c r="AS1260" s="20"/>
    </row>
    <row r="1261" spans="45:45" ht="14.4">
      <c r="AS1261" s="20"/>
    </row>
    <row r="1262" spans="45:45" ht="14.4">
      <c r="AS1262" s="20"/>
    </row>
    <row r="1263" spans="45:45" ht="14.4">
      <c r="AS1263" s="20"/>
    </row>
    <row r="1264" spans="45:45" ht="14.4">
      <c r="AS1264" s="20"/>
    </row>
    <row r="1265" spans="45:45" ht="14.4">
      <c r="AS1265" s="20"/>
    </row>
    <row r="1266" spans="45:45" ht="14.4">
      <c r="AS1266" s="20"/>
    </row>
    <row r="1267" spans="45:45" ht="14.4">
      <c r="AS1267" s="20"/>
    </row>
    <row r="1268" spans="45:45" ht="14.4">
      <c r="AS1268" s="20"/>
    </row>
    <row r="1269" spans="45:45" ht="14.4">
      <c r="AS1269" s="20"/>
    </row>
    <row r="1270" spans="45:45" ht="14.4">
      <c r="AS1270" s="20"/>
    </row>
    <row r="1271" spans="45:45" ht="14.4">
      <c r="AS1271" s="20"/>
    </row>
    <row r="1272" spans="45:45" ht="14.4">
      <c r="AS1272" s="20"/>
    </row>
    <row r="1273" spans="45:45" ht="14.4">
      <c r="AS1273" s="20"/>
    </row>
    <row r="1274" spans="45:45" ht="14.4">
      <c r="AS1274" s="20"/>
    </row>
    <row r="1275" spans="45:45" ht="14.4">
      <c r="AS1275" s="20"/>
    </row>
    <row r="1276" spans="45:45" ht="14.4">
      <c r="AS1276" s="20"/>
    </row>
    <row r="1277" spans="45:45" ht="14.4">
      <c r="AS1277" s="20"/>
    </row>
    <row r="1278" spans="45:45" ht="14.4">
      <c r="AS1278" s="20"/>
    </row>
    <row r="1279" spans="45:45" ht="14.4">
      <c r="AS1279" s="20"/>
    </row>
    <row r="1280" spans="45:45" ht="14.4">
      <c r="AS1280" s="20"/>
    </row>
    <row r="1281" spans="45:45" ht="14.4">
      <c r="AS1281" s="20"/>
    </row>
    <row r="1282" spans="45:45" ht="14.4">
      <c r="AS1282" s="20"/>
    </row>
    <row r="1283" spans="45:45" ht="14.4">
      <c r="AS1283" s="20"/>
    </row>
    <row r="1284" spans="45:45" ht="14.4">
      <c r="AS1284" s="20"/>
    </row>
    <row r="1285" spans="45:45" ht="14.4">
      <c r="AS1285" s="20"/>
    </row>
    <row r="1286" spans="45:45" ht="14.4">
      <c r="AS1286" s="20"/>
    </row>
    <row r="1287" spans="45:45" ht="14.4">
      <c r="AS1287" s="20"/>
    </row>
    <row r="1288" spans="45:45" ht="14.4">
      <c r="AS1288" s="20"/>
    </row>
    <row r="1289" spans="45:45" ht="14.4">
      <c r="AS1289" s="20"/>
    </row>
    <row r="1290" spans="45:45" ht="14.4">
      <c r="AS1290" s="20"/>
    </row>
    <row r="1291" spans="45:45" ht="14.4">
      <c r="AS1291" s="20"/>
    </row>
    <row r="1292" spans="45:45" ht="14.4">
      <c r="AS1292" s="20"/>
    </row>
    <row r="1293" spans="45:45" ht="14.4">
      <c r="AS1293" s="20"/>
    </row>
    <row r="1294" spans="45:45" ht="14.4">
      <c r="AS1294" s="20"/>
    </row>
    <row r="1295" spans="45:45" ht="14.4">
      <c r="AS1295" s="20"/>
    </row>
    <row r="1296" spans="45:45" ht="14.4">
      <c r="AS1296" s="20"/>
    </row>
    <row r="1297" spans="45:45" ht="14.4">
      <c r="AS1297" s="20"/>
    </row>
    <row r="1298" spans="45:45" ht="14.4">
      <c r="AS1298" s="20"/>
    </row>
    <row r="1299" spans="45:45" ht="14.4">
      <c r="AS1299" s="20"/>
    </row>
    <row r="1300" spans="45:45" ht="14.4">
      <c r="AS1300" s="20"/>
    </row>
    <row r="1301" spans="45:45" ht="14.4">
      <c r="AS1301" s="20"/>
    </row>
    <row r="1302" spans="45:45" ht="14.4">
      <c r="AS1302" s="20"/>
    </row>
    <row r="1303" spans="45:45" ht="14.4">
      <c r="AS1303" s="20"/>
    </row>
    <row r="1304" spans="45:45" ht="14.4">
      <c r="AS1304" s="20"/>
    </row>
    <row r="1305" spans="45:45" ht="14.4">
      <c r="AS1305" s="20"/>
    </row>
    <row r="1306" spans="45:45" ht="14.4">
      <c r="AS1306" s="20"/>
    </row>
    <row r="1307" spans="45:45" ht="14.4">
      <c r="AS1307" s="20"/>
    </row>
    <row r="1308" spans="45:45" ht="14.4">
      <c r="AS1308" s="20"/>
    </row>
    <row r="1309" spans="45:45" ht="14.4">
      <c r="AS1309" s="20"/>
    </row>
    <row r="1310" spans="45:45" ht="14.4">
      <c r="AS1310" s="20"/>
    </row>
    <row r="1311" spans="45:45" ht="14.4">
      <c r="AS1311" s="20"/>
    </row>
    <row r="1312" spans="45:45" ht="14.4">
      <c r="AS1312" s="20"/>
    </row>
    <row r="1313" spans="45:45" ht="14.4">
      <c r="AS1313" s="20"/>
    </row>
    <row r="1314" spans="45:45" ht="14.4">
      <c r="AS1314" s="20"/>
    </row>
    <row r="1315" spans="45:45" ht="14.4">
      <c r="AS1315" s="20"/>
    </row>
    <row r="1316" spans="45:45" ht="14.4">
      <c r="AS1316" s="20"/>
    </row>
    <row r="1317" spans="45:45" ht="14.4">
      <c r="AS1317" s="20"/>
    </row>
    <row r="1318" spans="45:45" ht="14.4">
      <c r="AS1318" s="20"/>
    </row>
    <row r="1319" spans="45:45" ht="14.4">
      <c r="AS1319" s="20"/>
    </row>
    <row r="1320" spans="45:45" ht="14.4">
      <c r="AS1320" s="20"/>
    </row>
    <row r="1321" spans="45:45" ht="14.4">
      <c r="AS1321" s="20"/>
    </row>
    <row r="1322" spans="45:45" ht="14.4">
      <c r="AS1322" s="20"/>
    </row>
    <row r="1323" spans="45:45" ht="14.4">
      <c r="AS1323" s="20"/>
    </row>
    <row r="1324" spans="45:45" ht="14.4">
      <c r="AS1324" s="20"/>
    </row>
    <row r="1325" spans="45:45" ht="14.4">
      <c r="AS1325" s="20"/>
    </row>
    <row r="1326" spans="45:45" ht="14.4">
      <c r="AS1326" s="20"/>
    </row>
    <row r="1327" spans="45:45" ht="14.4">
      <c r="AS1327" s="20"/>
    </row>
    <row r="1328" spans="45:45" ht="14.4">
      <c r="AS1328" s="20"/>
    </row>
    <row r="1329" spans="45:45" ht="14.4">
      <c r="AS1329" s="20"/>
    </row>
    <row r="1330" spans="45:45" ht="14.4">
      <c r="AS1330" s="20"/>
    </row>
    <row r="1331" spans="45:45" ht="14.4">
      <c r="AS1331" s="20"/>
    </row>
    <row r="1332" spans="45:45" ht="14.4">
      <c r="AS1332" s="20"/>
    </row>
    <row r="1333" spans="45:45" ht="14.4">
      <c r="AS1333" s="20"/>
    </row>
    <row r="1334" spans="45:45" ht="14.4">
      <c r="AS1334" s="20"/>
    </row>
    <row r="1335" spans="45:45" ht="14.4">
      <c r="AS1335" s="20"/>
    </row>
    <row r="1336" spans="45:45" ht="14.4">
      <c r="AS1336" s="20"/>
    </row>
    <row r="1337" spans="45:45" ht="14.4">
      <c r="AS1337" s="20"/>
    </row>
    <row r="1338" spans="45:45" ht="14.4">
      <c r="AS1338" s="20"/>
    </row>
    <row r="1339" spans="45:45" ht="14.4">
      <c r="AS1339" s="20"/>
    </row>
    <row r="1340" spans="45:45" ht="14.4">
      <c r="AS1340" s="20"/>
    </row>
    <row r="1341" spans="45:45" ht="14.4">
      <c r="AS1341" s="20"/>
    </row>
    <row r="1342" spans="45:45" ht="14.4">
      <c r="AS1342" s="20"/>
    </row>
    <row r="1343" spans="45:45" ht="14.4">
      <c r="AS1343" s="20"/>
    </row>
    <row r="1344" spans="45:45" ht="14.4">
      <c r="AS1344" s="20"/>
    </row>
    <row r="1345" spans="45:45" ht="14.4">
      <c r="AS1345" s="20"/>
    </row>
    <row r="1346" spans="45:45" ht="14.4">
      <c r="AS1346" s="20"/>
    </row>
    <row r="1347" spans="45:45" ht="14.4">
      <c r="AS1347" s="20"/>
    </row>
    <row r="1348" spans="45:45" ht="14.4">
      <c r="AS1348" s="20"/>
    </row>
    <row r="1349" spans="45:45" ht="14.4">
      <c r="AS1349" s="20"/>
    </row>
    <row r="1350" spans="45:45" ht="14.4">
      <c r="AS1350" s="20"/>
    </row>
    <row r="1351" spans="45:45" ht="14.4">
      <c r="AS1351" s="20"/>
    </row>
    <row r="1352" spans="45:45" ht="14.4">
      <c r="AS1352" s="20"/>
    </row>
    <row r="1353" spans="45:45" ht="14.4">
      <c r="AS1353" s="20"/>
    </row>
    <row r="1354" spans="45:45" ht="14.4">
      <c r="AS1354" s="20"/>
    </row>
    <row r="1355" spans="45:45" ht="14.4">
      <c r="AS1355" s="20"/>
    </row>
    <row r="1356" spans="45:45" ht="14.4">
      <c r="AS1356" s="20"/>
    </row>
    <row r="1357" spans="45:45" ht="14.4">
      <c r="AS1357" s="20"/>
    </row>
    <row r="1358" spans="45:45" ht="14.4">
      <c r="AS1358" s="20"/>
    </row>
    <row r="1359" spans="45:45" ht="14.4">
      <c r="AS1359" s="20"/>
    </row>
    <row r="1360" spans="45:45" ht="14.4">
      <c r="AS1360" s="20"/>
    </row>
    <row r="1361" spans="45:45" ht="14.4">
      <c r="AS1361" s="20"/>
    </row>
    <row r="1362" spans="45:45" ht="14.4">
      <c r="AS1362" s="20"/>
    </row>
    <row r="1363" spans="45:45" ht="14.4">
      <c r="AS1363" s="20"/>
    </row>
    <row r="1364" spans="45:45" ht="14.4">
      <c r="AS1364" s="20"/>
    </row>
    <row r="1365" spans="45:45" ht="14.4">
      <c r="AS1365" s="20"/>
    </row>
    <row r="1366" spans="45:45" ht="14.4">
      <c r="AS1366" s="20"/>
    </row>
    <row r="1367" spans="45:45" ht="14.4">
      <c r="AS1367" s="20"/>
    </row>
    <row r="1368" spans="45:45" ht="14.4">
      <c r="AS1368" s="20"/>
    </row>
    <row r="1369" spans="45:45" ht="14.4">
      <c r="AS1369" s="20"/>
    </row>
    <row r="1370" spans="45:45" ht="14.4">
      <c r="AS1370" s="20"/>
    </row>
    <row r="1371" spans="45:45" ht="14.4">
      <c r="AS1371" s="20"/>
    </row>
    <row r="1372" spans="45:45" ht="14.4">
      <c r="AS1372" s="20"/>
    </row>
    <row r="1373" spans="45:45" ht="14.4">
      <c r="AS1373" s="20"/>
    </row>
    <row r="1374" spans="45:45" ht="14.4">
      <c r="AS1374" s="20"/>
    </row>
    <row r="1375" spans="45:45" ht="14.4">
      <c r="AS1375" s="20"/>
    </row>
    <row r="1376" spans="45:45" ht="14.4">
      <c r="AS1376" s="20"/>
    </row>
    <row r="1377" spans="45:45" ht="14.4">
      <c r="AS1377" s="20"/>
    </row>
    <row r="1378" spans="45:45" ht="14.4">
      <c r="AS1378" s="20"/>
    </row>
    <row r="1379" spans="45:45" ht="14.4">
      <c r="AS1379" s="20"/>
    </row>
    <row r="1380" spans="45:45" ht="14.4">
      <c r="AS1380" s="20"/>
    </row>
    <row r="1381" spans="45:45" ht="14.4">
      <c r="AS1381" s="20"/>
    </row>
    <row r="1382" spans="45:45" ht="14.4">
      <c r="AS1382" s="20"/>
    </row>
    <row r="1383" spans="45:45" ht="14.4">
      <c r="AS1383" s="20"/>
    </row>
    <row r="1384" spans="45:45" ht="14.4">
      <c r="AS1384" s="20"/>
    </row>
    <row r="1385" spans="45:45" ht="14.4">
      <c r="AS1385" s="20"/>
    </row>
    <row r="1386" spans="45:45" ht="14.4">
      <c r="AS1386" s="20"/>
    </row>
    <row r="1387" spans="45:45" ht="14.4">
      <c r="AS1387" s="20"/>
    </row>
    <row r="1388" spans="45:45" ht="14.4">
      <c r="AS1388" s="20"/>
    </row>
    <row r="1389" spans="45:45" ht="14.4">
      <c r="AS1389" s="20"/>
    </row>
    <row r="1390" spans="45:45" ht="14.4">
      <c r="AS1390" s="20"/>
    </row>
    <row r="1391" spans="45:45" ht="14.4">
      <c r="AS1391" s="20"/>
    </row>
    <row r="1392" spans="45:45" ht="14.4">
      <c r="AS1392" s="20"/>
    </row>
    <row r="1393" spans="45:45" ht="14.4">
      <c r="AS1393" s="20"/>
    </row>
    <row r="1394" spans="45:45" ht="14.4">
      <c r="AS1394" s="20"/>
    </row>
    <row r="1395" spans="45:45" ht="14.4">
      <c r="AS1395" s="20"/>
    </row>
    <row r="1396" spans="45:45" ht="14.4">
      <c r="AS1396" s="20"/>
    </row>
    <row r="1397" spans="45:45" ht="14.4">
      <c r="AS1397" s="20"/>
    </row>
    <row r="1398" spans="45:45" ht="14.4">
      <c r="AS1398" s="20"/>
    </row>
    <row r="1399" spans="45:45" ht="14.4">
      <c r="AS1399" s="20"/>
    </row>
    <row r="1400" spans="45:45" ht="14.4">
      <c r="AS1400" s="20"/>
    </row>
    <row r="1401" spans="45:45" ht="14.4">
      <c r="AS1401" s="20"/>
    </row>
    <row r="1402" spans="45:45" ht="14.4">
      <c r="AS1402" s="20"/>
    </row>
    <row r="1403" spans="45:45" ht="14.4">
      <c r="AS1403" s="20"/>
    </row>
    <row r="1404" spans="45:45" ht="14.4">
      <c r="AS1404" s="20"/>
    </row>
    <row r="1405" spans="45:45" ht="14.4">
      <c r="AS1405" s="20"/>
    </row>
    <row r="1406" spans="45:45" ht="14.4">
      <c r="AS1406" s="20"/>
    </row>
    <row r="1407" spans="45:45" ht="14.4">
      <c r="AS1407" s="20"/>
    </row>
    <row r="1408" spans="45:45" ht="14.4">
      <c r="AS1408" s="20"/>
    </row>
    <row r="1409" spans="45:45" ht="14.4">
      <c r="AS1409" s="20"/>
    </row>
    <row r="1410" spans="45:45" ht="14.4">
      <c r="AS1410" s="20"/>
    </row>
    <row r="1411" spans="45:45" ht="14.4">
      <c r="AS1411" s="20"/>
    </row>
    <row r="1412" spans="45:45" ht="14.4">
      <c r="AS1412" s="20"/>
    </row>
    <row r="1413" spans="45:45" ht="14.4">
      <c r="AS1413" s="20"/>
    </row>
    <row r="1414" spans="45:45" ht="14.4">
      <c r="AS1414" s="20"/>
    </row>
    <row r="1415" spans="45:45" ht="14.4">
      <c r="AS1415" s="20"/>
    </row>
    <row r="1416" spans="45:45" ht="14.4">
      <c r="AS1416" s="20"/>
    </row>
    <row r="1417" spans="45:45" ht="14.4">
      <c r="AS1417" s="20"/>
    </row>
    <row r="1418" spans="45:45" ht="14.4">
      <c r="AS1418" s="20"/>
    </row>
    <row r="1419" spans="45:45" ht="14.4">
      <c r="AS1419" s="20"/>
    </row>
    <row r="1420" spans="45:45" ht="14.4">
      <c r="AS1420" s="20"/>
    </row>
    <row r="1421" spans="45:45" ht="14.4">
      <c r="AS1421" s="20"/>
    </row>
    <row r="1422" spans="45:45" ht="14.4">
      <c r="AS1422" s="20"/>
    </row>
    <row r="1423" spans="45:45" ht="14.4">
      <c r="AS1423" s="20"/>
    </row>
    <row r="1424" spans="45:45" ht="14.4">
      <c r="AS1424" s="20"/>
    </row>
    <row r="1425" spans="45:45" ht="14.4">
      <c r="AS1425" s="20"/>
    </row>
    <row r="1426" spans="45:45" ht="14.4">
      <c r="AS1426" s="20"/>
    </row>
    <row r="1427" spans="45:45" ht="14.4">
      <c r="AS1427" s="20"/>
    </row>
    <row r="1428" spans="45:45" ht="14.4">
      <c r="AS1428" s="20"/>
    </row>
    <row r="1429" spans="45:45" ht="14.4">
      <c r="AS1429" s="20"/>
    </row>
    <row r="1430" spans="45:45" ht="14.4">
      <c r="AS1430" s="20"/>
    </row>
    <row r="1431" spans="45:45" ht="14.4">
      <c r="AS1431" s="20"/>
    </row>
    <row r="1432" spans="45:45" ht="14.4">
      <c r="AS1432" s="20"/>
    </row>
    <row r="1433" spans="45:45" ht="14.4">
      <c r="AS1433" s="20"/>
    </row>
    <row r="1434" spans="45:45" ht="14.4">
      <c r="AS1434" s="20"/>
    </row>
    <row r="1435" spans="45:45" ht="14.4">
      <c r="AS1435" s="20"/>
    </row>
    <row r="1436" spans="45:45" ht="14.4">
      <c r="AS1436" s="20"/>
    </row>
    <row r="1437" spans="45:45" ht="14.4">
      <c r="AS1437" s="20"/>
    </row>
    <row r="1438" spans="45:45" ht="14.4">
      <c r="AS1438" s="20"/>
    </row>
    <row r="1439" spans="45:45" ht="14.4">
      <c r="AS1439" s="20"/>
    </row>
    <row r="1440" spans="45:45" ht="14.4">
      <c r="AS1440" s="20"/>
    </row>
    <row r="1441" spans="45:45" ht="14.4">
      <c r="AS1441" s="20"/>
    </row>
    <row r="1442" spans="45:45" ht="14.4">
      <c r="AS1442" s="20"/>
    </row>
    <row r="1443" spans="45:45" ht="14.4">
      <c r="AS1443" s="20"/>
    </row>
    <row r="1444" spans="45:45" ht="14.4">
      <c r="AS1444" s="20"/>
    </row>
    <row r="1445" spans="45:45" ht="14.4">
      <c r="AS1445" s="20"/>
    </row>
    <row r="1446" spans="45:45" ht="14.4">
      <c r="AS1446" s="20"/>
    </row>
    <row r="1447" spans="45:45" ht="14.4">
      <c r="AS1447" s="20"/>
    </row>
    <row r="1448" spans="45:45" ht="14.4">
      <c r="AS1448" s="20"/>
    </row>
    <row r="1449" spans="45:45" ht="14.4">
      <c r="AS1449" s="20"/>
    </row>
    <row r="1450" spans="45:45" ht="14.4">
      <c r="AS1450" s="20"/>
    </row>
    <row r="1451" spans="45:45" ht="14.4">
      <c r="AS1451" s="20"/>
    </row>
    <row r="1452" spans="45:45" ht="14.4">
      <c r="AS1452" s="20"/>
    </row>
    <row r="1453" spans="45:45" ht="14.4">
      <c r="AS1453" s="20"/>
    </row>
    <row r="1454" spans="45:45" ht="14.4">
      <c r="AS1454" s="20"/>
    </row>
    <row r="1455" spans="45:45" ht="14.4">
      <c r="AS1455" s="20"/>
    </row>
    <row r="1456" spans="45:45" ht="14.4">
      <c r="AS1456" s="20"/>
    </row>
    <row r="1457" spans="45:45" ht="14.4">
      <c r="AS1457" s="20"/>
    </row>
    <row r="1458" spans="45:45" ht="14.4">
      <c r="AS1458" s="20"/>
    </row>
    <row r="1459" spans="45:45" ht="14.4">
      <c r="AS1459" s="20"/>
    </row>
    <row r="1460" spans="45:45" ht="14.4">
      <c r="AS1460" s="20"/>
    </row>
    <row r="1461" spans="45:45" ht="14.4">
      <c r="AS1461" s="20"/>
    </row>
    <row r="1462" spans="45:45" ht="14.4">
      <c r="AS1462" s="20"/>
    </row>
    <row r="1463" spans="45:45" ht="14.4">
      <c r="AS1463" s="20"/>
    </row>
    <row r="1464" spans="45:45" ht="14.4">
      <c r="AS1464" s="20"/>
    </row>
    <row r="1465" spans="45:45" ht="14.4">
      <c r="AS1465" s="20"/>
    </row>
    <row r="1466" spans="45:45" ht="14.4">
      <c r="AS1466" s="20"/>
    </row>
    <row r="1467" spans="45:45" ht="14.4">
      <c r="AS1467" s="20"/>
    </row>
    <row r="1468" spans="45:45" ht="14.4">
      <c r="AS1468" s="20"/>
    </row>
    <row r="1469" spans="45:45" ht="14.4">
      <c r="AS1469" s="20"/>
    </row>
    <row r="1470" spans="45:45" ht="14.4">
      <c r="AS1470" s="20"/>
    </row>
    <row r="1471" spans="45:45" ht="14.4">
      <c r="AS1471" s="20"/>
    </row>
    <row r="1472" spans="45:45" ht="14.4">
      <c r="AS1472" s="20"/>
    </row>
    <row r="1473" spans="45:45" ht="14.4">
      <c r="AS1473" s="20"/>
    </row>
    <row r="1474" spans="45:45" ht="14.4">
      <c r="AS1474" s="20"/>
    </row>
    <row r="1475" spans="45:45" ht="14.4">
      <c r="AS1475" s="20"/>
    </row>
    <row r="1476" spans="45:45" ht="14.4">
      <c r="AS1476" s="20"/>
    </row>
    <row r="1477" spans="45:45" ht="14.4">
      <c r="AS1477" s="20"/>
    </row>
    <row r="1478" spans="45:45" ht="14.4">
      <c r="AS1478" s="20"/>
    </row>
    <row r="1479" spans="45:45" ht="14.4">
      <c r="AS1479" s="20"/>
    </row>
    <row r="1480" spans="45:45" ht="14.4">
      <c r="AS1480" s="20"/>
    </row>
    <row r="1481" spans="45:45" ht="14.4">
      <c r="AS1481" s="20"/>
    </row>
    <row r="1482" spans="45:45" ht="14.4">
      <c r="AS1482" s="20"/>
    </row>
    <row r="1483" spans="45:45" ht="14.4">
      <c r="AS1483" s="20"/>
    </row>
    <row r="1484" spans="45:45" ht="14.4">
      <c r="AS1484" s="20"/>
    </row>
    <row r="1485" spans="45:45" ht="14.4">
      <c r="AS1485" s="20"/>
    </row>
    <row r="1486" spans="45:45" ht="14.4">
      <c r="AS1486" s="20"/>
    </row>
    <row r="1487" spans="45:45" ht="14.4">
      <c r="AS1487" s="20"/>
    </row>
    <row r="1488" spans="45:45" ht="14.4">
      <c r="AS1488" s="20"/>
    </row>
    <row r="1489" spans="45:45" ht="14.4">
      <c r="AS1489" s="20"/>
    </row>
    <row r="1490" spans="45:45" ht="14.4">
      <c r="AS1490" s="20"/>
    </row>
    <row r="1491" spans="45:45" ht="14.4">
      <c r="AS1491" s="20"/>
    </row>
    <row r="1492" spans="45:45" ht="14.4">
      <c r="AS1492" s="20"/>
    </row>
    <row r="1493" spans="45:45" ht="14.4">
      <c r="AS1493" s="20"/>
    </row>
    <row r="1494" spans="45:45" ht="14.4">
      <c r="AS1494" s="20"/>
    </row>
    <row r="1495" spans="45:45" ht="14.4">
      <c r="AS1495" s="20"/>
    </row>
    <row r="1496" spans="45:45" ht="14.4">
      <c r="AS1496" s="20"/>
    </row>
    <row r="1497" spans="45:45" ht="14.4">
      <c r="AS1497" s="20"/>
    </row>
    <row r="1498" spans="45:45" ht="14.4">
      <c r="AS1498" s="20"/>
    </row>
    <row r="1499" spans="45:45" ht="14.4">
      <c r="AS1499" s="20"/>
    </row>
    <row r="1500" spans="45:45" ht="14.4">
      <c r="AS1500" s="20"/>
    </row>
    <row r="1501" spans="45:45" ht="14.4">
      <c r="AS1501" s="20"/>
    </row>
    <row r="1502" spans="45:45" ht="14.4">
      <c r="AS1502" s="20"/>
    </row>
    <row r="1503" spans="45:45" ht="14.4">
      <c r="AS1503" s="20"/>
    </row>
    <row r="1504" spans="45:45" ht="14.4">
      <c r="AS1504" s="20"/>
    </row>
    <row r="1505" spans="45:45" ht="14.4">
      <c r="AS1505" s="20"/>
    </row>
    <row r="1506" spans="45:45" ht="14.4">
      <c r="AS1506" s="20"/>
    </row>
    <row r="1507" spans="45:45" ht="14.4">
      <c r="AS1507" s="20"/>
    </row>
    <row r="1508" spans="45:45" ht="14.4">
      <c r="AS1508" s="20"/>
    </row>
    <row r="1509" spans="45:45" ht="14.4">
      <c r="AS1509" s="20"/>
    </row>
    <row r="1510" spans="45:45" ht="14.4">
      <c r="AS1510" s="20"/>
    </row>
    <row r="1511" spans="45:45" ht="14.4">
      <c r="AS1511" s="20"/>
    </row>
    <row r="1512" spans="45:45" ht="14.4">
      <c r="AS1512" s="20"/>
    </row>
    <row r="1513" spans="45:45" ht="14.4">
      <c r="AS1513" s="20"/>
    </row>
    <row r="1514" spans="45:45" ht="14.4">
      <c r="AS1514" s="20"/>
    </row>
    <row r="1515" spans="45:45" ht="14.4">
      <c r="AS1515" s="20"/>
    </row>
    <row r="1516" spans="45:45" ht="14.4">
      <c r="AS1516" s="20"/>
    </row>
    <row r="1517" spans="45:45" ht="14.4">
      <c r="AS1517" s="20"/>
    </row>
    <row r="1518" spans="45:45" ht="14.4">
      <c r="AS1518" s="20"/>
    </row>
    <row r="1519" spans="45:45" ht="14.4">
      <c r="AS1519" s="20"/>
    </row>
    <row r="1520" spans="45:45" ht="14.4">
      <c r="AS1520" s="20"/>
    </row>
    <row r="1521" spans="45:45" ht="14.4">
      <c r="AS1521" s="20"/>
    </row>
    <row r="1522" spans="45:45" ht="14.4">
      <c r="AS1522" s="20"/>
    </row>
    <row r="1523" spans="45:45" ht="14.4">
      <c r="AS1523" s="20"/>
    </row>
    <row r="1524" spans="45:45" ht="14.4">
      <c r="AS1524" s="20"/>
    </row>
    <row r="1525" spans="45:45" ht="14.4">
      <c r="AS1525" s="20"/>
    </row>
    <row r="1526" spans="45:45" ht="14.4">
      <c r="AS1526" s="20"/>
    </row>
    <row r="1527" spans="45:45" ht="14.4">
      <c r="AS1527" s="20"/>
    </row>
    <row r="1528" spans="45:45" ht="14.4">
      <c r="AS1528" s="20"/>
    </row>
    <row r="1529" spans="45:45" ht="14.4">
      <c r="AS1529" s="20"/>
    </row>
    <row r="1530" spans="45:45" ht="14.4">
      <c r="AS1530" s="20"/>
    </row>
    <row r="1531" spans="45:45" ht="14.4">
      <c r="AS1531" s="20"/>
    </row>
    <row r="1532" spans="45:45" ht="14.4">
      <c r="AS1532" s="20"/>
    </row>
    <row r="1533" spans="45:45" ht="14.4">
      <c r="AS1533" s="20"/>
    </row>
    <row r="1534" spans="45:45" ht="14.4">
      <c r="AS1534" s="20"/>
    </row>
    <row r="1535" spans="45:45" ht="14.4">
      <c r="AS1535" s="20"/>
    </row>
    <row r="1536" spans="45:45" ht="14.4">
      <c r="AS1536" s="20"/>
    </row>
    <row r="1537" spans="45:45" ht="14.4">
      <c r="AS1537" s="20"/>
    </row>
    <row r="1538" spans="45:45" ht="14.4">
      <c r="AS1538" s="20"/>
    </row>
    <row r="1539" spans="45:45" ht="14.4">
      <c r="AS1539" s="20"/>
    </row>
    <row r="1540" spans="45:45" ht="14.4">
      <c r="AS1540" s="20"/>
    </row>
    <row r="1541" spans="45:45" ht="14.4">
      <c r="AS1541" s="20"/>
    </row>
    <row r="1542" spans="45:45" ht="14.4">
      <c r="AS1542" s="20"/>
    </row>
    <row r="1543" spans="45:45" ht="14.4">
      <c r="AS1543" s="20"/>
    </row>
    <row r="1544" spans="45:45" ht="14.4">
      <c r="AS1544" s="20"/>
    </row>
    <row r="1545" spans="45:45" ht="14.4">
      <c r="AS1545" s="20"/>
    </row>
    <row r="1546" spans="45:45" ht="14.4">
      <c r="AS1546" s="20"/>
    </row>
    <row r="1547" spans="45:45" ht="14.4">
      <c r="AS1547" s="20"/>
    </row>
    <row r="1548" spans="45:45" ht="14.4">
      <c r="AS1548" s="20"/>
    </row>
    <row r="1549" spans="45:45" ht="14.4">
      <c r="AS1549" s="20"/>
    </row>
    <row r="1550" spans="45:45" ht="14.4">
      <c r="AS1550" s="20"/>
    </row>
    <row r="1551" spans="45:45" ht="14.4">
      <c r="AS1551" s="20"/>
    </row>
    <row r="1552" spans="45:45" ht="14.4">
      <c r="AS1552" s="20"/>
    </row>
    <row r="1553" spans="45:45" ht="14.4">
      <c r="AS1553" s="20"/>
    </row>
    <row r="1554" spans="45:45" ht="14.4">
      <c r="AS1554" s="20"/>
    </row>
    <row r="1555" spans="45:45" ht="14.4">
      <c r="AS1555" s="20"/>
    </row>
    <row r="1556" spans="45:45" ht="14.4">
      <c r="AS1556" s="20"/>
    </row>
    <row r="1557" spans="45:45" ht="14.4">
      <c r="AS1557" s="20"/>
    </row>
    <row r="1558" spans="45:45" ht="14.4">
      <c r="AS1558" s="20"/>
    </row>
    <row r="1559" spans="45:45" ht="14.4">
      <c r="AS1559" s="20"/>
    </row>
    <row r="1560" spans="45:45" ht="14.4">
      <c r="AS1560" s="20"/>
    </row>
    <row r="1561" spans="45:45" ht="14.4">
      <c r="AS1561" s="20"/>
    </row>
    <row r="1562" spans="45:45" ht="14.4">
      <c r="AS1562" s="20"/>
    </row>
    <row r="1563" spans="45:45" ht="14.4">
      <c r="AS1563" s="20"/>
    </row>
    <row r="1564" spans="45:45" ht="14.4">
      <c r="AS1564" s="20"/>
    </row>
    <row r="1565" spans="45:45" ht="14.4">
      <c r="AS1565" s="20"/>
    </row>
    <row r="1566" spans="45:45" ht="14.4">
      <c r="AS1566" s="20"/>
    </row>
    <row r="1567" spans="45:45" ht="14.4">
      <c r="AS1567" s="20"/>
    </row>
    <row r="1568" spans="45:45" ht="14.4">
      <c r="AS1568" s="20"/>
    </row>
    <row r="1569" spans="45:45" ht="14.4">
      <c r="AS1569" s="20"/>
    </row>
    <row r="1570" spans="45:45" ht="14.4">
      <c r="AS1570" s="20"/>
    </row>
    <row r="1571" spans="45:45" ht="14.4">
      <c r="AS1571" s="20"/>
    </row>
    <row r="1572" spans="45:45" ht="14.4">
      <c r="AS1572" s="20"/>
    </row>
    <row r="1573" spans="45:45" ht="14.4">
      <c r="AS1573" s="20"/>
    </row>
    <row r="1574" spans="45:45" ht="14.4">
      <c r="AS1574" s="20"/>
    </row>
    <row r="1575" spans="45:45" ht="14.4">
      <c r="AS1575" s="20"/>
    </row>
    <row r="1576" spans="45:45" ht="14.4">
      <c r="AS1576" s="20"/>
    </row>
    <row r="1577" spans="45:45" ht="14.4">
      <c r="AS1577" s="20"/>
    </row>
    <row r="1578" spans="45:45" ht="14.4">
      <c r="AS1578" s="20"/>
    </row>
    <row r="1579" spans="45:45" ht="14.4">
      <c r="AS1579" s="20"/>
    </row>
    <row r="1580" spans="45:45" ht="14.4">
      <c r="AS1580" s="20"/>
    </row>
    <row r="1581" spans="45:45" ht="14.4">
      <c r="AS1581" s="20"/>
    </row>
    <row r="1582" spans="45:45" ht="14.4">
      <c r="AS1582" s="20"/>
    </row>
    <row r="1583" spans="45:45" ht="14.4">
      <c r="AS1583" s="20"/>
    </row>
    <row r="1584" spans="45:45" ht="14.4">
      <c r="AS1584" s="20"/>
    </row>
    <row r="1585" spans="45:45" ht="14.4">
      <c r="AS1585" s="20"/>
    </row>
    <row r="1586" spans="45:45" ht="14.4">
      <c r="AS1586" s="20"/>
    </row>
    <row r="1587" spans="45:45" ht="14.4">
      <c r="AS1587" s="20"/>
    </row>
    <row r="1588" spans="45:45" ht="14.4">
      <c r="AS1588" s="20"/>
    </row>
    <row r="1589" spans="45:45" ht="14.4">
      <c r="AS1589" s="20"/>
    </row>
    <row r="1590" spans="45:45" ht="14.4">
      <c r="AS1590" s="20"/>
    </row>
    <row r="1591" spans="45:45" ht="14.4">
      <c r="AS1591" s="20"/>
    </row>
    <row r="1592" spans="45:45" ht="14.4">
      <c r="AS1592" s="20"/>
    </row>
    <row r="1593" spans="45:45" ht="14.4">
      <c r="AS1593" s="20"/>
    </row>
    <row r="1594" spans="45:45" ht="14.4">
      <c r="AS1594" s="20"/>
    </row>
    <row r="1595" spans="45:45" ht="14.4">
      <c r="AS1595" s="20"/>
    </row>
    <row r="1596" spans="45:45" ht="14.4">
      <c r="AS1596" s="20"/>
    </row>
    <row r="1597" spans="45:45" ht="14.4">
      <c r="AS1597" s="20"/>
    </row>
    <row r="1598" spans="45:45" ht="14.4">
      <c r="AS1598" s="20"/>
    </row>
    <row r="1599" spans="45:45" ht="14.4">
      <c r="AS1599" s="20"/>
    </row>
    <row r="1600" spans="45:45" ht="14.4">
      <c r="AS1600" s="20"/>
    </row>
    <row r="1601" spans="45:45" ht="14.4">
      <c r="AS1601" s="20"/>
    </row>
    <row r="1602" spans="45:45" ht="14.4">
      <c r="AS1602" s="20"/>
    </row>
    <row r="1603" spans="45:45" ht="14.4">
      <c r="AS1603" s="20"/>
    </row>
    <row r="1604" spans="45:45" ht="14.4">
      <c r="AS1604" s="20"/>
    </row>
    <row r="1605" spans="45:45" ht="14.4">
      <c r="AS1605" s="20"/>
    </row>
    <row r="1606" spans="45:45" ht="14.4">
      <c r="AS1606" s="20"/>
    </row>
    <row r="1607" spans="45:45" ht="14.4">
      <c r="AS1607" s="20"/>
    </row>
    <row r="1608" spans="45:45" ht="14.4">
      <c r="AS1608" s="20"/>
    </row>
    <row r="1609" spans="45:45" ht="14.4">
      <c r="AS1609" s="20"/>
    </row>
    <row r="1610" spans="45:45" ht="14.4">
      <c r="AS1610" s="20"/>
    </row>
    <row r="1611" spans="45:45" ht="14.4">
      <c r="AS1611" s="20"/>
    </row>
    <row r="1612" spans="45:45" ht="14.4">
      <c r="AS1612" s="20"/>
    </row>
    <row r="1613" spans="45:45" ht="14.4">
      <c r="AS1613" s="20"/>
    </row>
    <row r="1614" spans="45:45" ht="14.4">
      <c r="AS1614" s="20"/>
    </row>
    <row r="1615" spans="45:45" ht="14.4">
      <c r="AS1615" s="20"/>
    </row>
    <row r="1616" spans="45:45" ht="14.4">
      <c r="AS1616" s="20"/>
    </row>
    <row r="1617" spans="45:45" ht="14.4">
      <c r="AS1617" s="20"/>
    </row>
    <row r="1618" spans="45:45" ht="14.4">
      <c r="AS1618" s="20"/>
    </row>
    <row r="1619" spans="45:45" ht="14.4">
      <c r="AS1619" s="20"/>
    </row>
    <row r="1620" spans="45:45" ht="14.4">
      <c r="AS1620" s="20"/>
    </row>
    <row r="1621" spans="45:45" ht="14.4">
      <c r="AS1621" s="20"/>
    </row>
    <row r="1622" spans="45:45" ht="14.4">
      <c r="AS1622" s="20"/>
    </row>
    <row r="1623" spans="45:45" ht="14.4">
      <c r="AS1623" s="20"/>
    </row>
    <row r="1624" spans="45:45" ht="14.4">
      <c r="AS1624" s="20"/>
    </row>
    <row r="1625" spans="45:45" ht="14.4">
      <c r="AS1625" s="20"/>
    </row>
    <row r="1626" spans="45:45" ht="14.4">
      <c r="AS1626" s="20"/>
    </row>
    <row r="1627" spans="45:45" ht="14.4">
      <c r="AS1627" s="20"/>
    </row>
    <row r="1628" spans="45:45" ht="14.4">
      <c r="AS1628" s="20"/>
    </row>
    <row r="1629" spans="45:45" ht="14.4">
      <c r="AS1629" s="20"/>
    </row>
    <row r="1630" spans="45:45" ht="14.4">
      <c r="AS1630" s="20"/>
    </row>
    <row r="1631" spans="45:45" ht="14.4">
      <c r="AS1631" s="20"/>
    </row>
    <row r="1632" spans="45:45" ht="14.4">
      <c r="AS1632" s="20"/>
    </row>
    <row r="1633" spans="45:45" ht="14.4">
      <c r="AS1633" s="20"/>
    </row>
    <row r="1634" spans="45:45" ht="14.4">
      <c r="AS1634" s="20"/>
    </row>
    <row r="1635" spans="45:45" ht="14.4">
      <c r="AS1635" s="20"/>
    </row>
    <row r="1636" spans="45:45" ht="14.4">
      <c r="AS1636" s="20"/>
    </row>
    <row r="1637" spans="45:45" ht="14.4">
      <c r="AS1637" s="20"/>
    </row>
    <row r="1638" spans="45:45" ht="14.4">
      <c r="AS1638" s="20"/>
    </row>
    <row r="1639" spans="45:45" ht="14.4">
      <c r="AS1639" s="20"/>
    </row>
    <row r="1640" spans="45:45" ht="14.4">
      <c r="AS1640" s="20"/>
    </row>
    <row r="1641" spans="45:45" ht="14.4">
      <c r="AS1641" s="20"/>
    </row>
    <row r="1642" spans="45:45" ht="14.4">
      <c r="AS1642" s="20"/>
    </row>
    <row r="1643" spans="45:45" ht="14.4">
      <c r="AS1643" s="20"/>
    </row>
    <row r="1644" spans="45:45" ht="14.4">
      <c r="AS1644" s="20"/>
    </row>
    <row r="1645" spans="45:45" ht="14.4">
      <c r="AS1645" s="20"/>
    </row>
    <row r="1646" spans="45:45" ht="14.4">
      <c r="AS1646" s="20"/>
    </row>
    <row r="1647" spans="45:45" ht="14.4">
      <c r="AS1647" s="20"/>
    </row>
    <row r="1648" spans="45:45" ht="14.4">
      <c r="AS1648" s="20"/>
    </row>
    <row r="1649" spans="45:45" ht="14.4">
      <c r="AS1649" s="20"/>
    </row>
    <row r="1650" spans="45:45" ht="14.4">
      <c r="AS1650" s="20"/>
    </row>
    <row r="1651" spans="45:45" ht="14.4">
      <c r="AS1651" s="20"/>
    </row>
    <row r="1652" spans="45:45" ht="14.4">
      <c r="AS1652" s="20"/>
    </row>
    <row r="1653" spans="45:45" ht="14.4">
      <c r="AS1653" s="20"/>
    </row>
    <row r="1654" spans="45:45" ht="14.4">
      <c r="AS1654" s="20"/>
    </row>
    <row r="1655" spans="45:45" ht="14.4">
      <c r="AS1655" s="20"/>
    </row>
    <row r="1656" spans="45:45" ht="14.4">
      <c r="AS1656" s="20"/>
    </row>
    <row r="1657" spans="45:45" ht="14.4">
      <c r="AS1657" s="20"/>
    </row>
    <row r="1658" spans="45:45" ht="14.4">
      <c r="AS1658" s="20"/>
    </row>
    <row r="1659" spans="45:45" ht="14.4">
      <c r="AS1659" s="20"/>
    </row>
    <row r="1660" spans="45:45" ht="14.4">
      <c r="AS1660" s="20"/>
    </row>
    <row r="1661" spans="45:45" ht="14.4">
      <c r="AS1661" s="20"/>
    </row>
    <row r="1662" spans="45:45" ht="14.4">
      <c r="AS1662" s="20"/>
    </row>
    <row r="1663" spans="45:45" ht="14.4">
      <c r="AS1663" s="20"/>
    </row>
    <row r="1664" spans="45:45" ht="14.4">
      <c r="AS1664" s="20"/>
    </row>
    <row r="1665" spans="45:45" ht="14.4">
      <c r="AS1665" s="20"/>
    </row>
    <row r="1666" spans="45:45" ht="14.4">
      <c r="AS1666" s="20"/>
    </row>
    <row r="1667" spans="45:45" ht="14.4">
      <c r="AS1667" s="20"/>
    </row>
    <row r="1668" spans="45:45" ht="14.4">
      <c r="AS1668" s="20"/>
    </row>
    <row r="1669" spans="45:45" ht="14.4">
      <c r="AS1669" s="20"/>
    </row>
    <row r="1670" spans="45:45" ht="14.4">
      <c r="AS1670" s="20"/>
    </row>
    <row r="1671" spans="45:45" ht="14.4">
      <c r="AS1671" s="20"/>
    </row>
    <row r="1672" spans="45:45" ht="14.4">
      <c r="AS1672" s="20"/>
    </row>
    <row r="1673" spans="45:45" ht="14.4">
      <c r="AS1673" s="20"/>
    </row>
    <row r="1674" spans="45:45" ht="14.4">
      <c r="AS1674" s="20"/>
    </row>
    <row r="1675" spans="45:45" ht="14.4">
      <c r="AS1675" s="20"/>
    </row>
    <row r="1676" spans="45:45" ht="14.4">
      <c r="AS1676" s="20"/>
    </row>
    <row r="1677" spans="45:45" ht="14.4">
      <c r="AS1677" s="20"/>
    </row>
    <row r="1678" spans="45:45" ht="14.4">
      <c r="AS1678" s="20"/>
    </row>
    <row r="1679" spans="45:45" ht="14.4">
      <c r="AS1679" s="20"/>
    </row>
    <row r="1680" spans="45:45" ht="14.4">
      <c r="AS1680" s="20"/>
    </row>
    <row r="1681" spans="45:45" ht="14.4">
      <c r="AS1681" s="20"/>
    </row>
    <row r="1682" spans="45:45" ht="14.4">
      <c r="AS1682" s="20"/>
    </row>
    <row r="1683" spans="45:45" ht="14.4">
      <c r="AS1683" s="20"/>
    </row>
    <row r="1684" spans="45:45" ht="14.4">
      <c r="AS1684" s="20"/>
    </row>
    <row r="1685" spans="45:45" ht="14.4">
      <c r="AS1685" s="20"/>
    </row>
    <row r="1686" spans="45:45" ht="14.4">
      <c r="AS1686" s="20"/>
    </row>
    <row r="1687" spans="45:45" ht="14.4">
      <c r="AS1687" s="20"/>
    </row>
    <row r="1688" spans="45:45" ht="14.4">
      <c r="AS1688" s="20"/>
    </row>
    <row r="1689" spans="45:45" ht="14.4">
      <c r="AS1689" s="20"/>
    </row>
    <row r="1690" spans="45:45" ht="14.4">
      <c r="AS1690" s="20"/>
    </row>
    <row r="1691" spans="45:45" ht="14.4">
      <c r="AS1691" s="20"/>
    </row>
    <row r="1692" spans="45:45" ht="14.4">
      <c r="AS1692" s="20"/>
    </row>
    <row r="1693" spans="45:45" ht="14.4">
      <c r="AS1693" s="20"/>
    </row>
    <row r="1694" spans="45:45" ht="14.4">
      <c r="AS1694" s="20"/>
    </row>
    <row r="1695" spans="45:45" ht="14.4">
      <c r="AS1695" s="20"/>
    </row>
    <row r="1696" spans="45:45" ht="14.4">
      <c r="AS1696" s="20"/>
    </row>
    <row r="1697" spans="45:45" ht="14.4">
      <c r="AS1697" s="20"/>
    </row>
    <row r="1698" spans="45:45" ht="14.4">
      <c r="AS1698" s="20"/>
    </row>
    <row r="1699" spans="45:45" ht="14.4">
      <c r="AS1699" s="20"/>
    </row>
    <row r="1700" spans="45:45" ht="14.4">
      <c r="AS1700" s="20"/>
    </row>
    <row r="1701" spans="45:45" ht="14.4">
      <c r="AS1701" s="20"/>
    </row>
    <row r="1702" spans="45:45" ht="14.4">
      <c r="AS1702" s="20"/>
    </row>
    <row r="1703" spans="45:45" ht="14.4">
      <c r="AS1703" s="20"/>
    </row>
    <row r="1704" spans="45:45" ht="14.4">
      <c r="AS1704" s="20"/>
    </row>
    <row r="1705" spans="45:45" ht="14.4">
      <c r="AS1705" s="20"/>
    </row>
    <row r="1706" spans="45:45" ht="14.4">
      <c r="AS1706" s="20"/>
    </row>
    <row r="1707" spans="45:45" ht="14.4">
      <c r="AS1707" s="20"/>
    </row>
    <row r="1708" spans="45:45" ht="14.4">
      <c r="AS1708" s="20"/>
    </row>
    <row r="1709" spans="45:45" ht="14.4">
      <c r="AS1709" s="20"/>
    </row>
    <row r="1710" spans="45:45" ht="14.4">
      <c r="AS1710" s="20"/>
    </row>
    <row r="1711" spans="45:45" ht="14.4">
      <c r="AS1711" s="20"/>
    </row>
    <row r="1712" spans="45:45" ht="14.4">
      <c r="AS1712" s="20"/>
    </row>
    <row r="1713" spans="45:45" ht="14.4">
      <c r="AS1713" s="20"/>
    </row>
    <row r="1714" spans="45:45" ht="14.4">
      <c r="AS1714" s="20"/>
    </row>
    <row r="1715" spans="45:45" ht="14.4">
      <c r="AS1715" s="20"/>
    </row>
    <row r="1716" spans="45:45" ht="14.4">
      <c r="AS1716" s="20"/>
    </row>
    <row r="1717" spans="45:45" ht="14.4">
      <c r="AS1717" s="20"/>
    </row>
    <row r="1718" spans="45:45" ht="14.4">
      <c r="AS1718" s="20"/>
    </row>
    <row r="1719" spans="45:45" ht="14.4">
      <c r="AS1719" s="20"/>
    </row>
    <row r="1720" spans="45:45" ht="14.4">
      <c r="AS1720" s="20"/>
    </row>
    <row r="1721" spans="45:45" ht="14.4">
      <c r="AS1721" s="20"/>
    </row>
    <row r="1722" spans="45:45" ht="14.4">
      <c r="AS1722" s="20"/>
    </row>
    <row r="1723" spans="45:45" ht="14.4">
      <c r="AS1723" s="20"/>
    </row>
    <row r="1724" spans="45:45" ht="14.4">
      <c r="AS1724" s="20"/>
    </row>
    <row r="1725" spans="45:45" ht="14.4">
      <c r="AS1725" s="20"/>
    </row>
    <row r="1726" spans="45:45" ht="14.4">
      <c r="AS1726" s="20"/>
    </row>
    <row r="1727" spans="45:45" ht="14.4">
      <c r="AS1727" s="20"/>
    </row>
    <row r="1728" spans="45:45" ht="14.4">
      <c r="AS1728" s="20"/>
    </row>
    <row r="1729" spans="45:45" ht="14.4">
      <c r="AS1729" s="20"/>
    </row>
    <row r="1730" spans="45:45" ht="14.4">
      <c r="AS1730" s="20"/>
    </row>
    <row r="1731" spans="45:45" ht="14.4">
      <c r="AS1731" s="20"/>
    </row>
    <row r="1732" spans="45:45" ht="14.4">
      <c r="AS1732" s="20"/>
    </row>
    <row r="1733" spans="45:45" ht="14.4">
      <c r="AS1733" s="20"/>
    </row>
    <row r="1734" spans="45:45" ht="14.4">
      <c r="AS1734" s="20"/>
    </row>
    <row r="1735" spans="45:45" ht="14.4">
      <c r="AS1735" s="20"/>
    </row>
    <row r="1736" spans="45:45" ht="14.4">
      <c r="AS1736" s="20"/>
    </row>
    <row r="1737" spans="45:45" ht="14.4">
      <c r="AS1737" s="20"/>
    </row>
    <row r="1738" spans="45:45" ht="14.4">
      <c r="AS1738" s="20"/>
    </row>
    <row r="1739" spans="45:45" ht="14.4">
      <c r="AS1739" s="20"/>
    </row>
    <row r="1740" spans="45:45" ht="14.4">
      <c r="AS1740" s="20"/>
    </row>
    <row r="1741" spans="45:45" ht="14.4">
      <c r="AS1741" s="20"/>
    </row>
    <row r="1742" spans="45:45" ht="14.4">
      <c r="AS1742" s="20"/>
    </row>
    <row r="1743" spans="45:45" ht="14.4">
      <c r="AS1743" s="20"/>
    </row>
    <row r="1744" spans="45:45" ht="14.4">
      <c r="AS1744" s="20"/>
    </row>
    <row r="1745" spans="45:45" ht="14.4">
      <c r="AS1745" s="20"/>
    </row>
    <row r="1746" spans="45:45" ht="14.4">
      <c r="AS1746" s="20"/>
    </row>
    <row r="1747" spans="45:45" ht="14.4">
      <c r="AS1747" s="20"/>
    </row>
    <row r="1748" spans="45:45" ht="14.4">
      <c r="AS1748" s="20"/>
    </row>
    <row r="1749" spans="45:45" ht="14.4">
      <c r="AS1749" s="20"/>
    </row>
    <row r="1750" spans="45:45" ht="14.4">
      <c r="AS1750" s="20"/>
    </row>
    <row r="1751" spans="45:45" ht="14.4">
      <c r="AS1751" s="20"/>
    </row>
    <row r="1752" spans="45:45" ht="14.4">
      <c r="AS1752" s="20"/>
    </row>
    <row r="1753" spans="45:45" ht="14.4">
      <c r="AS1753" s="20"/>
    </row>
    <row r="1754" spans="45:45" ht="14.4">
      <c r="AS1754" s="20"/>
    </row>
    <row r="1755" spans="45:45" ht="14.4">
      <c r="AS1755" s="20"/>
    </row>
    <row r="1756" spans="45:45" ht="14.4">
      <c r="AS1756" s="20"/>
    </row>
    <row r="1757" spans="45:45" ht="14.4">
      <c r="AS1757" s="20"/>
    </row>
    <row r="1758" spans="45:45" ht="14.4">
      <c r="AS1758" s="20"/>
    </row>
    <row r="1759" spans="45:45" ht="14.4">
      <c r="AS1759" s="20"/>
    </row>
    <row r="1760" spans="45:45" ht="14.4">
      <c r="AS1760" s="20"/>
    </row>
    <row r="1761" spans="45:45" ht="14.4">
      <c r="AS1761" s="20"/>
    </row>
    <row r="1762" spans="45:45" ht="14.4">
      <c r="AS1762" s="20"/>
    </row>
    <row r="1763" spans="45:45" ht="14.4">
      <c r="AS1763" s="20"/>
    </row>
    <row r="1764" spans="45:45" ht="14.4">
      <c r="AS1764" s="20"/>
    </row>
    <row r="1765" spans="45:45" ht="14.4">
      <c r="AS1765" s="20"/>
    </row>
    <row r="1766" spans="45:45" ht="14.4">
      <c r="AS1766" s="20"/>
    </row>
    <row r="1767" spans="45:45" ht="14.4">
      <c r="AS1767" s="20"/>
    </row>
    <row r="1768" spans="45:45" ht="14.4">
      <c r="AS1768" s="20"/>
    </row>
    <row r="1769" spans="45:45" ht="14.4">
      <c r="AS1769" s="20"/>
    </row>
    <row r="1770" spans="45:45" ht="14.4">
      <c r="AS1770" s="20"/>
    </row>
    <row r="1771" spans="45:45" ht="14.4">
      <c r="AS1771" s="20"/>
    </row>
    <row r="1772" spans="45:45" ht="14.4">
      <c r="AS1772" s="20"/>
    </row>
    <row r="1773" spans="45:45" ht="14.4">
      <c r="AS1773" s="20"/>
    </row>
    <row r="1774" spans="45:45" ht="14.4">
      <c r="AS1774" s="20"/>
    </row>
    <row r="1775" spans="45:45" ht="14.4">
      <c r="AS1775" s="20"/>
    </row>
    <row r="1776" spans="45:45" ht="14.4">
      <c r="AS1776" s="20"/>
    </row>
    <row r="1777" spans="45:45" ht="14.4">
      <c r="AS1777" s="20"/>
    </row>
    <row r="1778" spans="45:45" ht="14.4">
      <c r="AS1778" s="20"/>
    </row>
    <row r="1779" spans="45:45" ht="14.4">
      <c r="AS1779" s="20"/>
    </row>
    <row r="1780" spans="45:45" ht="14.4">
      <c r="AS1780" s="20"/>
    </row>
    <row r="1781" spans="45:45" ht="14.4">
      <c r="AS1781" s="20"/>
    </row>
    <row r="1782" spans="45:45" ht="14.4">
      <c r="AS1782" s="20"/>
    </row>
    <row r="1783" spans="45:45" ht="14.4">
      <c r="AS1783" s="20"/>
    </row>
    <row r="1784" spans="45:45" ht="14.4">
      <c r="AS1784" s="20"/>
    </row>
    <row r="1785" spans="45:45" ht="14.4">
      <c r="AS1785" s="20"/>
    </row>
    <row r="1786" spans="45:45" ht="14.4">
      <c r="AS1786" s="20"/>
    </row>
    <row r="1787" spans="45:45" ht="14.4">
      <c r="AS1787" s="20"/>
    </row>
    <row r="1788" spans="45:45" ht="14.4">
      <c r="AS1788" s="20"/>
    </row>
    <row r="1789" spans="45:45" ht="14.4">
      <c r="AS1789" s="20"/>
    </row>
    <row r="1790" spans="45:45" ht="14.4">
      <c r="AS1790" s="20"/>
    </row>
    <row r="1791" spans="45:45" ht="14.4">
      <c r="AS1791" s="20"/>
    </row>
    <row r="1792" spans="45:45" ht="14.4">
      <c r="AS1792" s="20"/>
    </row>
    <row r="1793" spans="45:45" ht="14.4">
      <c r="AS1793" s="20"/>
    </row>
    <row r="1794" spans="45:45" ht="14.4">
      <c r="AS1794" s="20"/>
    </row>
    <row r="1795" spans="45:45" ht="14.4">
      <c r="AS1795" s="20"/>
    </row>
    <row r="1796" spans="45:45" ht="14.4">
      <c r="AS1796" s="20"/>
    </row>
    <row r="1797" spans="45:45" ht="14.4">
      <c r="AS1797" s="20"/>
    </row>
    <row r="1798" spans="45:45" ht="14.4">
      <c r="AS1798" s="20"/>
    </row>
    <row r="1799" spans="45:45" ht="14.4">
      <c r="AS1799" s="20"/>
    </row>
    <row r="1800" spans="45:45" ht="14.4">
      <c r="AS1800" s="20"/>
    </row>
    <row r="1801" spans="45:45" ht="14.4">
      <c r="AS1801" s="20"/>
    </row>
    <row r="1802" spans="45:45" ht="14.4">
      <c r="AS1802" s="20"/>
    </row>
    <row r="1803" spans="45:45" ht="14.4">
      <c r="AS1803" s="20"/>
    </row>
    <row r="1804" spans="45:45" ht="14.4">
      <c r="AS1804" s="20"/>
    </row>
    <row r="1805" spans="45:45" ht="14.4">
      <c r="AS1805" s="20"/>
    </row>
    <row r="1806" spans="45:45" ht="14.4">
      <c r="AS1806" s="20"/>
    </row>
    <row r="1807" spans="45:45" ht="14.4">
      <c r="AS1807" s="20"/>
    </row>
    <row r="1808" spans="45:45" ht="14.4">
      <c r="AS1808" s="20"/>
    </row>
    <row r="1809" spans="45:45" ht="14.4">
      <c r="AS1809" s="20"/>
    </row>
    <row r="1810" spans="45:45" ht="14.4">
      <c r="AS1810" s="20"/>
    </row>
    <row r="1811" spans="45:45" ht="14.4">
      <c r="AS1811" s="20"/>
    </row>
    <row r="1812" spans="45:45" ht="14.4">
      <c r="AS1812" s="20"/>
    </row>
    <row r="1813" spans="45:45" ht="14.4">
      <c r="AS1813" s="20"/>
    </row>
    <row r="1814" spans="45:45" ht="14.4">
      <c r="AS1814" s="20"/>
    </row>
    <row r="1815" spans="45:45" ht="14.4">
      <c r="AS1815" s="20"/>
    </row>
    <row r="1816" spans="45:45" ht="14.4">
      <c r="AS1816" s="20"/>
    </row>
    <row r="1817" spans="45:45" ht="14.4">
      <c r="AS1817" s="20"/>
    </row>
    <row r="1818" spans="45:45" ht="14.4">
      <c r="AS1818" s="20"/>
    </row>
    <row r="1819" spans="45:45" ht="14.4">
      <c r="AS1819" s="20"/>
    </row>
    <row r="1820" spans="45:45" ht="14.4">
      <c r="AS1820" s="20"/>
    </row>
    <row r="1821" spans="45:45" ht="14.4">
      <c r="AS1821" s="20"/>
    </row>
    <row r="1822" spans="45:45" ht="14.4">
      <c r="AS1822" s="20"/>
    </row>
    <row r="1823" spans="45:45" ht="14.4">
      <c r="AS1823" s="20"/>
    </row>
    <row r="1824" spans="45:45" ht="14.4">
      <c r="AS1824" s="20"/>
    </row>
    <row r="1825" spans="45:45" ht="14.4">
      <c r="AS1825" s="20"/>
    </row>
    <row r="1826" spans="45:45" ht="14.4">
      <c r="AS1826" s="20"/>
    </row>
    <row r="1827" spans="45:45" ht="14.4">
      <c r="AS1827" s="20"/>
    </row>
    <row r="1828" spans="45:45" ht="14.4">
      <c r="AS1828" s="20"/>
    </row>
    <row r="1829" spans="45:45" ht="14.4">
      <c r="AS1829" s="20"/>
    </row>
    <row r="1830" spans="45:45" ht="14.4">
      <c r="AS1830" s="20"/>
    </row>
    <row r="1831" spans="45:45" ht="14.4">
      <c r="AS1831" s="20"/>
    </row>
    <row r="1832" spans="45:45" ht="14.4">
      <c r="AS1832" s="20"/>
    </row>
    <row r="1833" spans="45:45" ht="14.4">
      <c r="AS1833" s="20"/>
    </row>
    <row r="1834" spans="45:45" ht="14.4">
      <c r="AS1834" s="20"/>
    </row>
    <row r="1835" spans="45:45" ht="14.4">
      <c r="AS1835" s="20"/>
    </row>
    <row r="1836" spans="45:45" ht="14.4">
      <c r="AS1836" s="20"/>
    </row>
    <row r="1837" spans="45:45" ht="14.4">
      <c r="AS1837" s="20"/>
    </row>
    <row r="1838" spans="45:45" ht="14.4">
      <c r="AS1838" s="20"/>
    </row>
    <row r="1839" spans="45:45" ht="14.4">
      <c r="AS1839" s="20"/>
    </row>
    <row r="1840" spans="45:45" ht="14.4">
      <c r="AS1840" s="20"/>
    </row>
    <row r="1841" spans="45:45" ht="14.4">
      <c r="AS1841" s="20"/>
    </row>
    <row r="1842" spans="45:45" ht="14.4">
      <c r="AS1842" s="20"/>
    </row>
    <row r="1843" spans="45:45" ht="14.4">
      <c r="AS1843" s="20"/>
    </row>
    <row r="1844" spans="45:45" ht="14.4">
      <c r="AS1844" s="20"/>
    </row>
    <row r="1845" spans="45:45" ht="14.4">
      <c r="AS1845" s="20"/>
    </row>
    <row r="1846" spans="45:45" ht="14.4">
      <c r="AS1846" s="20"/>
    </row>
    <row r="1847" spans="45:45" ht="14.4">
      <c r="AS1847" s="20"/>
    </row>
    <row r="1848" spans="45:45" ht="14.4">
      <c r="AS1848" s="20"/>
    </row>
    <row r="1849" spans="45:45" ht="14.4">
      <c r="AS1849" s="20"/>
    </row>
    <row r="1850" spans="45:45" ht="14.4">
      <c r="AS1850" s="20"/>
    </row>
    <row r="1851" spans="45:45" ht="14.4">
      <c r="AS1851" s="20"/>
    </row>
    <row r="1852" spans="45:45" ht="14.4">
      <c r="AS1852" s="20"/>
    </row>
    <row r="1853" spans="45:45" ht="14.4">
      <c r="AS1853" s="20"/>
    </row>
    <row r="1854" spans="45:45" ht="14.4">
      <c r="AS1854" s="20"/>
    </row>
    <row r="1855" spans="45:45" ht="14.4">
      <c r="AS1855" s="20"/>
    </row>
    <row r="1856" spans="45:45" ht="14.4">
      <c r="AS1856" s="20"/>
    </row>
    <row r="1857" spans="45:45" ht="14.4">
      <c r="AS1857" s="20"/>
    </row>
    <row r="1858" spans="45:45" ht="14.4">
      <c r="AS1858" s="20"/>
    </row>
    <row r="1859" spans="45:45" ht="14.4">
      <c r="AS1859" s="20"/>
    </row>
    <row r="1860" spans="45:45" ht="14.4">
      <c r="AS1860" s="20"/>
    </row>
    <row r="1861" spans="45:45" ht="14.4">
      <c r="AS1861" s="20"/>
    </row>
    <row r="1862" spans="45:45" ht="14.4">
      <c r="AS1862" s="20"/>
    </row>
    <row r="1863" spans="45:45" ht="14.4">
      <c r="AS1863" s="20"/>
    </row>
    <row r="1864" spans="45:45" ht="14.4">
      <c r="AS1864" s="20"/>
    </row>
    <row r="1865" spans="45:45" ht="14.4">
      <c r="AS1865" s="20"/>
    </row>
    <row r="1866" spans="45:45" ht="14.4">
      <c r="AS1866" s="20"/>
    </row>
    <row r="1867" spans="45:45" ht="14.4">
      <c r="AS1867" s="20"/>
    </row>
    <row r="1868" spans="45:45" ht="14.4">
      <c r="AS1868" s="20"/>
    </row>
    <row r="1869" spans="45:45" ht="14.4">
      <c r="AS1869" s="20"/>
    </row>
    <row r="1870" spans="45:45" ht="14.4">
      <c r="AS1870" s="20"/>
    </row>
    <row r="1871" spans="45:45" ht="14.4">
      <c r="AS1871" s="20"/>
    </row>
    <row r="1872" spans="45:45" ht="14.4">
      <c r="AS1872" s="20"/>
    </row>
    <row r="1873" spans="45:45" ht="14.4">
      <c r="AS1873" s="20"/>
    </row>
    <row r="1874" spans="45:45" ht="14.4">
      <c r="AS1874" s="20"/>
    </row>
    <row r="1875" spans="45:45" ht="14.4">
      <c r="AS1875" s="20"/>
    </row>
    <row r="1876" spans="45:45" ht="14.4">
      <c r="AS1876" s="20"/>
    </row>
    <row r="1877" spans="45:45" ht="14.4">
      <c r="AS1877" s="20"/>
    </row>
    <row r="1878" spans="45:45" ht="14.4">
      <c r="AS1878" s="20"/>
    </row>
    <row r="1879" spans="45:45" ht="14.4">
      <c r="AS1879" s="20"/>
    </row>
    <row r="1880" spans="45:45" ht="14.4">
      <c r="AS1880" s="20"/>
    </row>
    <row r="1881" spans="45:45" ht="14.4">
      <c r="AS1881" s="20"/>
    </row>
    <row r="1882" spans="45:45" ht="14.4">
      <c r="AS1882" s="20"/>
    </row>
    <row r="1883" spans="45:45" ht="14.4">
      <c r="AS1883" s="20"/>
    </row>
    <row r="1884" spans="45:45" ht="14.4">
      <c r="AS1884" s="20"/>
    </row>
    <row r="1885" spans="45:45" ht="14.4">
      <c r="AS1885" s="20"/>
    </row>
    <row r="1886" spans="45:45" ht="14.4">
      <c r="AS1886" s="20"/>
    </row>
    <row r="1887" spans="45:45" ht="14.4">
      <c r="AS1887" s="20"/>
    </row>
    <row r="1888" spans="45:45" ht="14.4">
      <c r="AS1888" s="20"/>
    </row>
    <row r="1889" spans="45:45" ht="14.4">
      <c r="AS1889" s="20"/>
    </row>
    <row r="1890" spans="45:45" ht="14.4">
      <c r="AS1890" s="20"/>
    </row>
    <row r="1891" spans="45:45" ht="14.4">
      <c r="AS1891" s="20"/>
    </row>
    <row r="1892" spans="45:45" ht="14.4">
      <c r="AS1892" s="20"/>
    </row>
    <row r="1893" spans="45:45" ht="14.4">
      <c r="AS1893" s="20"/>
    </row>
    <row r="1894" spans="45:45" ht="14.4">
      <c r="AS1894" s="20"/>
    </row>
    <row r="1895" spans="45:45" ht="14.4">
      <c r="AS1895" s="20"/>
    </row>
    <row r="1896" spans="45:45" ht="14.4">
      <c r="AS1896" s="20"/>
    </row>
    <row r="1897" spans="45:45" ht="14.4">
      <c r="AS1897" s="20"/>
    </row>
    <row r="1898" spans="45:45" ht="14.4">
      <c r="AS1898" s="20"/>
    </row>
    <row r="1899" spans="45:45" ht="14.4">
      <c r="AS1899" s="20"/>
    </row>
    <row r="1900" spans="45:45" ht="14.4">
      <c r="AS1900" s="20"/>
    </row>
    <row r="1901" spans="45:45" ht="14.4">
      <c r="AS1901" s="20"/>
    </row>
    <row r="1902" spans="45:45" ht="14.4">
      <c r="AS1902" s="20"/>
    </row>
    <row r="1903" spans="45:45" ht="14.4">
      <c r="AS1903" s="20"/>
    </row>
    <row r="1904" spans="45:45" ht="14.4">
      <c r="AS1904" s="20"/>
    </row>
    <row r="1905" spans="45:45" ht="14.4">
      <c r="AS1905" s="20"/>
    </row>
    <row r="1906" spans="45:45" ht="14.4">
      <c r="AS1906" s="20"/>
    </row>
    <row r="1907" spans="45:45" ht="14.4">
      <c r="AS1907" s="20"/>
    </row>
    <row r="1908" spans="45:45" ht="14.4">
      <c r="AS1908" s="20"/>
    </row>
    <row r="1909" spans="45:45" ht="14.4">
      <c r="AS1909" s="20"/>
    </row>
    <row r="1910" spans="45:45" ht="14.4">
      <c r="AS1910" s="20"/>
    </row>
    <row r="1911" spans="45:45" ht="14.4">
      <c r="AS1911" s="20"/>
    </row>
    <row r="1912" spans="45:45" ht="14.4">
      <c r="AS1912" s="20"/>
    </row>
    <row r="1913" spans="45:45" ht="14.4">
      <c r="AS1913" s="20"/>
    </row>
    <row r="1914" spans="45:45" ht="14.4">
      <c r="AS1914" s="20"/>
    </row>
    <row r="1915" spans="45:45" ht="14.4">
      <c r="AS1915" s="20"/>
    </row>
    <row r="1916" spans="45:45" ht="14.4">
      <c r="AS1916" s="20"/>
    </row>
    <row r="1917" spans="45:45" ht="14.4">
      <c r="AS1917" s="20"/>
    </row>
    <row r="1918" spans="45:45" ht="14.4">
      <c r="AS1918" s="20"/>
    </row>
    <row r="1919" spans="45:45" ht="14.4">
      <c r="AS1919" s="20"/>
    </row>
    <row r="1920" spans="45:45" ht="14.4">
      <c r="AS1920" s="20"/>
    </row>
    <row r="1921" spans="45:45" ht="14.4">
      <c r="AS1921" s="20"/>
    </row>
    <row r="1922" spans="45:45" ht="14.4">
      <c r="AS1922" s="20"/>
    </row>
    <row r="1923" spans="45:45" ht="14.4">
      <c r="AS1923" s="20"/>
    </row>
    <row r="1924" spans="45:45" ht="14.4">
      <c r="AS1924" s="20"/>
    </row>
    <row r="1925" spans="45:45" ht="14.4">
      <c r="AS1925" s="20"/>
    </row>
    <row r="1926" spans="45:45" ht="14.4">
      <c r="AS1926" s="20"/>
    </row>
    <row r="1927" spans="45:45" ht="14.4">
      <c r="AS1927" s="20"/>
    </row>
    <row r="1928" spans="45:45" ht="14.4">
      <c r="AS1928" s="20"/>
    </row>
    <row r="1929" spans="45:45" ht="14.4">
      <c r="AS1929" s="20"/>
    </row>
    <row r="1930" spans="45:45" ht="14.4">
      <c r="AS1930" s="20"/>
    </row>
    <row r="1931" spans="45:45" ht="14.4">
      <c r="AS1931" s="20"/>
    </row>
    <row r="1932" spans="45:45" ht="14.4">
      <c r="AS1932" s="20"/>
    </row>
    <row r="1933" spans="45:45" ht="14.4">
      <c r="AS1933" s="20"/>
    </row>
    <row r="1934" spans="45:45" ht="14.4">
      <c r="AS1934" s="20"/>
    </row>
    <row r="1935" spans="45:45" ht="14.4">
      <c r="AS1935" s="20"/>
    </row>
    <row r="1936" spans="45:45" ht="14.4">
      <c r="AS1936" s="20"/>
    </row>
    <row r="1937" spans="45:45" ht="14.4">
      <c r="AS1937" s="20"/>
    </row>
    <row r="1938" spans="45:45" ht="14.4">
      <c r="AS1938" s="20"/>
    </row>
    <row r="1939" spans="45:45" ht="14.4">
      <c r="AS1939" s="20"/>
    </row>
    <row r="1940" spans="45:45" ht="14.4">
      <c r="AS1940" s="20"/>
    </row>
    <row r="1941" spans="45:45" ht="14.4">
      <c r="AS1941" s="20"/>
    </row>
    <row r="1942" spans="45:45" ht="14.4">
      <c r="AS1942" s="20"/>
    </row>
    <row r="1943" spans="45:45" ht="14.4">
      <c r="AS1943" s="20"/>
    </row>
    <row r="1944" spans="45:45" ht="14.4">
      <c r="AS1944" s="20"/>
    </row>
    <row r="1945" spans="45:45" ht="14.4">
      <c r="AS1945" s="20"/>
    </row>
    <row r="1946" spans="45:45" ht="14.4">
      <c r="AS1946" s="20"/>
    </row>
    <row r="1947" spans="45:45" ht="14.4">
      <c r="AS1947" s="20"/>
    </row>
    <row r="1948" spans="45:45" ht="14.4">
      <c r="AS1948" s="20"/>
    </row>
    <row r="1949" spans="45:45" ht="14.4">
      <c r="AS1949" s="20"/>
    </row>
    <row r="1950" spans="45:45" ht="14.4">
      <c r="AS1950" s="20"/>
    </row>
    <row r="1951" spans="45:45" ht="14.4">
      <c r="AS1951" s="20"/>
    </row>
    <row r="1952" spans="45:45" ht="14.4">
      <c r="AS1952" s="20"/>
    </row>
    <row r="1953" spans="45:45" ht="14.4">
      <c r="AS1953" s="20"/>
    </row>
    <row r="1954" spans="45:45" ht="14.4">
      <c r="AS1954" s="20"/>
    </row>
    <row r="1955" spans="45:45" ht="14.4">
      <c r="AS1955" s="20"/>
    </row>
    <row r="1956" spans="45:45" ht="14.4">
      <c r="AS1956" s="20"/>
    </row>
    <row r="1957" spans="45:45" ht="14.4">
      <c r="AS1957" s="20"/>
    </row>
    <row r="1958" spans="45:45" ht="14.4">
      <c r="AS1958" s="20"/>
    </row>
    <row r="1959" spans="45:45" ht="14.4">
      <c r="AS1959" s="20"/>
    </row>
    <row r="1960" spans="45:45" ht="14.4">
      <c r="AS1960" s="20"/>
    </row>
    <row r="1961" spans="45:45" ht="14.4">
      <c r="AS1961" s="20"/>
    </row>
    <row r="1962" spans="45:45" ht="14.4">
      <c r="AS1962" s="20"/>
    </row>
    <row r="1963" spans="45:45" ht="14.4">
      <c r="AS1963" s="20"/>
    </row>
    <row r="1964" spans="45:45" ht="14.4">
      <c r="AS1964" s="20"/>
    </row>
    <row r="1965" spans="45:45" ht="14.4">
      <c r="AS1965" s="20"/>
    </row>
    <row r="1966" spans="45:45" ht="14.4">
      <c r="AS1966" s="20"/>
    </row>
    <row r="1967" spans="45:45" ht="14.4">
      <c r="AS1967" s="20"/>
    </row>
    <row r="1968" spans="45:45" ht="14.4">
      <c r="AS1968" s="20"/>
    </row>
    <row r="1969" spans="45:45" ht="14.4">
      <c r="AS1969" s="20"/>
    </row>
    <row r="1970" spans="45:45" ht="14.4">
      <c r="AS1970" s="20"/>
    </row>
    <row r="1971" spans="45:45" ht="14.4">
      <c r="AS1971" s="20"/>
    </row>
    <row r="1972" spans="45:45" ht="14.4">
      <c r="AS1972" s="20"/>
    </row>
    <row r="1973" spans="45:45" ht="14.4">
      <c r="AS1973" s="20"/>
    </row>
    <row r="1974" spans="45:45" ht="14.4">
      <c r="AS1974" s="20"/>
    </row>
    <row r="1975" spans="45:45" ht="14.4">
      <c r="AS1975" s="20"/>
    </row>
    <row r="1976" spans="45:45" ht="14.4">
      <c r="AS1976" s="20"/>
    </row>
    <row r="1977" spans="45:45" ht="14.4">
      <c r="AS1977" s="20"/>
    </row>
    <row r="1978" spans="45:45" ht="14.4">
      <c r="AS1978" s="20"/>
    </row>
    <row r="1979" spans="45:45" ht="14.4">
      <c r="AS1979" s="20"/>
    </row>
    <row r="1980" spans="45:45" ht="14.4">
      <c r="AS1980" s="20"/>
    </row>
    <row r="1981" spans="45:45" ht="14.4">
      <c r="AS1981" s="20"/>
    </row>
    <row r="1982" spans="45:45" ht="14.4">
      <c r="AS1982" s="20"/>
    </row>
    <row r="1983" spans="45:45" ht="14.4">
      <c r="AS1983" s="20"/>
    </row>
    <row r="1984" spans="45:45" ht="14.4">
      <c r="AS1984" s="20"/>
    </row>
    <row r="1985" spans="45:45" ht="14.4">
      <c r="AS1985" s="20"/>
    </row>
    <row r="1986" spans="45:45" ht="14.4">
      <c r="AS1986" s="20"/>
    </row>
    <row r="1987" spans="45:45" ht="14.4">
      <c r="AS1987" s="20"/>
    </row>
    <row r="1988" spans="45:45" ht="14.4">
      <c r="AS1988" s="20"/>
    </row>
    <row r="1989" spans="45:45" ht="14.4">
      <c r="AS1989" s="20"/>
    </row>
    <row r="1990" spans="45:45" ht="14.4">
      <c r="AS1990" s="20"/>
    </row>
    <row r="1991" spans="45:45" ht="14.4">
      <c r="AS1991" s="20"/>
    </row>
    <row r="1992" spans="45:45" ht="14.4">
      <c r="AS1992" s="20"/>
    </row>
    <row r="1993" spans="45:45" ht="14.4">
      <c r="AS1993" s="20"/>
    </row>
    <row r="1994" spans="45:45" ht="14.4">
      <c r="AS1994" s="20"/>
    </row>
    <row r="1995" spans="45:45" ht="14.4">
      <c r="AS1995" s="20"/>
    </row>
    <row r="1996" spans="45:45" ht="14.4">
      <c r="AS1996" s="20"/>
    </row>
    <row r="1997" spans="45:45" ht="14.4">
      <c r="AS1997" s="20"/>
    </row>
    <row r="1998" spans="45:45" ht="14.4">
      <c r="AS1998" s="20"/>
    </row>
    <row r="1999" spans="45:45" ht="14.4">
      <c r="AS1999" s="20"/>
    </row>
    <row r="2000" spans="45:45" ht="14.4">
      <c r="AS2000" s="20"/>
    </row>
    <row r="2001" spans="45:45" ht="14.4">
      <c r="AS2001" s="20"/>
    </row>
    <row r="2002" spans="45:45" ht="14.4">
      <c r="AS2002" s="20"/>
    </row>
    <row r="2003" spans="45:45" ht="14.4">
      <c r="AS2003" s="20"/>
    </row>
    <row r="2004" spans="45:45" ht="14.4">
      <c r="AS2004" s="20"/>
    </row>
    <row r="2005" spans="45:45" ht="14.4">
      <c r="AS2005" s="20"/>
    </row>
    <row r="2006" spans="45:45" ht="14.4">
      <c r="AS2006" s="20"/>
    </row>
    <row r="2007" spans="45:45" ht="14.4">
      <c r="AS2007" s="20"/>
    </row>
    <row r="2008" spans="45:45" ht="14.4">
      <c r="AS2008" s="20"/>
    </row>
    <row r="2009" spans="45:45" ht="14.4">
      <c r="AS2009" s="20"/>
    </row>
    <row r="2010" spans="45:45" ht="14.4">
      <c r="AS2010" s="20"/>
    </row>
    <row r="2011" spans="45:45" ht="14.4">
      <c r="AS2011" s="20"/>
    </row>
    <row r="2012" spans="45:45" ht="14.4">
      <c r="AS2012" s="20"/>
    </row>
    <row r="2013" spans="45:45" ht="14.4">
      <c r="AS2013" s="20"/>
    </row>
    <row r="2014" spans="45:45" ht="14.4">
      <c r="AS2014" s="20"/>
    </row>
    <row r="2015" spans="45:45" ht="14.4">
      <c r="AS2015" s="20"/>
    </row>
    <row r="2016" spans="45:45" ht="14.4">
      <c r="AS2016" s="20"/>
    </row>
    <row r="2017" spans="45:45" ht="14.4">
      <c r="AS2017" s="20"/>
    </row>
    <row r="2018" spans="45:45" ht="14.4">
      <c r="AS2018" s="20"/>
    </row>
    <row r="2019" spans="45:45" ht="14.4">
      <c r="AS2019" s="20"/>
    </row>
    <row r="2020" spans="45:45" ht="14.4">
      <c r="AS2020" s="20"/>
    </row>
    <row r="2021" spans="45:45" ht="14.4">
      <c r="AS2021" s="20"/>
    </row>
    <row r="2022" spans="45:45" ht="14.4">
      <c r="AS2022" s="20"/>
    </row>
    <row r="2023" spans="45:45" ht="14.4">
      <c r="AS2023" s="20"/>
    </row>
    <row r="2024" spans="45:45" ht="14.4">
      <c r="AS2024" s="20"/>
    </row>
    <row r="2025" spans="45:45" ht="14.4">
      <c r="AS2025" s="20"/>
    </row>
    <row r="2026" spans="45:45" ht="14.4">
      <c r="AS2026" s="20"/>
    </row>
    <row r="2027" spans="45:45" ht="14.4">
      <c r="AS2027" s="20"/>
    </row>
    <row r="2028" spans="45:45" ht="14.4">
      <c r="AS2028" s="20"/>
    </row>
    <row r="2029" spans="45:45" ht="14.4">
      <c r="AS2029" s="20"/>
    </row>
    <row r="2030" spans="45:45" ht="14.4">
      <c r="AS2030" s="20"/>
    </row>
    <row r="2031" spans="45:45" ht="14.4">
      <c r="AS2031" s="20"/>
    </row>
    <row r="2032" spans="45:45" ht="14.4">
      <c r="AS2032" s="20"/>
    </row>
    <row r="2033" spans="45:45" ht="14.4">
      <c r="AS2033" s="20"/>
    </row>
    <row r="2034" spans="45:45" ht="14.4">
      <c r="AS2034" s="20"/>
    </row>
    <row r="2035" spans="45:45" ht="14.4">
      <c r="AS2035" s="20"/>
    </row>
    <row r="2036" spans="45:45" ht="14.4">
      <c r="AS2036" s="20"/>
    </row>
    <row r="2037" spans="45:45" ht="14.4">
      <c r="AS2037" s="20"/>
    </row>
    <row r="2038" spans="45:45" ht="14.4">
      <c r="AS2038" s="20"/>
    </row>
    <row r="2039" spans="45:45" ht="14.4">
      <c r="AS2039" s="20"/>
    </row>
    <row r="2040" spans="45:45" ht="14.4">
      <c r="AS2040" s="20"/>
    </row>
    <row r="2041" spans="45:45" ht="14.4">
      <c r="AS2041" s="20"/>
    </row>
    <row r="2042" spans="45:45" ht="14.4">
      <c r="AS2042" s="20"/>
    </row>
    <row r="2043" spans="45:45" ht="14.4">
      <c r="AS2043" s="20"/>
    </row>
    <row r="2044" spans="45:45" ht="14.4">
      <c r="AS2044" s="20"/>
    </row>
    <row r="2045" spans="45:45" ht="14.4">
      <c r="AS2045" s="20"/>
    </row>
    <row r="2046" spans="45:45" ht="14.4">
      <c r="AS2046" s="20"/>
    </row>
    <row r="2047" spans="45:45" ht="14.4">
      <c r="AS2047" s="20"/>
    </row>
    <row r="2048" spans="45:45" ht="14.4">
      <c r="AS2048" s="20"/>
    </row>
    <row r="2049" spans="45:45" ht="14.4">
      <c r="AS2049" s="20"/>
    </row>
    <row r="2050" spans="45:45" ht="14.4">
      <c r="AS2050" s="20"/>
    </row>
    <row r="2051" spans="45:45" ht="14.4">
      <c r="AS2051" s="20"/>
    </row>
    <row r="2052" spans="45:45" ht="14.4">
      <c r="AS2052" s="20"/>
    </row>
    <row r="2053" spans="45:45" ht="14.4">
      <c r="AS2053" s="20"/>
    </row>
    <row r="2054" spans="45:45" ht="14.4">
      <c r="AS2054" s="20"/>
    </row>
    <row r="2055" spans="45:45" ht="14.4">
      <c r="AS2055" s="20"/>
    </row>
    <row r="2056" spans="45:45" ht="14.4">
      <c r="AS2056" s="20"/>
    </row>
    <row r="2057" spans="45:45" ht="14.4">
      <c r="AS2057" s="20"/>
    </row>
    <row r="2058" spans="45:45" ht="14.4">
      <c r="AS2058" s="20"/>
    </row>
    <row r="2059" spans="45:45" ht="14.4">
      <c r="AS2059" s="20"/>
    </row>
    <row r="2060" spans="45:45" ht="14.4">
      <c r="AS2060" s="20"/>
    </row>
    <row r="2061" spans="45:45" ht="14.4">
      <c r="AS2061" s="20"/>
    </row>
    <row r="2062" spans="45:45" ht="14.4">
      <c r="AS2062" s="20"/>
    </row>
    <row r="2063" spans="45:45" ht="14.4">
      <c r="AS2063" s="20"/>
    </row>
    <row r="2064" spans="45:45" ht="14.4">
      <c r="AS2064" s="20"/>
    </row>
    <row r="2065" spans="45:45" ht="14.4">
      <c r="AS2065" s="20"/>
    </row>
    <row r="2066" spans="45:45" ht="14.4">
      <c r="AS2066" s="20"/>
    </row>
    <row r="2067" spans="45:45" ht="14.4">
      <c r="AS2067" s="20"/>
    </row>
    <row r="2068" spans="45:45" ht="14.4">
      <c r="AS2068" s="20"/>
    </row>
    <row r="2069" spans="45:45" ht="14.4">
      <c r="AS2069" s="20"/>
    </row>
    <row r="2070" spans="45:45" ht="14.4">
      <c r="AS2070" s="20"/>
    </row>
    <row r="2071" spans="45:45" ht="14.4">
      <c r="AS2071" s="20"/>
    </row>
    <row r="2072" spans="45:45" ht="14.4">
      <c r="AS2072" s="20"/>
    </row>
    <row r="2073" spans="45:45" ht="14.4">
      <c r="AS2073" s="20"/>
    </row>
    <row r="2074" spans="45:45" ht="14.4">
      <c r="AS2074" s="20"/>
    </row>
    <row r="2075" spans="45:45" ht="14.4">
      <c r="AS2075" s="20"/>
    </row>
    <row r="2076" spans="45:45" ht="14.4">
      <c r="AS2076" s="20"/>
    </row>
    <row r="2077" spans="45:45" ht="14.4">
      <c r="AS2077" s="20"/>
    </row>
    <row r="2078" spans="45:45" ht="14.4">
      <c r="AS2078" s="20"/>
    </row>
    <row r="2079" spans="45:45" ht="14.4">
      <c r="AS2079" s="20"/>
    </row>
    <row r="2080" spans="45:45" ht="14.4">
      <c r="AS2080" s="20"/>
    </row>
    <row r="2081" spans="45:45" ht="14.4">
      <c r="AS2081" s="20"/>
    </row>
    <row r="2082" spans="45:45" ht="14.4">
      <c r="AS2082" s="20"/>
    </row>
    <row r="2083" spans="45:45" ht="14.4">
      <c r="AS2083" s="20"/>
    </row>
    <row r="2084" spans="45:45" ht="14.4">
      <c r="AS2084" s="20"/>
    </row>
    <row r="2085" spans="45:45" ht="14.4">
      <c r="AS2085" s="20"/>
    </row>
    <row r="2086" spans="45:45" ht="14.4">
      <c r="AS2086" s="20"/>
    </row>
    <row r="2087" spans="45:45" ht="14.4">
      <c r="AS2087" s="20"/>
    </row>
    <row r="2088" spans="45:45" ht="14.4">
      <c r="AS2088" s="20"/>
    </row>
    <row r="2089" spans="45:45" ht="14.4">
      <c r="AS2089" s="20"/>
    </row>
    <row r="2090" spans="45:45" ht="14.4">
      <c r="AS2090" s="20"/>
    </row>
    <row r="2091" spans="45:45" ht="14.4">
      <c r="AS2091" s="20"/>
    </row>
    <row r="2092" spans="45:45" ht="14.4">
      <c r="AS2092" s="20"/>
    </row>
    <row r="2093" spans="45:45" ht="14.4">
      <c r="AS2093" s="20"/>
    </row>
    <row r="2094" spans="45:45" ht="14.4">
      <c r="AS2094" s="20"/>
    </row>
    <row r="2095" spans="45:45" ht="14.4">
      <c r="AS2095" s="20"/>
    </row>
    <row r="2096" spans="45:45" ht="14.4">
      <c r="AS2096" s="20"/>
    </row>
    <row r="2097" spans="45:45" ht="14.4">
      <c r="AS2097" s="20"/>
    </row>
    <row r="2098" spans="45:45" ht="14.4">
      <c r="AS2098" s="20"/>
    </row>
    <row r="2099" spans="45:45" ht="14.4">
      <c r="AS2099" s="20"/>
    </row>
    <row r="2100" spans="45:45" ht="14.4">
      <c r="AS2100" s="20"/>
    </row>
    <row r="2101" spans="45:45" ht="14.4">
      <c r="AS2101" s="20"/>
    </row>
    <row r="2102" spans="45:45" ht="14.4">
      <c r="AS2102" s="20"/>
    </row>
    <row r="2103" spans="45:45" ht="14.4">
      <c r="AS2103" s="20"/>
    </row>
    <row r="2104" spans="45:45" ht="14.4">
      <c r="AS2104" s="20"/>
    </row>
    <row r="2105" spans="45:45" ht="14.4">
      <c r="AS2105" s="20"/>
    </row>
    <row r="2106" spans="45:45" ht="14.4">
      <c r="AS2106" s="20"/>
    </row>
    <row r="2107" spans="45:45" ht="14.4">
      <c r="AS2107" s="20"/>
    </row>
    <row r="2108" spans="45:45" ht="14.4">
      <c r="AS2108" s="20"/>
    </row>
    <row r="2109" spans="45:45" ht="14.4">
      <c r="AS2109" s="20"/>
    </row>
    <row r="2110" spans="45:45" ht="14.4">
      <c r="AS2110" s="20"/>
    </row>
    <row r="2111" spans="45:45" ht="14.4">
      <c r="AS2111" s="20"/>
    </row>
    <row r="2112" spans="45:45" ht="14.4">
      <c r="AS2112" s="20"/>
    </row>
    <row r="2113" spans="45:45" ht="14.4">
      <c r="AS2113" s="20"/>
    </row>
    <row r="2114" spans="45:45" ht="14.4">
      <c r="AS2114" s="20"/>
    </row>
    <row r="2115" spans="45:45" ht="14.4">
      <c r="AS2115" s="20"/>
    </row>
    <row r="2116" spans="45:45" ht="14.4">
      <c r="AS2116" s="20"/>
    </row>
    <row r="2117" spans="45:45" ht="14.4">
      <c r="AS2117" s="20"/>
    </row>
    <row r="2118" spans="45:45" ht="14.4">
      <c r="AS2118" s="20"/>
    </row>
    <row r="2119" spans="45:45" ht="14.4">
      <c r="AS2119" s="20"/>
    </row>
    <row r="2120" spans="45:45" ht="14.4">
      <c r="AS2120" s="20"/>
    </row>
    <row r="2121" spans="45:45" ht="14.4">
      <c r="AS2121" s="20"/>
    </row>
    <row r="2122" spans="45:45" ht="14.4">
      <c r="AS2122" s="20"/>
    </row>
    <row r="2123" spans="45:45" ht="14.4">
      <c r="AS2123" s="20"/>
    </row>
    <row r="2124" spans="45:45" ht="14.4">
      <c r="AS2124" s="20"/>
    </row>
    <row r="2125" spans="45:45" ht="14.4">
      <c r="AS2125" s="20"/>
    </row>
    <row r="2126" spans="45:45" ht="14.4">
      <c r="AS2126" s="20"/>
    </row>
    <row r="2127" spans="45:45" ht="14.4">
      <c r="AS2127" s="20"/>
    </row>
    <row r="2128" spans="45:45" ht="14.4">
      <c r="AS2128" s="20"/>
    </row>
    <row r="2129" spans="45:45" ht="14.4">
      <c r="AS2129" s="20"/>
    </row>
    <row r="2130" spans="45:45" ht="14.4">
      <c r="AS2130" s="20"/>
    </row>
    <row r="2131" spans="45:45" ht="14.4">
      <c r="AS2131" s="20"/>
    </row>
    <row r="2132" spans="45:45" ht="14.4">
      <c r="AS2132" s="20"/>
    </row>
    <row r="2133" spans="45:45" ht="14.4">
      <c r="AS2133" s="20"/>
    </row>
    <row r="2134" spans="45:45" ht="14.4">
      <c r="AS2134" s="20"/>
    </row>
    <row r="2135" spans="45:45" ht="14.4">
      <c r="AS2135" s="20"/>
    </row>
    <row r="2136" spans="45:45" ht="14.4">
      <c r="AS2136" s="20"/>
    </row>
    <row r="2137" spans="45:45" ht="14.4">
      <c r="AS2137" s="20"/>
    </row>
    <row r="2138" spans="45:45" ht="14.4">
      <c r="AS2138" s="20"/>
    </row>
    <row r="2139" spans="45:45" ht="14.4">
      <c r="AS2139" s="20"/>
    </row>
    <row r="2140" spans="45:45" ht="14.4">
      <c r="AS2140" s="20"/>
    </row>
    <row r="2141" spans="45:45" ht="14.4">
      <c r="AS2141" s="20"/>
    </row>
    <row r="2142" spans="45:45" ht="14.4">
      <c r="AS2142" s="20"/>
    </row>
    <row r="2143" spans="45:45" ht="14.4">
      <c r="AS2143" s="20"/>
    </row>
    <row r="2144" spans="45:45" ht="14.4">
      <c r="AS2144" s="20"/>
    </row>
    <row r="2145" spans="45:45" ht="14.4">
      <c r="AS2145" s="20"/>
    </row>
    <row r="2146" spans="45:45" ht="14.4">
      <c r="AS2146" s="20"/>
    </row>
    <row r="2147" spans="45:45" ht="14.4">
      <c r="AS2147" s="20"/>
    </row>
    <row r="2148" spans="45:45" ht="14.4">
      <c r="AS2148" s="20"/>
    </row>
    <row r="2149" spans="45:45" ht="14.4">
      <c r="AS2149" s="20"/>
    </row>
    <row r="2150" spans="45:45" ht="14.4">
      <c r="AS2150" s="20"/>
    </row>
    <row r="2151" spans="45:45" ht="14.4">
      <c r="AS2151" s="20"/>
    </row>
    <row r="2152" spans="45:45" ht="14.4">
      <c r="AS2152" s="20"/>
    </row>
    <row r="2153" spans="45:45" ht="14.4">
      <c r="AS2153" s="20"/>
    </row>
    <row r="2154" spans="45:45" ht="14.4">
      <c r="AS2154" s="20"/>
    </row>
    <row r="2155" spans="45:45" ht="14.4">
      <c r="AS2155" s="20"/>
    </row>
    <row r="2156" spans="45:45" ht="14.4">
      <c r="AS2156" s="20"/>
    </row>
    <row r="2157" spans="45:45" ht="14.4">
      <c r="AS2157" s="20"/>
    </row>
    <row r="2158" spans="45:45" ht="14.4">
      <c r="AS2158" s="20"/>
    </row>
    <row r="2159" spans="45:45" ht="14.4">
      <c r="AS2159" s="20"/>
    </row>
    <row r="2160" spans="45:45" ht="14.4">
      <c r="AS2160" s="20"/>
    </row>
    <row r="2161" spans="45:45" ht="14.4">
      <c r="AS2161" s="20"/>
    </row>
    <row r="2162" spans="45:45" ht="14.4">
      <c r="AS2162" s="20"/>
    </row>
    <row r="2163" spans="45:45" ht="14.4">
      <c r="AS2163" s="20"/>
    </row>
    <row r="2164" spans="45:45" ht="14.4">
      <c r="AS2164" s="20"/>
    </row>
    <row r="2165" spans="45:45" ht="14.4">
      <c r="AS2165" s="20"/>
    </row>
    <row r="2166" spans="45:45" ht="14.4">
      <c r="AS2166" s="20"/>
    </row>
    <row r="2167" spans="45:45" ht="14.4">
      <c r="AS2167" s="20"/>
    </row>
    <row r="2168" spans="45:45" ht="14.4">
      <c r="AS2168" s="20"/>
    </row>
    <row r="2169" spans="45:45" ht="14.4">
      <c r="AS2169" s="20"/>
    </row>
    <row r="2170" spans="45:45" ht="14.4">
      <c r="AS2170" s="20"/>
    </row>
    <row r="2171" spans="45:45" ht="14.4">
      <c r="AS2171" s="20"/>
    </row>
    <row r="2172" spans="45:45" ht="14.4">
      <c r="AS2172" s="20"/>
    </row>
    <row r="2173" spans="45:45" ht="14.4">
      <c r="AS2173" s="20"/>
    </row>
    <row r="2174" spans="45:45" ht="14.4">
      <c r="AS2174" s="20"/>
    </row>
    <row r="2175" spans="45:45" ht="14.4">
      <c r="AS2175" s="20"/>
    </row>
    <row r="2176" spans="45:45" ht="14.4">
      <c r="AS2176" s="20"/>
    </row>
    <row r="2177" spans="45:45" ht="14.4">
      <c r="AS2177" s="20"/>
    </row>
    <row r="2178" spans="45:45" ht="14.4">
      <c r="AS2178" s="20"/>
    </row>
    <row r="2179" spans="45:45" ht="14.4">
      <c r="AS2179" s="20"/>
    </row>
    <row r="2180" spans="45:45" ht="14.4">
      <c r="AS2180" s="20"/>
    </row>
    <row r="2181" spans="45:45" ht="14.4">
      <c r="AS2181" s="20"/>
    </row>
    <row r="2182" spans="45:45" ht="14.4">
      <c r="AS2182" s="20"/>
    </row>
    <row r="2183" spans="45:45" ht="14.4">
      <c r="AS2183" s="20"/>
    </row>
    <row r="2184" spans="45:45" ht="14.4">
      <c r="AS2184" s="20"/>
    </row>
    <row r="2185" spans="45:45" ht="14.4">
      <c r="AS2185" s="20"/>
    </row>
    <row r="2186" spans="45:45" ht="14.4">
      <c r="AS2186" s="20"/>
    </row>
    <row r="2187" spans="45:45" ht="14.4">
      <c r="AS2187" s="20"/>
    </row>
    <row r="2188" spans="45:45" ht="14.4">
      <c r="AS2188" s="20"/>
    </row>
    <row r="2189" spans="45:45" ht="14.4">
      <c r="AS2189" s="20"/>
    </row>
    <row r="2190" spans="45:45" ht="14.4">
      <c r="AS2190" s="20"/>
    </row>
    <row r="2191" spans="45:45" ht="14.4">
      <c r="AS2191" s="20"/>
    </row>
    <row r="2192" spans="45:45" ht="14.4">
      <c r="AS2192" s="20"/>
    </row>
    <row r="2193" spans="45:45" ht="14.4">
      <c r="AS2193" s="20"/>
    </row>
    <row r="2194" spans="45:45" ht="14.4">
      <c r="AS2194" s="20"/>
    </row>
    <row r="2195" spans="45:45" ht="14.4">
      <c r="AS2195" s="20"/>
    </row>
    <row r="2196" spans="45:45" ht="14.4">
      <c r="AS2196" s="20"/>
    </row>
    <row r="2197" spans="45:45" ht="14.4">
      <c r="AS2197" s="20"/>
    </row>
    <row r="2198" spans="45:45" ht="14.4">
      <c r="AS2198" s="20"/>
    </row>
    <row r="2199" spans="45:45" ht="14.4">
      <c r="AS2199" s="20"/>
    </row>
    <row r="2200" spans="45:45" ht="14.4">
      <c r="AS2200" s="20"/>
    </row>
    <row r="2201" spans="45:45" ht="14.4">
      <c r="AS2201" s="20"/>
    </row>
    <row r="2202" spans="45:45" ht="14.4">
      <c r="AS2202" s="20"/>
    </row>
    <row r="2203" spans="45:45" ht="14.4">
      <c r="AS2203" s="20"/>
    </row>
    <row r="2204" spans="45:45" ht="14.4">
      <c r="AS2204" s="20"/>
    </row>
    <row r="2205" spans="45:45" ht="14.4">
      <c r="AS2205" s="20"/>
    </row>
    <row r="2206" spans="45:45" ht="14.4">
      <c r="AS2206" s="20"/>
    </row>
    <row r="2207" spans="45:45" ht="14.4">
      <c r="AS2207" s="20"/>
    </row>
    <row r="2208" spans="45:45" ht="14.4">
      <c r="AS2208" s="20"/>
    </row>
    <row r="2209" spans="45:45" ht="14.4">
      <c r="AS2209" s="20"/>
    </row>
    <row r="2210" spans="45:45" ht="14.4">
      <c r="AS2210" s="20"/>
    </row>
    <row r="2211" spans="45:45" ht="14.4">
      <c r="AS2211" s="20"/>
    </row>
    <row r="2212" spans="45:45" ht="14.4">
      <c r="AS2212" s="20"/>
    </row>
    <row r="2213" spans="45:45" ht="14.4">
      <c r="AS2213" s="20"/>
    </row>
    <row r="2214" spans="45:45" ht="14.4">
      <c r="AS2214" s="20"/>
    </row>
    <row r="2215" spans="45:45" ht="14.4">
      <c r="AS2215" s="20"/>
    </row>
    <row r="2216" spans="45:45" ht="14.4">
      <c r="AS2216" s="20"/>
    </row>
    <row r="2217" spans="45:45" ht="14.4">
      <c r="AS2217" s="20"/>
    </row>
    <row r="2218" spans="45:45" ht="14.4">
      <c r="AS2218" s="20"/>
    </row>
    <row r="2219" spans="45:45" ht="14.4">
      <c r="AS2219" s="20"/>
    </row>
    <row r="2220" spans="45:45" ht="14.4">
      <c r="AS2220" s="20"/>
    </row>
    <row r="2221" spans="45:45" ht="14.4">
      <c r="AS2221" s="20"/>
    </row>
    <row r="2222" spans="45:45" ht="14.4">
      <c r="AS2222" s="20"/>
    </row>
    <row r="2223" spans="45:45" ht="14.4">
      <c r="AS2223" s="20"/>
    </row>
    <row r="2224" spans="45:45" ht="14.4">
      <c r="AS2224" s="20"/>
    </row>
    <row r="2225" spans="45:45" ht="14.4">
      <c r="AS2225" s="20"/>
    </row>
    <row r="2226" spans="45:45" ht="14.4">
      <c r="AS2226" s="20"/>
    </row>
    <row r="2227" spans="45:45" ht="14.4">
      <c r="AS2227" s="20"/>
    </row>
    <row r="2228" spans="45:45" ht="14.4">
      <c r="AS2228" s="20"/>
    </row>
    <row r="2229" spans="45:45" ht="14.4">
      <c r="AS2229" s="20"/>
    </row>
    <row r="2230" spans="45:45" ht="14.4">
      <c r="AS2230" s="20"/>
    </row>
    <row r="2231" spans="45:45" ht="14.4">
      <c r="AS2231" s="20"/>
    </row>
    <row r="2232" spans="45:45" ht="14.4">
      <c r="AS2232" s="20"/>
    </row>
    <row r="2233" spans="45:45" ht="14.4">
      <c r="AS2233" s="20"/>
    </row>
    <row r="2234" spans="45:45" ht="14.4">
      <c r="AS2234" s="20"/>
    </row>
    <row r="2235" spans="45:45" ht="14.4">
      <c r="AS2235" s="20"/>
    </row>
    <row r="2236" spans="45:45" ht="14.4">
      <c r="AS2236" s="20"/>
    </row>
    <row r="2237" spans="45:45" ht="14.4">
      <c r="AS2237" s="20"/>
    </row>
    <row r="2238" spans="45:45" ht="14.4">
      <c r="AS2238" s="20"/>
    </row>
    <row r="2239" spans="45:45" ht="14.4">
      <c r="AS2239" s="20"/>
    </row>
    <row r="2240" spans="45:45" ht="14.4">
      <c r="AS2240" s="20"/>
    </row>
    <row r="2241" spans="45:45" ht="14.4">
      <c r="AS2241" s="20"/>
    </row>
    <row r="2242" spans="45:45" ht="14.4">
      <c r="AS2242" s="20"/>
    </row>
    <row r="2243" spans="45:45" ht="14.4">
      <c r="AS2243" s="20"/>
    </row>
    <row r="2244" spans="45:45" ht="14.4">
      <c r="AS2244" s="20"/>
    </row>
    <row r="2245" spans="45:45" ht="14.4">
      <c r="AS2245" s="20"/>
    </row>
    <row r="2246" spans="45:45" ht="14.4">
      <c r="AS2246" s="20"/>
    </row>
    <row r="2247" spans="45:45" ht="14.4">
      <c r="AS2247" s="20"/>
    </row>
    <row r="2248" spans="45:45" ht="14.4">
      <c r="AS2248" s="20"/>
    </row>
    <row r="2249" spans="45:45" ht="14.4">
      <c r="AS2249" s="20"/>
    </row>
    <row r="2250" spans="45:45" ht="14.4">
      <c r="AS2250" s="20"/>
    </row>
    <row r="2251" spans="45:45" ht="14.4">
      <c r="AS2251" s="20"/>
    </row>
    <row r="2252" spans="45:45" ht="14.4">
      <c r="AS2252" s="20"/>
    </row>
    <row r="2253" spans="45:45" ht="14.4">
      <c r="AS2253" s="20"/>
    </row>
    <row r="2254" spans="45:45" ht="14.4">
      <c r="AS2254" s="20"/>
    </row>
    <row r="2255" spans="45:45" ht="14.4">
      <c r="AS2255" s="20"/>
    </row>
    <row r="2256" spans="45:45" ht="14.4">
      <c r="AS2256" s="20"/>
    </row>
    <row r="2257" spans="45:45" ht="14.4">
      <c r="AS2257" s="20"/>
    </row>
    <row r="2258" spans="45:45" ht="14.4">
      <c r="AS2258" s="20"/>
    </row>
    <row r="2259" spans="45:45" ht="14.4">
      <c r="AS2259" s="20"/>
    </row>
    <row r="2260" spans="45:45" ht="14.4">
      <c r="AS2260" s="20"/>
    </row>
    <row r="2261" spans="45:45" ht="14.4">
      <c r="AS2261" s="20"/>
    </row>
    <row r="2262" spans="45:45" ht="14.4">
      <c r="AS2262" s="20"/>
    </row>
    <row r="2263" spans="45:45" ht="14.4">
      <c r="AS2263" s="20"/>
    </row>
    <row r="2264" spans="45:45" ht="14.4">
      <c r="AS2264" s="20"/>
    </row>
    <row r="2265" spans="45:45" ht="14.4">
      <c r="AS2265" s="20"/>
    </row>
    <row r="2266" spans="45:45" ht="14.4">
      <c r="AS2266" s="20"/>
    </row>
    <row r="2267" spans="45:45" ht="14.4">
      <c r="AS2267" s="20"/>
    </row>
    <row r="2268" spans="45:45" ht="14.4">
      <c r="AS2268" s="20"/>
    </row>
    <row r="2269" spans="45:45" ht="14.4">
      <c r="AS2269" s="20"/>
    </row>
    <row r="2270" spans="45:45" ht="14.4">
      <c r="AS2270" s="20"/>
    </row>
    <row r="2271" spans="45:45" ht="14.4">
      <c r="AS2271" s="20"/>
    </row>
    <row r="2272" spans="45:45" ht="14.4">
      <c r="AS2272" s="20"/>
    </row>
    <row r="2273" spans="45:45" ht="14.4">
      <c r="AS2273" s="20"/>
    </row>
    <row r="2274" spans="45:45" ht="14.4">
      <c r="AS2274" s="20"/>
    </row>
    <row r="2275" spans="45:45" ht="14.4">
      <c r="AS2275" s="20"/>
    </row>
    <row r="2276" spans="45:45" ht="14.4">
      <c r="AS2276" s="20"/>
    </row>
    <row r="2277" spans="45:45" ht="14.4">
      <c r="AS2277" s="20"/>
    </row>
    <row r="2278" spans="45:45" ht="14.4">
      <c r="AS2278" s="20"/>
    </row>
    <row r="2279" spans="45:45" ht="14.4">
      <c r="AS2279" s="20"/>
    </row>
    <row r="2280" spans="45:45" ht="14.4">
      <c r="AS2280" s="20"/>
    </row>
    <row r="2281" spans="45:45" ht="14.4">
      <c r="AS2281" s="20"/>
    </row>
    <row r="2282" spans="45:45" ht="14.4">
      <c r="AS2282" s="20"/>
    </row>
    <row r="2283" spans="45:45" ht="14.4">
      <c r="AS2283" s="20"/>
    </row>
    <row r="2284" spans="45:45" ht="14.4">
      <c r="AS2284" s="20"/>
    </row>
    <row r="2285" spans="45:45" ht="14.4">
      <c r="AS2285" s="20"/>
    </row>
    <row r="2286" spans="45:45" ht="14.4">
      <c r="AS2286" s="20"/>
    </row>
    <row r="2287" spans="45:45" ht="14.4">
      <c r="AS2287" s="20"/>
    </row>
    <row r="2288" spans="45:45" ht="14.4">
      <c r="AS2288" s="20"/>
    </row>
    <row r="2289" spans="45:45" ht="14.4">
      <c r="AS2289" s="20"/>
    </row>
    <row r="2290" spans="45:45" ht="14.4">
      <c r="AS2290" s="20"/>
    </row>
    <row r="2291" spans="45:45" ht="14.4">
      <c r="AS2291" s="20"/>
    </row>
    <row r="2292" spans="45:45" ht="14.4">
      <c r="AS2292" s="20"/>
    </row>
    <row r="2293" spans="45:45" ht="14.4">
      <c r="AS2293" s="20"/>
    </row>
    <row r="2294" spans="45:45" ht="14.4">
      <c r="AS2294" s="20"/>
    </row>
    <row r="2295" spans="45:45" ht="14.4">
      <c r="AS2295" s="20"/>
    </row>
    <row r="2296" spans="45:45" ht="14.4">
      <c r="AS2296" s="20"/>
    </row>
    <row r="2297" spans="45:45" ht="14.4">
      <c r="AS2297" s="20"/>
    </row>
    <row r="2298" spans="45:45" ht="14.4">
      <c r="AS2298" s="20"/>
    </row>
    <row r="2299" spans="45:45" ht="14.4">
      <c r="AS2299" s="20"/>
    </row>
    <row r="2300" spans="45:45" ht="14.4">
      <c r="AS2300" s="20"/>
    </row>
    <row r="2301" spans="45:45" ht="14.4">
      <c r="AS2301" s="20"/>
    </row>
    <row r="2302" spans="45:45" ht="14.4">
      <c r="AS2302" s="20"/>
    </row>
    <row r="2303" spans="45:45" ht="14.4">
      <c r="AS2303" s="20"/>
    </row>
    <row r="2304" spans="45:45" ht="14.4">
      <c r="AS2304" s="20"/>
    </row>
    <row r="2305" spans="45:45" ht="14.4">
      <c r="AS2305" s="20"/>
    </row>
    <row r="2306" spans="45:45" ht="14.4">
      <c r="AS2306" s="20"/>
    </row>
    <row r="2307" spans="45:45" ht="14.4">
      <c r="AS2307" s="20"/>
    </row>
    <row r="2308" spans="45:45" ht="14.4">
      <c r="AS2308" s="20"/>
    </row>
    <row r="2309" spans="45:45" ht="14.4">
      <c r="AS2309" s="20"/>
    </row>
    <row r="2310" spans="45:45" ht="14.4">
      <c r="AS2310" s="20"/>
    </row>
    <row r="2311" spans="45:45" ht="14.4">
      <c r="AS2311" s="20"/>
    </row>
    <row r="2312" spans="45:45" ht="14.4">
      <c r="AS2312" s="20"/>
    </row>
    <row r="2313" spans="45:45" ht="14.4">
      <c r="AS2313" s="20"/>
    </row>
    <row r="2314" spans="45:45" ht="14.4">
      <c r="AS2314" s="20"/>
    </row>
    <row r="2315" spans="45:45" ht="14.4">
      <c r="AS2315" s="20"/>
    </row>
    <row r="2316" spans="45:45" ht="14.4">
      <c r="AS2316" s="20"/>
    </row>
    <row r="2317" spans="45:45" ht="14.4">
      <c r="AS2317" s="20"/>
    </row>
    <row r="2318" spans="45:45" ht="14.4">
      <c r="AS2318" s="20"/>
    </row>
    <row r="2319" spans="45:45" ht="14.4">
      <c r="AS2319" s="20"/>
    </row>
    <row r="2320" spans="45:45" ht="14.4">
      <c r="AS2320" s="20"/>
    </row>
    <row r="2321" spans="45:45" ht="14.4">
      <c r="AS2321" s="20"/>
    </row>
    <row r="2322" spans="45:45" ht="14.4">
      <c r="AS2322" s="20"/>
    </row>
    <row r="2323" spans="45:45" ht="14.4">
      <c r="AS2323" s="20"/>
    </row>
    <row r="2324" spans="45:45" ht="14.4">
      <c r="AS2324" s="20"/>
    </row>
    <row r="2325" spans="45:45" ht="14.4">
      <c r="AS2325" s="20"/>
    </row>
    <row r="2326" spans="45:45" ht="14.4">
      <c r="AS2326" s="20"/>
    </row>
    <row r="2327" spans="45:45" ht="14.4">
      <c r="AS2327" s="20"/>
    </row>
    <row r="2328" spans="45:45" ht="14.4">
      <c r="AS2328" s="20"/>
    </row>
    <row r="2329" spans="45:45" ht="14.4">
      <c r="AS2329" s="20"/>
    </row>
    <row r="2330" spans="45:45" ht="14.4">
      <c r="AS2330" s="20"/>
    </row>
    <row r="2331" spans="45:45" ht="14.4">
      <c r="AS2331" s="20"/>
    </row>
    <row r="2332" spans="45:45" ht="14.4">
      <c r="AS2332" s="20"/>
    </row>
    <row r="2333" spans="45:45" ht="14.4">
      <c r="AS2333" s="20"/>
    </row>
    <row r="2334" spans="45:45" ht="14.4">
      <c r="AS2334" s="20"/>
    </row>
    <row r="2335" spans="45:45" ht="14.4">
      <c r="AS2335" s="20"/>
    </row>
    <row r="2336" spans="45:45" ht="14.4">
      <c r="AS2336" s="20"/>
    </row>
    <row r="2337" spans="45:45" ht="14.4">
      <c r="AS2337" s="20"/>
    </row>
    <row r="2338" spans="45:45" ht="14.4">
      <c r="AS2338" s="20"/>
    </row>
    <row r="2339" spans="45:45" ht="14.4">
      <c r="AS2339" s="20"/>
    </row>
    <row r="2340" spans="45:45" ht="14.4">
      <c r="AS2340" s="20"/>
    </row>
    <row r="2341" spans="45:45" ht="14.4">
      <c r="AS2341" s="20"/>
    </row>
    <row r="2342" spans="45:45" ht="14.4">
      <c r="AS2342" s="20"/>
    </row>
    <row r="2343" spans="45:45" ht="14.4">
      <c r="AS2343" s="20"/>
    </row>
    <row r="2344" spans="45:45" ht="14.4">
      <c r="AS2344" s="20"/>
    </row>
    <row r="2345" spans="45:45" ht="14.4">
      <c r="AS2345" s="20"/>
    </row>
    <row r="2346" spans="45:45" ht="14.4">
      <c r="AS2346" s="20"/>
    </row>
    <row r="2347" spans="45:45" ht="14.4">
      <c r="AS2347" s="20"/>
    </row>
    <row r="2348" spans="45:45" ht="14.4">
      <c r="AS2348" s="20"/>
    </row>
    <row r="2349" spans="45:45" ht="14.4">
      <c r="AS2349" s="20"/>
    </row>
    <row r="2350" spans="45:45" ht="14.4">
      <c r="AS2350" s="20"/>
    </row>
    <row r="2351" spans="45:45" ht="14.4">
      <c r="AS2351" s="20"/>
    </row>
    <row r="2352" spans="45:45" ht="14.4">
      <c r="AS2352" s="20"/>
    </row>
    <row r="2353" spans="45:45" ht="14.4">
      <c r="AS2353" s="20"/>
    </row>
    <row r="2354" spans="45:45" ht="14.4">
      <c r="AS2354" s="20"/>
    </row>
    <row r="2355" spans="45:45" ht="14.4">
      <c r="AS2355" s="20"/>
    </row>
    <row r="2356" spans="45:45" ht="14.4">
      <c r="AS2356" s="20"/>
    </row>
    <row r="2357" spans="45:45" ht="14.4">
      <c r="AS2357" s="20"/>
    </row>
    <row r="2358" spans="45:45" ht="14.4">
      <c r="AS2358" s="20"/>
    </row>
    <row r="2359" spans="45:45" ht="14.4">
      <c r="AS2359" s="20"/>
    </row>
    <row r="2360" spans="45:45" ht="14.4">
      <c r="AS2360" s="20"/>
    </row>
    <row r="2361" spans="45:45" ht="14.4">
      <c r="AS2361" s="20"/>
    </row>
    <row r="2362" spans="45:45" ht="14.4">
      <c r="AS2362" s="20"/>
    </row>
    <row r="2363" spans="45:45" ht="14.4">
      <c r="AS2363" s="20"/>
    </row>
    <row r="2364" spans="45:45" ht="14.4">
      <c r="AS2364" s="20"/>
    </row>
    <row r="2365" spans="45:45" ht="14.4">
      <c r="AS2365" s="20"/>
    </row>
    <row r="2366" spans="45:45" ht="14.4">
      <c r="AS2366" s="20"/>
    </row>
    <row r="2367" spans="45:45" ht="14.4">
      <c r="AS2367" s="20"/>
    </row>
    <row r="2368" spans="45:45" ht="14.4">
      <c r="AS2368" s="20"/>
    </row>
    <row r="2369" spans="45:45" ht="14.4">
      <c r="AS2369" s="20"/>
    </row>
    <row r="2370" spans="45:45" ht="14.4">
      <c r="AS2370" s="20"/>
    </row>
    <row r="2371" spans="45:45" ht="14.4">
      <c r="AS2371" s="20"/>
    </row>
    <row r="2372" spans="45:45" ht="14.4">
      <c r="AS2372" s="20"/>
    </row>
    <row r="2373" spans="45:45" ht="14.4">
      <c r="AS2373" s="20"/>
    </row>
    <row r="2374" spans="45:45" ht="14.4">
      <c r="AS2374" s="20"/>
    </row>
    <row r="2375" spans="45:45" ht="14.4">
      <c r="AS2375" s="20"/>
    </row>
    <row r="2376" spans="45:45" ht="14.4">
      <c r="AS2376" s="20"/>
    </row>
    <row r="2377" spans="45:45" ht="14.4">
      <c r="AS2377" s="20"/>
    </row>
    <row r="2378" spans="45:45" ht="14.4">
      <c r="AS2378" s="20"/>
    </row>
    <row r="2379" spans="45:45" ht="14.4">
      <c r="AS2379" s="20"/>
    </row>
    <row r="2380" spans="45:45" ht="14.4">
      <c r="AS2380" s="20"/>
    </row>
    <row r="2381" spans="45:45" ht="14.4">
      <c r="AS2381" s="20"/>
    </row>
    <row r="2382" spans="45:45" ht="14.4">
      <c r="AS2382" s="20"/>
    </row>
    <row r="2383" spans="45:45" ht="14.4">
      <c r="AS2383" s="20"/>
    </row>
    <row r="2384" spans="45:45" ht="14.4">
      <c r="AS2384" s="20"/>
    </row>
    <row r="2385" spans="45:45" ht="14.4">
      <c r="AS2385" s="20"/>
    </row>
    <row r="2386" spans="45:45" ht="14.4">
      <c r="AS2386" s="20"/>
    </row>
    <row r="2387" spans="45:45" ht="14.4">
      <c r="AS2387" s="20"/>
    </row>
    <row r="2388" spans="45:45" ht="14.4">
      <c r="AS2388" s="20"/>
    </row>
    <row r="2389" spans="45:45" ht="14.4">
      <c r="AS2389" s="20"/>
    </row>
    <row r="2390" spans="45:45" ht="14.4">
      <c r="AS2390" s="20"/>
    </row>
    <row r="2391" spans="45:45" ht="14.4">
      <c r="AS2391" s="20"/>
    </row>
    <row r="2392" spans="45:45" ht="14.4">
      <c r="AS2392" s="20"/>
    </row>
    <row r="2393" spans="45:45" ht="14.4">
      <c r="AS2393" s="20"/>
    </row>
    <row r="2394" spans="45:45" ht="14.4">
      <c r="AS2394" s="20"/>
    </row>
    <row r="2395" spans="45:45" ht="14.4">
      <c r="AS2395" s="20"/>
    </row>
    <row r="2396" spans="45:45" ht="14.4">
      <c r="AS2396" s="20"/>
    </row>
    <row r="2397" spans="45:45" ht="14.4">
      <c r="AS2397" s="20"/>
    </row>
    <row r="2398" spans="45:45" ht="14.4">
      <c r="AS2398" s="20"/>
    </row>
    <row r="2399" spans="45:45" ht="14.4">
      <c r="AS2399" s="20"/>
    </row>
    <row r="2400" spans="45:45" ht="14.4">
      <c r="AS2400" s="20"/>
    </row>
    <row r="2401" spans="45:45" ht="14.4">
      <c r="AS2401" s="20"/>
    </row>
    <row r="2402" spans="45:45" ht="14.4">
      <c r="AS2402" s="20"/>
    </row>
    <row r="2403" spans="45:45" ht="14.4">
      <c r="AS2403" s="20"/>
    </row>
    <row r="2404" spans="45:45" ht="14.4">
      <c r="AS2404" s="20"/>
    </row>
    <row r="2405" spans="45:45" ht="14.4">
      <c r="AS2405" s="20"/>
    </row>
    <row r="2406" spans="45:45" ht="14.4">
      <c r="AS2406" s="20"/>
    </row>
    <row r="2407" spans="45:45" ht="14.4">
      <c r="AS2407" s="20"/>
    </row>
    <row r="2408" spans="45:45" ht="14.4">
      <c r="AS2408" s="20"/>
    </row>
    <row r="2409" spans="45:45" ht="14.4">
      <c r="AS2409" s="20"/>
    </row>
    <row r="2410" spans="45:45" ht="14.4">
      <c r="AS2410" s="20"/>
    </row>
    <row r="2411" spans="45:45" ht="14.4">
      <c r="AS2411" s="20"/>
    </row>
    <row r="2412" spans="45:45" ht="14.4">
      <c r="AS2412" s="20"/>
    </row>
    <row r="2413" spans="45:45" ht="14.4">
      <c r="AS2413" s="20"/>
    </row>
    <row r="2414" spans="45:45" ht="14.4">
      <c r="AS2414" s="20"/>
    </row>
    <row r="2415" spans="45:45" ht="14.4">
      <c r="AS2415" s="20"/>
    </row>
    <row r="2416" spans="45:45" ht="14.4">
      <c r="AS2416" s="20"/>
    </row>
    <row r="2417" spans="45:45" ht="14.4">
      <c r="AS2417" s="20"/>
    </row>
    <row r="2418" spans="45:45" ht="14.4">
      <c r="AS2418" s="20"/>
    </row>
    <row r="2419" spans="45:45" ht="14.4">
      <c r="AS2419" s="20"/>
    </row>
    <row r="2420" spans="45:45" ht="14.4">
      <c r="AS2420" s="20"/>
    </row>
    <row r="2421" spans="45:45" ht="14.4">
      <c r="AS2421" s="20"/>
    </row>
    <row r="2422" spans="45:45" ht="14.4">
      <c r="AS2422" s="20"/>
    </row>
    <row r="2423" spans="45:45" ht="14.4">
      <c r="AS2423" s="20"/>
    </row>
    <row r="2424" spans="45:45" ht="14.4">
      <c r="AS2424" s="20"/>
    </row>
    <row r="2425" spans="45:45" ht="14.4">
      <c r="AS2425" s="20"/>
    </row>
    <row r="2426" spans="45:45" ht="14.4">
      <c r="AS2426" s="20"/>
    </row>
    <row r="2427" spans="45:45" ht="14.4">
      <c r="AS2427" s="20"/>
    </row>
    <row r="2428" spans="45:45" ht="14.4">
      <c r="AS2428" s="20"/>
    </row>
    <row r="2429" spans="45:45" ht="14.4">
      <c r="AS2429" s="20"/>
    </row>
    <row r="2430" spans="45:45" ht="14.4">
      <c r="AS2430" s="20"/>
    </row>
    <row r="2431" spans="45:45" ht="14.4">
      <c r="AS2431" s="20"/>
    </row>
    <row r="2432" spans="45:45" ht="14.4">
      <c r="AS2432" s="20"/>
    </row>
    <row r="2433" spans="45:45" ht="14.4">
      <c r="AS2433" s="20"/>
    </row>
    <row r="2434" spans="45:45" ht="14.4">
      <c r="AS2434" s="20"/>
    </row>
    <row r="2435" spans="45:45" ht="14.4">
      <c r="AS2435" s="20"/>
    </row>
    <row r="2436" spans="45:45" ht="14.4">
      <c r="AS2436" s="20"/>
    </row>
    <row r="2437" spans="45:45" ht="14.4">
      <c r="AS2437" s="20"/>
    </row>
    <row r="2438" spans="45:45" ht="14.4">
      <c r="AS2438" s="20"/>
    </row>
    <row r="2439" spans="45:45" ht="14.4">
      <c r="AS2439" s="20"/>
    </row>
    <row r="2440" spans="45:45" ht="14.4">
      <c r="AS2440" s="20"/>
    </row>
    <row r="2441" spans="45:45" ht="14.4">
      <c r="AS2441" s="20"/>
    </row>
    <row r="2442" spans="45:45" ht="14.4">
      <c r="AS2442" s="20"/>
    </row>
    <row r="2443" spans="45:45" ht="14.4">
      <c r="AS2443" s="20"/>
    </row>
    <row r="2444" spans="45:45" ht="14.4">
      <c r="AS2444" s="20"/>
    </row>
    <row r="2445" spans="45:45" ht="14.4">
      <c r="AS2445" s="20"/>
    </row>
    <row r="2446" spans="45:45" ht="14.4">
      <c r="AS2446" s="20"/>
    </row>
    <row r="2447" spans="45:45" ht="14.4">
      <c r="AS2447" s="20"/>
    </row>
    <row r="2448" spans="45:45" ht="14.4">
      <c r="AS2448" s="20"/>
    </row>
    <row r="2449" spans="45:45" ht="14.4">
      <c r="AS2449" s="20"/>
    </row>
    <row r="2450" spans="45:45" ht="14.4">
      <c r="AS2450" s="20"/>
    </row>
    <row r="2451" spans="45:45" ht="14.4">
      <c r="AS2451" s="20"/>
    </row>
    <row r="2452" spans="45:45" ht="14.4">
      <c r="AS2452" s="20"/>
    </row>
    <row r="2453" spans="45:45" ht="14.4">
      <c r="AS2453" s="20"/>
    </row>
    <row r="2454" spans="45:45" ht="14.4">
      <c r="AS2454" s="20"/>
    </row>
    <row r="2455" spans="45:45" ht="14.4">
      <c r="AS2455" s="20"/>
    </row>
    <row r="2456" spans="45:45" ht="14.4">
      <c r="AS2456" s="20"/>
    </row>
    <row r="2457" spans="45:45" ht="14.4">
      <c r="AS2457" s="20"/>
    </row>
    <row r="2458" spans="45:45" ht="14.4">
      <c r="AS2458" s="20"/>
    </row>
    <row r="2459" spans="45:45" ht="14.4">
      <c r="AS2459" s="20"/>
    </row>
    <row r="2460" spans="45:45" ht="14.4">
      <c r="AS2460" s="20"/>
    </row>
    <row r="2461" spans="45:45" ht="14.4">
      <c r="AS2461" s="20"/>
    </row>
    <row r="2462" spans="45:45" ht="14.4">
      <c r="AS2462" s="20"/>
    </row>
    <row r="2463" spans="45:45" ht="14.4">
      <c r="AS2463" s="20"/>
    </row>
    <row r="2464" spans="45:45" ht="14.4">
      <c r="AS2464" s="20"/>
    </row>
    <row r="2465" spans="45:45" ht="14.4">
      <c r="AS2465" s="20"/>
    </row>
    <row r="2466" spans="45:45" ht="14.4">
      <c r="AS2466" s="20"/>
    </row>
    <row r="2467" spans="45:45" ht="14.4">
      <c r="AS2467" s="20"/>
    </row>
    <row r="2468" spans="45:45" ht="14.4">
      <c r="AS2468" s="20"/>
    </row>
    <row r="2469" spans="45:45" ht="14.4">
      <c r="AS2469" s="20"/>
    </row>
    <row r="2470" spans="45:45" ht="14.4">
      <c r="AS2470" s="20"/>
    </row>
    <row r="2471" spans="45:45" ht="14.4">
      <c r="AS2471" s="20"/>
    </row>
    <row r="2472" spans="45:45" ht="14.4">
      <c r="AS2472" s="20"/>
    </row>
    <row r="2473" spans="45:45" ht="14.4">
      <c r="AS2473" s="20"/>
    </row>
    <row r="2474" spans="45:45" ht="14.4">
      <c r="AS2474" s="20"/>
    </row>
    <row r="2475" spans="45:45" ht="14.4">
      <c r="AS2475" s="20"/>
    </row>
    <row r="2476" spans="45:45" ht="14.4">
      <c r="AS2476" s="20"/>
    </row>
    <row r="2477" spans="45:45" ht="14.4">
      <c r="AS2477" s="20"/>
    </row>
    <row r="2478" spans="45:45" ht="14.4">
      <c r="AS2478" s="20"/>
    </row>
    <row r="2479" spans="45:45" ht="14.4">
      <c r="AS2479" s="20"/>
    </row>
    <row r="2480" spans="45:45" ht="14.4">
      <c r="AS2480" s="20"/>
    </row>
    <row r="2481" spans="45:45" ht="14.4">
      <c r="AS2481" s="20"/>
    </row>
    <row r="2482" spans="45:45" ht="14.4">
      <c r="AS2482" s="20"/>
    </row>
    <row r="2483" spans="45:45" ht="14.4">
      <c r="AS2483" s="20"/>
    </row>
    <row r="2484" spans="45:45" ht="14.4">
      <c r="AS2484" s="20"/>
    </row>
    <row r="2485" spans="45:45" ht="14.4">
      <c r="AS2485" s="20"/>
    </row>
    <row r="2486" spans="45:45" ht="14.4">
      <c r="AS2486" s="20"/>
    </row>
    <row r="2487" spans="45:45" ht="14.4">
      <c r="AS2487" s="20"/>
    </row>
    <row r="2488" spans="45:45" ht="14.4">
      <c r="AS2488" s="20"/>
    </row>
    <row r="2489" spans="45:45" ht="14.4">
      <c r="AS2489" s="20"/>
    </row>
    <row r="2490" spans="45:45" ht="14.4">
      <c r="AS2490" s="20"/>
    </row>
    <row r="2491" spans="45:45" ht="14.4">
      <c r="AS2491" s="20"/>
    </row>
    <row r="2492" spans="45:45" ht="14.4">
      <c r="AS2492" s="20"/>
    </row>
    <row r="2493" spans="45:45" ht="14.4">
      <c r="AS2493" s="20"/>
    </row>
    <row r="2494" spans="45:45" ht="14.4">
      <c r="AS2494" s="20"/>
    </row>
    <row r="2495" spans="45:45" ht="14.4">
      <c r="AS2495" s="20"/>
    </row>
    <row r="2496" spans="45:45" ht="14.4">
      <c r="AS2496" s="20"/>
    </row>
    <row r="2497" spans="45:45" ht="14.4">
      <c r="AS2497" s="20"/>
    </row>
    <row r="2498" spans="45:45" ht="14.4">
      <c r="AS2498" s="20"/>
    </row>
    <row r="2499" spans="45:45" ht="14.4">
      <c r="AS2499" s="20"/>
    </row>
    <row r="2500" spans="45:45" ht="14.4">
      <c r="AS2500" s="20"/>
    </row>
    <row r="2501" spans="45:45" ht="14.4">
      <c r="AS2501" s="20"/>
    </row>
    <row r="2502" spans="45:45" ht="14.4">
      <c r="AS2502" s="20"/>
    </row>
    <row r="2503" spans="45:45" ht="14.4">
      <c r="AS2503" s="20"/>
    </row>
    <row r="2504" spans="45:45" ht="14.4">
      <c r="AS2504" s="20"/>
    </row>
    <row r="2505" spans="45:45" ht="14.4">
      <c r="AS2505" s="20"/>
    </row>
    <row r="2506" spans="45:45" ht="14.4">
      <c r="AS2506" s="20"/>
    </row>
    <row r="2507" spans="45:45" ht="14.4">
      <c r="AS2507" s="20"/>
    </row>
    <row r="2508" spans="45:45" ht="14.4">
      <c r="AS2508" s="20"/>
    </row>
    <row r="2509" spans="45:45" ht="14.4">
      <c r="AS2509" s="20"/>
    </row>
    <row r="2510" spans="45:45" ht="14.4">
      <c r="AS2510" s="20"/>
    </row>
    <row r="2511" spans="45:45" ht="14.4">
      <c r="AS2511" s="20"/>
    </row>
    <row r="2512" spans="45:45" ht="14.4">
      <c r="AS2512" s="20"/>
    </row>
    <row r="2513" spans="45:45" ht="14.4">
      <c r="AS2513" s="20"/>
    </row>
    <row r="2514" spans="45:45" ht="14.4">
      <c r="AS2514" s="20"/>
    </row>
    <row r="2515" spans="45:45" ht="14.4">
      <c r="AS2515" s="20"/>
    </row>
    <row r="2516" spans="45:45" ht="14.4">
      <c r="AS2516" s="20"/>
    </row>
    <row r="2517" spans="45:45" ht="14.4">
      <c r="AS2517" s="20"/>
    </row>
    <row r="2518" spans="45:45" ht="14.4">
      <c r="AS2518" s="20"/>
    </row>
    <row r="2519" spans="45:45" ht="14.4">
      <c r="AS2519" s="20"/>
    </row>
    <row r="2520" spans="45:45" ht="14.4">
      <c r="AS2520" s="20"/>
    </row>
    <row r="2521" spans="45:45" ht="14.4">
      <c r="AS2521" s="20"/>
    </row>
    <row r="2522" spans="45:45" ht="14.4">
      <c r="AS2522" s="20"/>
    </row>
    <row r="2523" spans="45:45" ht="14.4">
      <c r="AS2523" s="20"/>
    </row>
    <row r="2524" spans="45:45" ht="14.4">
      <c r="AS2524" s="20"/>
    </row>
    <row r="2525" spans="45:45" ht="14.4">
      <c r="AS2525" s="20"/>
    </row>
    <row r="2526" spans="45:45" ht="14.4">
      <c r="AS2526" s="20"/>
    </row>
    <row r="2527" spans="45:45" ht="14.4">
      <c r="AS2527" s="20"/>
    </row>
    <row r="2528" spans="45:45" ht="14.4">
      <c r="AS2528" s="20"/>
    </row>
    <row r="2529" spans="45:45" ht="14.4">
      <c r="AS2529" s="20"/>
    </row>
    <row r="2530" spans="45:45" ht="14.4">
      <c r="AS2530" s="20"/>
    </row>
    <row r="2531" spans="45:45" ht="14.4">
      <c r="AS2531" s="20"/>
    </row>
    <row r="2532" spans="45:45" ht="14.4">
      <c r="AS2532" s="20"/>
    </row>
    <row r="2533" spans="45:45" ht="14.4">
      <c r="AS2533" s="20"/>
    </row>
    <row r="2534" spans="45:45" ht="14.4">
      <c r="AS2534" s="20"/>
    </row>
    <row r="2535" spans="45:45" ht="14.4">
      <c r="AS2535" s="20"/>
    </row>
    <row r="2536" spans="45:45" ht="14.4">
      <c r="AS2536" s="20"/>
    </row>
    <row r="2537" spans="45:45" ht="14.4">
      <c r="AS2537" s="20"/>
    </row>
    <row r="2538" spans="45:45" ht="14.4">
      <c r="AS2538" s="20"/>
    </row>
    <row r="2539" spans="45:45" ht="14.4">
      <c r="AS2539" s="20"/>
    </row>
    <row r="2540" spans="45:45" ht="14.4">
      <c r="AS2540" s="20"/>
    </row>
    <row r="2541" spans="45:45" ht="14.4">
      <c r="AS2541" s="20"/>
    </row>
    <row r="2542" spans="45:45" ht="14.4">
      <c r="AS2542" s="20"/>
    </row>
    <row r="2543" spans="45:45" ht="14.4">
      <c r="AS2543" s="20"/>
    </row>
    <row r="2544" spans="45:45" ht="14.4">
      <c r="AS2544" s="20"/>
    </row>
    <row r="2545" spans="45:45" ht="14.4">
      <c r="AS2545" s="20"/>
    </row>
    <row r="2546" spans="45:45" ht="14.4">
      <c r="AS2546" s="20"/>
    </row>
    <row r="2547" spans="45:45" ht="14.4">
      <c r="AS2547" s="20"/>
    </row>
    <row r="2548" spans="45:45" ht="14.4">
      <c r="AS2548" s="20"/>
    </row>
    <row r="2549" spans="45:45" ht="14.4">
      <c r="AS2549" s="20"/>
    </row>
    <row r="2550" spans="45:45" ht="14.4">
      <c r="AS2550" s="20"/>
    </row>
    <row r="2551" spans="45:45" ht="14.4">
      <c r="AS2551" s="20"/>
    </row>
    <row r="2552" spans="45:45" ht="14.4">
      <c r="AS2552" s="20"/>
    </row>
    <row r="2553" spans="45:45" ht="14.4">
      <c r="AS2553" s="20"/>
    </row>
    <row r="2554" spans="45:45" ht="14.4">
      <c r="AS2554" s="20"/>
    </row>
    <row r="2555" spans="45:45" ht="14.4">
      <c r="AS2555" s="20"/>
    </row>
    <row r="2556" spans="45:45" ht="14.4">
      <c r="AS2556" s="20"/>
    </row>
    <row r="2557" spans="45:45" ht="14.4">
      <c r="AS2557" s="20"/>
    </row>
    <row r="2558" spans="45:45" ht="14.4">
      <c r="AS2558" s="20"/>
    </row>
    <row r="2559" spans="45:45" ht="14.4">
      <c r="AS2559" s="20"/>
    </row>
    <row r="2560" spans="45:45" ht="14.4">
      <c r="AS2560" s="20"/>
    </row>
    <row r="2561" spans="45:45" ht="14.4">
      <c r="AS2561" s="20"/>
    </row>
    <row r="2562" spans="45:45" ht="14.4">
      <c r="AS2562" s="20"/>
    </row>
    <row r="2563" spans="45:45" ht="14.4">
      <c r="AS2563" s="20"/>
    </row>
    <row r="2564" spans="45:45" ht="14.4">
      <c r="AS2564" s="20"/>
    </row>
    <row r="2565" spans="45:45" ht="14.4">
      <c r="AS2565" s="20"/>
    </row>
    <row r="2566" spans="45:45" ht="14.4">
      <c r="AS2566" s="20"/>
    </row>
    <row r="2567" spans="45:45" ht="14.4">
      <c r="AS2567" s="20"/>
    </row>
    <row r="2568" spans="45:45" ht="14.4">
      <c r="AS2568" s="20"/>
    </row>
    <row r="2569" spans="45:45" ht="14.4">
      <c r="AS2569" s="20"/>
    </row>
    <row r="2570" spans="45:45" ht="14.4">
      <c r="AS2570" s="20"/>
    </row>
    <row r="2571" spans="45:45" ht="14.4">
      <c r="AS2571" s="20"/>
    </row>
    <row r="2572" spans="45:45" ht="14.4">
      <c r="AS2572" s="20"/>
    </row>
    <row r="2573" spans="45:45" ht="14.4">
      <c r="AS2573" s="20"/>
    </row>
    <row r="2574" spans="45:45" ht="14.4">
      <c r="AS2574" s="20"/>
    </row>
    <row r="2575" spans="45:45" ht="14.4">
      <c r="AS2575" s="20"/>
    </row>
    <row r="2576" spans="45:45" ht="14.4">
      <c r="AS2576" s="20"/>
    </row>
    <row r="2577" spans="45:45" ht="14.4">
      <c r="AS2577" s="20"/>
    </row>
    <row r="2578" spans="45:45" ht="14.4">
      <c r="AS2578" s="20"/>
    </row>
    <row r="2579" spans="45:45" ht="14.4">
      <c r="AS2579" s="20"/>
    </row>
    <row r="2580" spans="45:45" ht="14.4">
      <c r="AS2580" s="20"/>
    </row>
    <row r="2581" spans="45:45" ht="14.4">
      <c r="AS2581" s="20"/>
    </row>
    <row r="2582" spans="45:45" ht="14.4">
      <c r="AS2582" s="20"/>
    </row>
    <row r="2583" spans="45:45" ht="14.4">
      <c r="AS2583" s="20"/>
    </row>
    <row r="2584" spans="45:45" ht="14.4">
      <c r="AS2584" s="20"/>
    </row>
    <row r="2585" spans="45:45" ht="14.4">
      <c r="AS2585" s="20"/>
    </row>
    <row r="2586" spans="45:45" ht="14.4">
      <c r="AS2586" s="20"/>
    </row>
    <row r="2587" spans="45:45" ht="14.4">
      <c r="AS2587" s="20"/>
    </row>
    <row r="2588" spans="45:45" ht="14.4">
      <c r="AS2588" s="20"/>
    </row>
    <row r="2589" spans="45:45" ht="14.4">
      <c r="AS2589" s="20"/>
    </row>
    <row r="2590" spans="45:45" ht="14.4">
      <c r="AS2590" s="20"/>
    </row>
    <row r="2591" spans="45:45" ht="14.4">
      <c r="AS2591" s="20"/>
    </row>
    <row r="2592" spans="45:45" ht="14.4">
      <c r="AS2592" s="20"/>
    </row>
    <row r="2593" spans="45:45" ht="14.4">
      <c r="AS2593" s="20"/>
    </row>
    <row r="2594" spans="45:45" ht="14.4">
      <c r="AS2594" s="20"/>
    </row>
    <row r="2595" spans="45:45" ht="14.4">
      <c r="AS2595" s="20"/>
    </row>
    <row r="2596" spans="45:45" ht="14.4">
      <c r="AS2596" s="20"/>
    </row>
    <row r="2597" spans="45:45" ht="14.4">
      <c r="AS2597" s="20"/>
    </row>
    <row r="2598" spans="45:45" ht="14.4">
      <c r="AS2598" s="20"/>
    </row>
    <row r="2599" spans="45:45" ht="14.4">
      <c r="AS2599" s="20"/>
    </row>
    <row r="2600" spans="45:45" ht="14.4">
      <c r="AS2600" s="20"/>
    </row>
    <row r="2601" spans="45:45" ht="14.4">
      <c r="AS2601" s="20"/>
    </row>
    <row r="2602" spans="45:45" ht="14.4">
      <c r="AS2602" s="20"/>
    </row>
    <row r="2603" spans="45:45" ht="14.4">
      <c r="AS2603" s="20"/>
    </row>
    <row r="2604" spans="45:45" ht="14.4">
      <c r="AS2604" s="20"/>
    </row>
    <row r="2605" spans="45:45" ht="14.4">
      <c r="AS2605" s="20"/>
    </row>
    <row r="2606" spans="45:45" ht="14.4">
      <c r="AS2606" s="20"/>
    </row>
    <row r="2607" spans="45:45" ht="14.4">
      <c r="AS2607" s="20"/>
    </row>
    <row r="2608" spans="45:45" ht="14.4">
      <c r="AS2608" s="20"/>
    </row>
    <row r="2609" spans="45:45" ht="14.4">
      <c r="AS2609" s="20"/>
    </row>
    <row r="2610" spans="45:45" ht="14.4">
      <c r="AS2610" s="20"/>
    </row>
    <row r="2611" spans="45:45" ht="14.4">
      <c r="AS2611" s="20"/>
    </row>
    <row r="2612" spans="45:45" ht="14.4">
      <c r="AS2612" s="20"/>
    </row>
    <row r="2613" spans="45:45" ht="14.4">
      <c r="AS2613" s="20"/>
    </row>
    <row r="2614" spans="45:45" ht="14.4">
      <c r="AS2614" s="20"/>
    </row>
    <row r="2615" spans="45:45" ht="14.4">
      <c r="AS2615" s="20"/>
    </row>
    <row r="2616" spans="45:45" ht="14.4">
      <c r="AS2616" s="20"/>
    </row>
    <row r="2617" spans="45:45" ht="14.4">
      <c r="AS2617" s="20"/>
    </row>
    <row r="2618" spans="45:45" ht="14.4">
      <c r="AS2618" s="20"/>
    </row>
    <row r="2619" spans="45:45" ht="14.4">
      <c r="AS2619" s="20"/>
    </row>
    <row r="2620" spans="45:45" ht="14.4">
      <c r="AS2620" s="20"/>
    </row>
    <row r="2621" spans="45:45" ht="14.4">
      <c r="AS2621" s="20"/>
    </row>
    <row r="2622" spans="45:45" ht="14.4">
      <c r="AS2622" s="20"/>
    </row>
    <row r="2623" spans="45:45" ht="14.4">
      <c r="AS2623" s="20"/>
    </row>
    <row r="2624" spans="45:45" ht="14.4">
      <c r="AS2624" s="20"/>
    </row>
    <row r="2625" spans="45:45" ht="14.4">
      <c r="AS2625" s="20"/>
    </row>
    <row r="2626" spans="45:45" ht="14.4">
      <c r="AS2626" s="20"/>
    </row>
    <row r="2627" spans="45:45" ht="14.4">
      <c r="AS2627" s="20"/>
    </row>
    <row r="2628" spans="45:45" ht="14.4">
      <c r="AS2628" s="20"/>
    </row>
    <row r="2629" spans="45:45" ht="14.4">
      <c r="AS2629" s="20"/>
    </row>
    <row r="2630" spans="45:45" ht="14.4">
      <c r="AS2630" s="20"/>
    </row>
    <row r="2631" spans="45:45" ht="14.4">
      <c r="AS2631" s="20"/>
    </row>
    <row r="2632" spans="45:45" ht="14.4">
      <c r="AS2632" s="20"/>
    </row>
    <row r="2633" spans="45:45" ht="14.4">
      <c r="AS2633" s="20"/>
    </row>
    <row r="2634" spans="45:45" ht="14.4">
      <c r="AS2634" s="20"/>
    </row>
    <row r="2635" spans="45:45" ht="14.4">
      <c r="AS2635" s="20"/>
    </row>
    <row r="2636" spans="45:45" ht="14.4">
      <c r="AS2636" s="20"/>
    </row>
    <row r="2637" spans="45:45" ht="14.4">
      <c r="AS2637" s="20"/>
    </row>
    <row r="2638" spans="45:45" ht="14.4">
      <c r="AS2638" s="20"/>
    </row>
    <row r="2639" spans="45:45" ht="14.4">
      <c r="AS2639" s="20"/>
    </row>
    <row r="2640" spans="45:45" ht="14.4">
      <c r="AS2640" s="20"/>
    </row>
    <row r="2641" spans="45:45" ht="14.4">
      <c r="AS2641" s="20"/>
    </row>
    <row r="2642" spans="45:45" ht="14.4">
      <c r="AS2642" s="20"/>
    </row>
    <row r="2643" spans="45:45" ht="14.4">
      <c r="AS2643" s="20"/>
    </row>
    <row r="2644" spans="45:45" ht="14.4">
      <c r="AS2644" s="20"/>
    </row>
    <row r="2645" spans="45:45" ht="14.4">
      <c r="AS2645" s="20"/>
    </row>
    <row r="2646" spans="45:45" ht="14.4">
      <c r="AS2646" s="20"/>
    </row>
    <row r="2647" spans="45:45" ht="14.4">
      <c r="AS2647" s="20"/>
    </row>
    <row r="2648" spans="45:45" ht="14.4">
      <c r="AS2648" s="20"/>
    </row>
    <row r="2649" spans="45:45" ht="14.4">
      <c r="AS2649" s="20"/>
    </row>
    <row r="2650" spans="45:45" ht="14.4">
      <c r="AS2650" s="20"/>
    </row>
    <row r="2651" spans="45:45" ht="14.4">
      <c r="AS2651" s="20"/>
    </row>
    <row r="2652" spans="45:45" ht="14.4">
      <c r="AS2652" s="20"/>
    </row>
    <row r="2653" spans="45:45" ht="14.4">
      <c r="AS2653" s="20"/>
    </row>
    <row r="2654" spans="45:45" ht="14.4">
      <c r="AS2654" s="20"/>
    </row>
    <row r="2655" spans="45:45" ht="14.4">
      <c r="AS2655" s="20"/>
    </row>
    <row r="2656" spans="45:45" ht="14.4">
      <c r="AS2656" s="20"/>
    </row>
    <row r="2657" spans="45:45" ht="14.4">
      <c r="AS2657" s="20"/>
    </row>
    <row r="2658" spans="45:45" ht="14.4">
      <c r="AS2658" s="20"/>
    </row>
    <row r="2659" spans="45:45" ht="14.4">
      <c r="AS2659" s="20"/>
    </row>
    <row r="2660" spans="45:45" ht="14.4">
      <c r="AS2660" s="20"/>
    </row>
    <row r="2661" spans="45:45" ht="14.4">
      <c r="AS2661" s="20"/>
    </row>
    <row r="2662" spans="45:45" ht="14.4">
      <c r="AS2662" s="20"/>
    </row>
    <row r="2663" spans="45:45" ht="14.4">
      <c r="AS2663" s="20"/>
    </row>
    <row r="2664" spans="45:45" ht="14.4">
      <c r="AS2664" s="20"/>
    </row>
    <row r="2665" spans="45:45" ht="14.4">
      <c r="AS2665" s="20"/>
    </row>
    <row r="2666" spans="45:45" ht="14.4">
      <c r="AS2666" s="20"/>
    </row>
    <row r="2667" spans="45:45" ht="14.4">
      <c r="AS2667" s="20"/>
    </row>
    <row r="2668" spans="45:45" ht="14.4">
      <c r="AS2668" s="20"/>
    </row>
    <row r="2669" spans="45:45" ht="14.4">
      <c r="AS2669" s="20"/>
    </row>
    <row r="2670" spans="45:45" ht="14.4">
      <c r="AS2670" s="20"/>
    </row>
    <row r="2671" spans="45:45" ht="14.4">
      <c r="AS2671" s="20"/>
    </row>
    <row r="2672" spans="45:45" ht="14.4">
      <c r="AS2672" s="20"/>
    </row>
    <row r="2673" spans="45:45" ht="14.4">
      <c r="AS2673" s="20"/>
    </row>
    <row r="2674" spans="45:45" ht="14.4">
      <c r="AS2674" s="20"/>
    </row>
    <row r="2675" spans="45:45" ht="14.4">
      <c r="AS2675" s="20"/>
    </row>
    <row r="2676" spans="45:45" ht="14.4">
      <c r="AS2676" s="20"/>
    </row>
    <row r="2677" spans="45:45" ht="14.4">
      <c r="AS2677" s="20"/>
    </row>
    <row r="2678" spans="45:45" ht="14.4">
      <c r="AS2678" s="20"/>
    </row>
    <row r="2679" spans="45:45" ht="14.4">
      <c r="AS2679" s="20"/>
    </row>
    <row r="2680" spans="45:45" ht="14.4">
      <c r="AS2680" s="20"/>
    </row>
    <row r="2681" spans="45:45" ht="14.4">
      <c r="AS2681" s="20"/>
    </row>
    <row r="2682" spans="45:45" ht="14.4">
      <c r="AS2682" s="20"/>
    </row>
    <row r="2683" spans="45:45" ht="14.4">
      <c r="AS2683" s="20"/>
    </row>
    <row r="2684" spans="45:45" ht="14.4">
      <c r="AS2684" s="20"/>
    </row>
    <row r="2685" spans="45:45" ht="14.4">
      <c r="AS2685" s="20"/>
    </row>
    <row r="2686" spans="45:45" ht="14.4">
      <c r="AS2686" s="20"/>
    </row>
    <row r="2687" spans="45:45" ht="14.4">
      <c r="AS2687" s="20"/>
    </row>
    <row r="2688" spans="45:45" ht="14.4">
      <c r="AS2688" s="20"/>
    </row>
    <row r="2689" spans="45:45" ht="14.4">
      <c r="AS2689" s="20"/>
    </row>
    <row r="2690" spans="45:45" ht="14.4">
      <c r="AS2690" s="20"/>
    </row>
    <row r="2691" spans="45:45" ht="14.4">
      <c r="AS2691" s="20"/>
    </row>
    <row r="2692" spans="45:45" ht="14.4">
      <c r="AS2692" s="20"/>
    </row>
    <row r="2693" spans="45:45" ht="14.4">
      <c r="AS2693" s="20"/>
    </row>
    <row r="2694" spans="45:45" ht="14.4">
      <c r="AS2694" s="20"/>
    </row>
    <row r="2695" spans="45:45" ht="14.4">
      <c r="AS2695" s="20"/>
    </row>
    <row r="2696" spans="45:45" ht="14.4">
      <c r="AS2696" s="20"/>
    </row>
    <row r="2697" spans="45:45" ht="14.4">
      <c r="AS2697" s="20"/>
    </row>
    <row r="2698" spans="45:45" ht="14.4">
      <c r="AS2698" s="20"/>
    </row>
    <row r="2699" spans="45:45" ht="14.4">
      <c r="AS2699" s="20"/>
    </row>
    <row r="2700" spans="45:45" ht="14.4">
      <c r="AS2700" s="20"/>
    </row>
    <row r="2701" spans="45:45" ht="14.4">
      <c r="AS2701" s="20"/>
    </row>
    <row r="2702" spans="45:45" ht="14.4">
      <c r="AS2702" s="20"/>
    </row>
    <row r="2703" spans="45:45" ht="14.4">
      <c r="AS2703" s="20"/>
    </row>
    <row r="2704" spans="45:45" ht="14.4">
      <c r="AS2704" s="20"/>
    </row>
    <row r="2705" spans="45:45" ht="14.4">
      <c r="AS2705" s="20"/>
    </row>
    <row r="2706" spans="45:45" ht="14.4">
      <c r="AS2706" s="20"/>
    </row>
    <row r="2707" spans="45:45" ht="14.4">
      <c r="AS2707" s="20"/>
    </row>
    <row r="2708" spans="45:45" ht="14.4">
      <c r="AS2708" s="20"/>
    </row>
    <row r="2709" spans="45:45" ht="14.4">
      <c r="AS2709" s="20"/>
    </row>
    <row r="2710" spans="45:45" ht="14.4">
      <c r="AS2710" s="20"/>
    </row>
    <row r="2711" spans="45:45" ht="14.4">
      <c r="AS2711" s="20"/>
    </row>
    <row r="2712" spans="45:45" ht="14.4">
      <c r="AS2712" s="20"/>
    </row>
    <row r="2713" spans="45:45" ht="14.4">
      <c r="AS2713" s="20"/>
    </row>
    <row r="2714" spans="45:45" ht="14.4">
      <c r="AS2714" s="20"/>
    </row>
    <row r="2715" spans="45:45" ht="14.4">
      <c r="AS2715" s="20"/>
    </row>
    <row r="2716" spans="45:45" ht="14.4">
      <c r="AS2716" s="20"/>
    </row>
    <row r="2717" spans="45:45" ht="14.4">
      <c r="AS2717" s="20"/>
    </row>
    <row r="2718" spans="45:45" ht="14.4">
      <c r="AS2718" s="20"/>
    </row>
    <row r="2719" spans="45:45" ht="14.4">
      <c r="AS2719" s="20"/>
    </row>
    <row r="2720" spans="45:45" ht="14.4">
      <c r="AS2720" s="20"/>
    </row>
    <row r="2721" spans="45:45" ht="14.4">
      <c r="AS2721" s="20"/>
    </row>
    <row r="2722" spans="45:45" ht="14.4">
      <c r="AS2722" s="20"/>
    </row>
    <row r="2723" spans="45:45" ht="14.4">
      <c r="AS2723" s="20"/>
    </row>
    <row r="2724" spans="45:45" ht="14.4">
      <c r="AS2724" s="20"/>
    </row>
    <row r="2725" spans="45:45" ht="14.4">
      <c r="AS2725" s="20"/>
    </row>
    <row r="2726" spans="45:45" ht="14.4">
      <c r="AS2726" s="20"/>
    </row>
    <row r="2727" spans="45:45" ht="14.4">
      <c r="AS2727" s="20"/>
    </row>
    <row r="2728" spans="45:45" ht="14.4">
      <c r="AS2728" s="20"/>
    </row>
    <row r="2729" spans="45:45" ht="14.4">
      <c r="AS2729" s="20"/>
    </row>
    <row r="2730" spans="45:45" ht="14.4">
      <c r="AS2730" s="20"/>
    </row>
    <row r="2731" spans="45:45" ht="14.4">
      <c r="AS2731" s="20"/>
    </row>
    <row r="2732" spans="45:45" ht="14.4">
      <c r="AS2732" s="20"/>
    </row>
    <row r="2733" spans="45:45" ht="14.4">
      <c r="AS2733" s="20"/>
    </row>
    <row r="2734" spans="45:45" ht="14.4">
      <c r="AS2734" s="20"/>
    </row>
    <row r="2735" spans="45:45" ht="14.4">
      <c r="AS2735" s="20"/>
    </row>
    <row r="2736" spans="45:45" ht="14.4">
      <c r="AS2736" s="20"/>
    </row>
    <row r="2737" spans="45:45" ht="14.4">
      <c r="AS2737" s="20"/>
    </row>
    <row r="2738" spans="45:45" ht="14.4">
      <c r="AS2738" s="20"/>
    </row>
    <row r="2739" spans="45:45" ht="14.4">
      <c r="AS2739" s="20"/>
    </row>
    <row r="2740" spans="45:45" ht="14.4">
      <c r="AS2740" s="20"/>
    </row>
    <row r="2741" spans="45:45" ht="14.4">
      <c r="AS2741" s="20"/>
    </row>
    <row r="2742" spans="45:45" ht="14.4">
      <c r="AS2742" s="20"/>
    </row>
    <row r="2743" spans="45:45" ht="14.4">
      <c r="AS2743" s="20"/>
    </row>
    <row r="2744" spans="45:45" ht="14.4">
      <c r="AS2744" s="20"/>
    </row>
    <row r="2745" spans="45:45" ht="14.4">
      <c r="AS2745" s="20"/>
    </row>
    <row r="2746" spans="45:45" ht="14.4">
      <c r="AS2746" s="20"/>
    </row>
    <row r="2747" spans="45:45" ht="14.4">
      <c r="AS2747" s="20"/>
    </row>
    <row r="2748" spans="45:45" ht="14.4">
      <c r="AS2748" s="20"/>
    </row>
    <row r="2749" spans="45:45" ht="14.4">
      <c r="AS2749" s="20"/>
    </row>
    <row r="2750" spans="45:45" ht="14.4">
      <c r="AS2750" s="20"/>
    </row>
    <row r="2751" spans="45:45" ht="14.4">
      <c r="AS2751" s="20"/>
    </row>
    <row r="2752" spans="45:45" ht="14.4">
      <c r="AS2752" s="20"/>
    </row>
    <row r="2753" spans="45:45" ht="14.4">
      <c r="AS2753" s="20"/>
    </row>
    <row r="2754" spans="45:45" ht="14.4">
      <c r="AS2754" s="20"/>
    </row>
    <row r="2755" spans="45:45" ht="14.4">
      <c r="AS2755" s="20"/>
    </row>
    <row r="2756" spans="45:45" ht="14.4">
      <c r="AS2756" s="20"/>
    </row>
    <row r="2757" spans="45:45" ht="14.4">
      <c r="AS2757" s="20"/>
    </row>
    <row r="2758" spans="45:45" ht="14.4">
      <c r="AS2758" s="20"/>
    </row>
    <row r="2759" spans="45:45" ht="14.4">
      <c r="AS2759" s="20"/>
    </row>
    <row r="2760" spans="45:45" ht="14.4">
      <c r="AS2760" s="20"/>
    </row>
    <row r="2761" spans="45:45" ht="14.4">
      <c r="AS2761" s="20"/>
    </row>
    <row r="2762" spans="45:45" ht="14.4">
      <c r="AS2762" s="20"/>
    </row>
    <row r="2763" spans="45:45" ht="14.4">
      <c r="AS2763" s="20"/>
    </row>
    <row r="2764" spans="45:45" ht="14.4">
      <c r="AS2764" s="20"/>
    </row>
    <row r="2765" spans="45:45" ht="14.4">
      <c r="AS2765" s="20"/>
    </row>
    <row r="2766" spans="45:45" ht="14.4">
      <c r="AS2766" s="20"/>
    </row>
    <row r="2767" spans="45:45" ht="14.4">
      <c r="AS2767" s="20"/>
    </row>
    <row r="2768" spans="45:45" ht="14.4">
      <c r="AS2768" s="20"/>
    </row>
    <row r="2769" spans="45:45" ht="14.4">
      <c r="AS2769" s="20"/>
    </row>
    <row r="2770" spans="45:45" ht="14.4">
      <c r="AS2770" s="20"/>
    </row>
    <row r="2771" spans="45:45" ht="14.4">
      <c r="AS2771" s="20"/>
    </row>
    <row r="2772" spans="45:45" ht="14.4">
      <c r="AS2772" s="20"/>
    </row>
    <row r="2773" spans="45:45" ht="14.4">
      <c r="AS2773" s="20"/>
    </row>
    <row r="2774" spans="45:45" ht="14.4">
      <c r="AS2774" s="20"/>
    </row>
    <row r="2775" spans="45:45" ht="14.4">
      <c r="AS2775" s="20"/>
    </row>
    <row r="2776" spans="45:45" ht="14.4">
      <c r="AS2776" s="20"/>
    </row>
    <row r="2777" spans="45:45" ht="14.4">
      <c r="AS2777" s="20"/>
    </row>
    <row r="2778" spans="45:45" ht="14.4">
      <c r="AS2778" s="20"/>
    </row>
    <row r="2779" spans="45:45" ht="14.4">
      <c r="AS2779" s="20"/>
    </row>
    <row r="2780" spans="45:45" ht="14.4">
      <c r="AS2780" s="20"/>
    </row>
    <row r="2781" spans="45:45" ht="14.4">
      <c r="AS2781" s="20"/>
    </row>
    <row r="2782" spans="45:45" ht="14.4">
      <c r="AS2782" s="20"/>
    </row>
    <row r="2783" spans="45:45" ht="14.4">
      <c r="AS2783" s="20"/>
    </row>
    <row r="2784" spans="45:45" ht="14.4">
      <c r="AS2784" s="20"/>
    </row>
    <row r="2785" spans="45:45" ht="14.4">
      <c r="AS2785" s="20"/>
    </row>
    <row r="2786" spans="45:45" ht="14.4">
      <c r="AS2786" s="20"/>
    </row>
    <row r="2787" spans="45:45" ht="14.4">
      <c r="AS2787" s="20"/>
    </row>
    <row r="2788" spans="45:45" ht="14.4">
      <c r="AS2788" s="20"/>
    </row>
    <row r="2789" spans="45:45" ht="14.4">
      <c r="AS2789" s="20"/>
    </row>
    <row r="2790" spans="45:45" ht="14.4">
      <c r="AS2790" s="20"/>
    </row>
    <row r="2791" spans="45:45" ht="14.4">
      <c r="AS2791" s="20"/>
    </row>
    <row r="2792" spans="45:45" ht="14.4">
      <c r="AS2792" s="20"/>
    </row>
    <row r="2793" spans="45:45" ht="14.4">
      <c r="AS2793" s="20"/>
    </row>
    <row r="2794" spans="45:45" ht="14.4">
      <c r="AS2794" s="20"/>
    </row>
    <row r="2795" spans="45:45" ht="14.4">
      <c r="AS2795" s="20"/>
    </row>
    <row r="2796" spans="45:45" ht="14.4">
      <c r="AS2796" s="20"/>
    </row>
    <row r="2797" spans="45:45" ht="14.4">
      <c r="AS2797" s="20"/>
    </row>
    <row r="2798" spans="45:45" ht="14.4">
      <c r="AS2798" s="20"/>
    </row>
    <row r="2799" spans="45:45" ht="14.4">
      <c r="AS2799" s="20"/>
    </row>
    <row r="2800" spans="45:45" ht="14.4">
      <c r="AS2800" s="20"/>
    </row>
    <row r="2801" spans="45:45" ht="14.4">
      <c r="AS2801" s="20"/>
    </row>
    <row r="2802" spans="45:45" ht="14.4">
      <c r="AS2802" s="20"/>
    </row>
    <row r="2803" spans="45:45" ht="14.4">
      <c r="AS2803" s="20"/>
    </row>
    <row r="2804" spans="45:45" ht="14.4">
      <c r="AS2804" s="20"/>
    </row>
    <row r="2805" spans="45:45" ht="14.4">
      <c r="AS2805" s="20"/>
    </row>
    <row r="2806" spans="45:45" ht="14.4">
      <c r="AS2806" s="20"/>
    </row>
    <row r="2807" spans="45:45" ht="14.4">
      <c r="AS2807" s="20"/>
    </row>
    <row r="2808" spans="45:45" ht="14.4">
      <c r="AS2808" s="20"/>
    </row>
    <row r="2809" spans="45:45" ht="14.4">
      <c r="AS2809" s="20"/>
    </row>
    <row r="2810" spans="45:45" ht="14.4">
      <c r="AS2810" s="20"/>
    </row>
    <row r="2811" spans="45:45" ht="14.4">
      <c r="AS2811" s="20"/>
    </row>
    <row r="2812" spans="45:45" ht="14.4">
      <c r="AS2812" s="20"/>
    </row>
    <row r="2813" spans="45:45" ht="14.4">
      <c r="AS2813" s="20"/>
    </row>
    <row r="2814" spans="45:45" ht="14.4">
      <c r="AS2814" s="20"/>
    </row>
    <row r="2815" spans="45:45" ht="14.4">
      <c r="AS2815" s="20"/>
    </row>
    <row r="2816" spans="45:45" ht="14.4">
      <c r="AS2816" s="20"/>
    </row>
    <row r="2817" spans="45:45" ht="14.4">
      <c r="AS2817" s="20"/>
    </row>
    <row r="2818" spans="45:45" ht="14.4">
      <c r="AS2818" s="20"/>
    </row>
    <row r="2819" spans="45:45" ht="14.4">
      <c r="AS2819" s="20"/>
    </row>
    <row r="2820" spans="45:45" ht="14.4">
      <c r="AS2820" s="20"/>
    </row>
    <row r="2821" spans="45:45" ht="14.4">
      <c r="AS2821" s="20"/>
    </row>
    <row r="2822" spans="45:45" ht="14.4">
      <c r="AS2822" s="20"/>
    </row>
    <row r="2823" spans="45:45" ht="14.4">
      <c r="AS2823" s="20"/>
    </row>
    <row r="2824" spans="45:45" ht="14.4">
      <c r="AS2824" s="20"/>
    </row>
    <row r="2825" spans="45:45" ht="14.4">
      <c r="AS2825" s="20"/>
    </row>
    <row r="2826" spans="45:45" ht="14.4">
      <c r="AS2826" s="20"/>
    </row>
    <row r="2827" spans="45:45" ht="14.4">
      <c r="AS2827" s="20"/>
    </row>
    <row r="2828" spans="45:45" ht="14.4">
      <c r="AS2828" s="20"/>
    </row>
    <row r="2829" spans="45:45" ht="14.4">
      <c r="AS2829" s="20"/>
    </row>
    <row r="2830" spans="45:45" ht="14.4">
      <c r="AS2830" s="20"/>
    </row>
    <row r="2831" spans="45:45" ht="14.4">
      <c r="AS2831" s="20"/>
    </row>
    <row r="2832" spans="45:45" ht="14.4">
      <c r="AS2832" s="20"/>
    </row>
    <row r="2833" spans="45:45" ht="14.4">
      <c r="AS2833" s="20"/>
    </row>
    <row r="2834" spans="45:45" ht="14.4">
      <c r="AS2834" s="20"/>
    </row>
    <row r="2835" spans="45:45" ht="14.4">
      <c r="AS2835" s="20"/>
    </row>
    <row r="2836" spans="45:45" ht="14.4">
      <c r="AS2836" s="20"/>
    </row>
    <row r="2837" spans="45:45" ht="14.4">
      <c r="AS2837" s="20"/>
    </row>
    <row r="2838" spans="45:45" ht="14.4">
      <c r="AS2838" s="20"/>
    </row>
    <row r="2839" spans="45:45" ht="14.4">
      <c r="AS2839" s="20"/>
    </row>
    <row r="2840" spans="45:45" ht="14.4">
      <c r="AS2840" s="20"/>
    </row>
    <row r="2841" spans="45:45" ht="14.4">
      <c r="AS2841" s="20"/>
    </row>
    <row r="2842" spans="45:45" ht="14.4">
      <c r="AS2842" s="20"/>
    </row>
    <row r="2843" spans="45:45" ht="14.4">
      <c r="AS2843" s="20"/>
    </row>
    <row r="2844" spans="45:45" ht="14.4">
      <c r="AS2844" s="20"/>
    </row>
    <row r="2845" spans="45:45" ht="14.4">
      <c r="AS2845" s="20"/>
    </row>
    <row r="2846" spans="45:45" ht="14.4">
      <c r="AS2846" s="20"/>
    </row>
    <row r="2847" spans="45:45" ht="14.4">
      <c r="AS2847" s="20"/>
    </row>
    <row r="2848" spans="45:45" ht="14.4">
      <c r="AS2848" s="20"/>
    </row>
    <row r="2849" spans="45:45" ht="14.4">
      <c r="AS2849" s="20"/>
    </row>
    <row r="2850" spans="45:45" ht="14.4">
      <c r="AS2850" s="20"/>
    </row>
    <row r="2851" spans="45:45" ht="14.4">
      <c r="AS2851" s="20"/>
    </row>
    <row r="2852" spans="45:45" ht="14.4">
      <c r="AS2852" s="20"/>
    </row>
    <row r="2853" spans="45:45" ht="14.4">
      <c r="AS2853" s="20"/>
    </row>
    <row r="2854" spans="45:45" ht="14.4">
      <c r="AS2854" s="20"/>
    </row>
    <row r="2855" spans="45:45" ht="14.4">
      <c r="AS2855" s="20"/>
    </row>
    <row r="2856" spans="45:45" ht="14.4">
      <c r="AS2856" s="20"/>
    </row>
    <row r="2857" spans="45:45" ht="14.4">
      <c r="AS2857" s="20"/>
    </row>
    <row r="2858" spans="45:45" ht="14.4">
      <c r="AS2858" s="20"/>
    </row>
    <row r="2859" spans="45:45" ht="14.4">
      <c r="AS2859" s="20"/>
    </row>
    <row r="2860" spans="45:45" ht="14.4">
      <c r="AS2860" s="20"/>
    </row>
    <row r="2861" spans="45:45" ht="14.4">
      <c r="AS2861" s="20"/>
    </row>
    <row r="2862" spans="45:45" ht="14.4">
      <c r="AS2862" s="20"/>
    </row>
    <row r="2863" spans="45:45" ht="14.4">
      <c r="AS2863" s="20"/>
    </row>
    <row r="2864" spans="45:45" ht="14.4">
      <c r="AS2864" s="20"/>
    </row>
    <row r="2865" spans="45:45" ht="14.4">
      <c r="AS2865" s="20"/>
    </row>
    <row r="2866" spans="45:45" ht="14.4">
      <c r="AS2866" s="20"/>
    </row>
    <row r="2867" spans="45:45" ht="14.4">
      <c r="AS2867" s="20"/>
    </row>
    <row r="2868" spans="45:45" ht="14.4">
      <c r="AS2868" s="20"/>
    </row>
    <row r="2869" spans="45:45" ht="14.4">
      <c r="AS2869" s="20"/>
    </row>
    <row r="2870" spans="45:45" ht="14.4">
      <c r="AS2870" s="20"/>
    </row>
    <row r="2871" spans="45:45" ht="14.4">
      <c r="AS2871" s="20"/>
    </row>
    <row r="2872" spans="45:45" ht="14.4">
      <c r="AS2872" s="20"/>
    </row>
    <row r="2873" spans="45:45" ht="14.4">
      <c r="AS2873" s="20"/>
    </row>
    <row r="2874" spans="45:45" ht="14.4">
      <c r="AS2874" s="20"/>
    </row>
    <row r="2875" spans="45:45" ht="14.4">
      <c r="AS2875" s="20"/>
    </row>
    <row r="2876" spans="45:45" ht="14.4">
      <c r="AS2876" s="20"/>
    </row>
    <row r="2877" spans="45:45" ht="14.4">
      <c r="AS2877" s="20"/>
    </row>
    <row r="2878" spans="45:45" ht="14.4">
      <c r="AS2878" s="20"/>
    </row>
    <row r="2879" spans="45:45" ht="14.4">
      <c r="AS2879" s="20"/>
    </row>
    <row r="2880" spans="45:45" ht="14.4">
      <c r="AS2880" s="20"/>
    </row>
    <row r="2881" spans="45:45" ht="14.4">
      <c r="AS2881" s="20"/>
    </row>
    <row r="2882" spans="45:45" ht="14.4">
      <c r="AS2882" s="20"/>
    </row>
    <row r="2883" spans="45:45" ht="14.4">
      <c r="AS2883" s="20"/>
    </row>
    <row r="2884" spans="45:45" ht="14.4">
      <c r="AS2884" s="20"/>
    </row>
    <row r="2885" spans="45:45" ht="14.4">
      <c r="AS2885" s="20"/>
    </row>
    <row r="2886" spans="45:45" ht="14.4">
      <c r="AS2886" s="20"/>
    </row>
    <row r="2887" spans="45:45" ht="14.4">
      <c r="AS2887" s="20"/>
    </row>
    <row r="2888" spans="45:45" ht="14.4">
      <c r="AS2888" s="20"/>
    </row>
    <row r="2889" spans="45:45" ht="14.4">
      <c r="AS2889" s="20"/>
    </row>
    <row r="2890" spans="45:45" ht="14.4">
      <c r="AS2890" s="20"/>
    </row>
    <row r="2891" spans="45:45" ht="14.4">
      <c r="AS2891" s="20"/>
    </row>
    <row r="2892" spans="45:45" ht="14.4">
      <c r="AS2892" s="20"/>
    </row>
    <row r="2893" spans="45:45" ht="14.4">
      <c r="AS2893" s="20"/>
    </row>
    <row r="2894" spans="45:45" ht="14.4">
      <c r="AS2894" s="20"/>
    </row>
    <row r="2895" spans="45:45" ht="14.4">
      <c r="AS2895" s="20"/>
    </row>
    <row r="2896" spans="45:45" ht="14.4">
      <c r="AS2896" s="20"/>
    </row>
    <row r="2897" spans="45:45" ht="14.4">
      <c r="AS2897" s="20"/>
    </row>
    <row r="2898" spans="45:45" ht="14.4">
      <c r="AS2898" s="20"/>
    </row>
    <row r="2899" spans="45:45" ht="14.4">
      <c r="AS2899" s="20"/>
    </row>
    <row r="2900" spans="45:45" ht="14.4">
      <c r="AS2900" s="20"/>
    </row>
    <row r="2901" spans="45:45" ht="14.4">
      <c r="AS2901" s="20"/>
    </row>
    <row r="2902" spans="45:45" ht="14.4">
      <c r="AS2902" s="20"/>
    </row>
    <row r="2903" spans="45:45" ht="14.4">
      <c r="AS2903" s="20"/>
    </row>
    <row r="2904" spans="45:45" ht="14.4">
      <c r="AS2904" s="20"/>
    </row>
    <row r="2905" spans="45:45" ht="14.4">
      <c r="AS2905" s="20"/>
    </row>
    <row r="2906" spans="45:45" ht="14.4">
      <c r="AS2906" s="20"/>
    </row>
    <row r="2907" spans="45:45" ht="14.4">
      <c r="AS2907" s="20"/>
    </row>
    <row r="2908" spans="45:45" ht="14.4">
      <c r="AS2908" s="20"/>
    </row>
    <row r="2909" spans="45:45" ht="14.4">
      <c r="AS2909" s="20"/>
    </row>
    <row r="2910" spans="45:45" ht="14.4">
      <c r="AS2910" s="20"/>
    </row>
    <row r="2911" spans="45:45" ht="14.4">
      <c r="AS2911" s="20"/>
    </row>
    <row r="2912" spans="45:45" ht="14.4">
      <c r="AS2912" s="20"/>
    </row>
    <row r="2913" spans="45:45" ht="14.4">
      <c r="AS2913" s="20"/>
    </row>
    <row r="2914" spans="45:45" ht="14.4">
      <c r="AS2914" s="20"/>
    </row>
    <row r="2915" spans="45:45" ht="14.4">
      <c r="AS2915" s="20"/>
    </row>
    <row r="2916" spans="45:45" ht="14.4">
      <c r="AS2916" s="20"/>
    </row>
    <row r="2917" spans="45:45" ht="14.4">
      <c r="AS2917" s="20"/>
    </row>
    <row r="2918" spans="45:45" ht="14.4">
      <c r="AS2918" s="20"/>
    </row>
    <row r="2919" spans="45:45" ht="14.4">
      <c r="AS2919" s="20"/>
    </row>
    <row r="2920" spans="45:45" ht="14.4">
      <c r="AS2920" s="20"/>
    </row>
    <row r="2921" spans="45:45" ht="14.4">
      <c r="AS2921" s="20"/>
    </row>
    <row r="2922" spans="45:45" ht="14.4">
      <c r="AS2922" s="20"/>
    </row>
    <row r="2923" spans="45:45" ht="14.4">
      <c r="AS2923" s="20"/>
    </row>
    <row r="2924" spans="45:45" ht="14.4">
      <c r="AS2924" s="20"/>
    </row>
    <row r="2925" spans="45:45" ht="14.4">
      <c r="AS2925" s="20"/>
    </row>
    <row r="2926" spans="45:45" ht="14.4">
      <c r="AS2926" s="20"/>
    </row>
    <row r="2927" spans="45:45" ht="14.4">
      <c r="AS2927" s="20"/>
    </row>
    <row r="2928" spans="45:45" ht="14.4">
      <c r="AS2928" s="20"/>
    </row>
    <row r="2929" spans="45:45" ht="14.4">
      <c r="AS2929" s="20"/>
    </row>
    <row r="2930" spans="45:45" ht="14.4">
      <c r="AS2930" s="20"/>
    </row>
    <row r="2931" spans="45:45" ht="14.4">
      <c r="AS2931" s="20"/>
    </row>
    <row r="2932" spans="45:45" ht="14.4">
      <c r="AS2932" s="20"/>
    </row>
    <row r="2933" spans="45:45" ht="14.4">
      <c r="AS2933" s="20"/>
    </row>
    <row r="2934" spans="45:45" ht="14.4">
      <c r="AS2934" s="20"/>
    </row>
    <row r="2935" spans="45:45" ht="14.4">
      <c r="AS2935" s="20"/>
    </row>
    <row r="2936" spans="45:45" ht="14.4">
      <c r="AS2936" s="20"/>
    </row>
    <row r="2937" spans="45:45" ht="14.4">
      <c r="AS2937" s="20"/>
    </row>
    <row r="2938" spans="45:45" ht="14.4">
      <c r="AS2938" s="20"/>
    </row>
    <row r="2939" spans="45:45" ht="14.4">
      <c r="AS2939" s="20"/>
    </row>
    <row r="2940" spans="45:45" ht="14.4">
      <c r="AS2940" s="20"/>
    </row>
    <row r="2941" spans="45:45" ht="14.4">
      <c r="AS2941" s="20"/>
    </row>
    <row r="2942" spans="45:45" ht="14.4">
      <c r="AS2942" s="20"/>
    </row>
    <row r="2943" spans="45:45" ht="14.4">
      <c r="AS2943" s="20"/>
    </row>
    <row r="2944" spans="45:45" ht="14.4">
      <c r="AS2944" s="20"/>
    </row>
    <row r="2945" spans="45:45" ht="14.4">
      <c r="AS2945" s="20"/>
    </row>
    <row r="2946" spans="45:45" ht="14.4">
      <c r="AS2946" s="20"/>
    </row>
    <row r="2947" spans="45:45" ht="14.4">
      <c r="AS2947" s="20"/>
    </row>
    <row r="2948" spans="45:45" ht="14.4">
      <c r="AS2948" s="20"/>
    </row>
    <row r="2949" spans="45:45" ht="14.4">
      <c r="AS2949" s="20"/>
    </row>
    <row r="2950" spans="45:45" ht="14.4">
      <c r="AS2950" s="20"/>
    </row>
    <row r="2951" spans="45:45" ht="14.4">
      <c r="AS2951" s="20"/>
    </row>
    <row r="2952" spans="45:45" ht="14.4">
      <c r="AS2952" s="20"/>
    </row>
    <row r="2953" spans="45:45" ht="14.4">
      <c r="AS2953" s="20"/>
    </row>
    <row r="2954" spans="45:45" ht="14.4">
      <c r="AS2954" s="20"/>
    </row>
    <row r="2955" spans="45:45" ht="14.4">
      <c r="AS2955" s="20"/>
    </row>
    <row r="2956" spans="45:45" ht="14.4">
      <c r="AS2956" s="20"/>
    </row>
    <row r="2957" spans="45:45" ht="14.4">
      <c r="AS2957" s="20"/>
    </row>
    <row r="2958" spans="45:45" ht="14.4">
      <c r="AS2958" s="20"/>
    </row>
    <row r="2959" spans="45:45" ht="14.4">
      <c r="AS2959" s="20"/>
    </row>
    <row r="2960" spans="45:45" ht="14.4">
      <c r="AS2960" s="20"/>
    </row>
    <row r="2961" spans="45:45" ht="14.4">
      <c r="AS2961" s="20"/>
    </row>
    <row r="2962" spans="45:45" ht="14.4">
      <c r="AS2962" s="20"/>
    </row>
    <row r="2963" spans="45:45" ht="14.4">
      <c r="AS2963" s="20"/>
    </row>
    <row r="2964" spans="45:45" ht="14.4">
      <c r="AS2964" s="20"/>
    </row>
    <row r="2965" spans="45:45" ht="14.4">
      <c r="AS2965" s="20"/>
    </row>
    <row r="2966" spans="45:45" ht="14.4">
      <c r="AS2966" s="20"/>
    </row>
    <row r="2967" spans="45:45" ht="14.4">
      <c r="AS2967" s="20"/>
    </row>
    <row r="2968" spans="45:45" ht="14.4">
      <c r="AS2968" s="20"/>
    </row>
    <row r="2969" spans="45:45" ht="14.4">
      <c r="AS2969" s="20"/>
    </row>
    <row r="2970" spans="45:45" ht="14.4">
      <c r="AS2970" s="20"/>
    </row>
    <row r="2971" spans="45:45" ht="14.4">
      <c r="AS2971" s="20"/>
    </row>
    <row r="2972" spans="45:45" ht="14.4">
      <c r="AS2972" s="20"/>
    </row>
    <row r="2973" spans="45:45" ht="14.4">
      <c r="AS2973" s="20"/>
    </row>
    <row r="2974" spans="45:45" ht="14.4">
      <c r="AS2974" s="20"/>
    </row>
    <row r="2975" spans="45:45" ht="14.4">
      <c r="AS2975" s="20"/>
    </row>
    <row r="2976" spans="45:45" ht="14.4">
      <c r="AS2976" s="20"/>
    </row>
    <row r="2977" spans="45:45" ht="14.4">
      <c r="AS2977" s="20"/>
    </row>
    <row r="2978" spans="45:45" ht="14.4">
      <c r="AS2978" s="20"/>
    </row>
    <row r="2979" spans="45:45" ht="14.4">
      <c r="AS2979" s="20"/>
    </row>
    <row r="2980" spans="45:45" ht="14.4">
      <c r="AS2980" s="20"/>
    </row>
    <row r="2981" spans="45:45" ht="14.4">
      <c r="AS2981" s="20"/>
    </row>
    <row r="2982" spans="45:45" ht="14.4">
      <c r="AS2982" s="20"/>
    </row>
    <row r="2983" spans="45:45" ht="14.4">
      <c r="AS2983" s="20"/>
    </row>
    <row r="2984" spans="45:45" ht="14.4">
      <c r="AS2984" s="20"/>
    </row>
    <row r="2985" spans="45:45" ht="14.4">
      <c r="AS2985" s="20"/>
    </row>
    <row r="2986" spans="45:45" ht="14.4">
      <c r="AS2986" s="20"/>
    </row>
    <row r="2987" spans="45:45" ht="14.4">
      <c r="AS2987" s="20"/>
    </row>
    <row r="2988" spans="45:45" ht="14.4">
      <c r="AS2988" s="20"/>
    </row>
    <row r="2989" spans="45:45" ht="14.4">
      <c r="AS2989" s="20"/>
    </row>
    <row r="2990" spans="45:45" ht="14.4">
      <c r="AS2990" s="20"/>
    </row>
    <row r="2991" spans="45:45" ht="14.4">
      <c r="AS2991" s="20"/>
    </row>
    <row r="2992" spans="45:45" ht="14.4">
      <c r="AS2992" s="20"/>
    </row>
    <row r="2993" spans="45:45" ht="14.4">
      <c r="AS2993" s="20"/>
    </row>
    <row r="2994" spans="45:45" ht="14.4">
      <c r="AS2994" s="20"/>
    </row>
    <row r="2995" spans="45:45" ht="14.4">
      <c r="AS2995" s="20"/>
    </row>
    <row r="2996" spans="45:45" ht="14.4">
      <c r="AS2996" s="20"/>
    </row>
    <row r="2997" spans="45:45" ht="14.4">
      <c r="AS2997" s="20"/>
    </row>
    <row r="2998" spans="45:45" ht="14.4">
      <c r="AS2998" s="20"/>
    </row>
    <row r="2999" spans="45:45" ht="14.4">
      <c r="AS2999" s="20"/>
    </row>
    <row r="3000" spans="45:45" ht="14.4">
      <c r="AS3000" s="20"/>
    </row>
    <row r="3001" spans="45:45" ht="14.4">
      <c r="AS3001" s="20"/>
    </row>
    <row r="3002" spans="45:45" ht="14.4">
      <c r="AS3002" s="20"/>
    </row>
    <row r="3003" spans="45:45" ht="14.4">
      <c r="AS3003" s="20"/>
    </row>
    <row r="3004" spans="45:45" ht="14.4">
      <c r="AS3004" s="20"/>
    </row>
    <row r="3005" spans="45:45" ht="14.4">
      <c r="AS3005" s="20"/>
    </row>
    <row r="3006" spans="45:45" ht="14.4">
      <c r="AS3006" s="20"/>
    </row>
    <row r="3007" spans="45:45" ht="14.4">
      <c r="AS3007" s="20"/>
    </row>
    <row r="3008" spans="45:45" ht="14.4">
      <c r="AS3008" s="20"/>
    </row>
    <row r="3009" spans="45:45" ht="14.4">
      <c r="AS3009" s="20"/>
    </row>
    <row r="3010" spans="45:45" ht="14.4">
      <c r="AS3010" s="20"/>
    </row>
    <row r="3011" spans="45:45" ht="14.4">
      <c r="AS3011" s="20"/>
    </row>
    <row r="3012" spans="45:45" ht="14.4">
      <c r="AS3012" s="20"/>
    </row>
    <row r="3013" spans="45:45" ht="14.4">
      <c r="AS3013" s="20"/>
    </row>
    <row r="3014" spans="45:45" ht="14.4">
      <c r="AS3014" s="20"/>
    </row>
    <row r="3015" spans="45:45" ht="14.4">
      <c r="AS3015" s="20"/>
    </row>
    <row r="3016" spans="45:45" ht="14.4">
      <c r="AS3016" s="20"/>
    </row>
    <row r="3017" spans="45:45" ht="14.4">
      <c r="AS3017" s="20"/>
    </row>
    <row r="3018" spans="45:45" ht="14.4">
      <c r="AS3018" s="20"/>
    </row>
    <row r="3019" spans="45:45" ht="14.4">
      <c r="AS3019" s="20"/>
    </row>
    <row r="3020" spans="45:45" ht="14.4">
      <c r="AS3020" s="20"/>
    </row>
    <row r="3021" spans="45:45" ht="14.4">
      <c r="AS3021" s="20"/>
    </row>
    <row r="3022" spans="45:45" ht="14.4">
      <c r="AS3022" s="20"/>
    </row>
    <row r="3023" spans="45:45" ht="14.4">
      <c r="AS3023" s="20"/>
    </row>
    <row r="3024" spans="45:45" ht="14.4">
      <c r="AS3024" s="20"/>
    </row>
    <row r="3025" spans="45:45" ht="14.4">
      <c r="AS3025" s="20"/>
    </row>
    <row r="3026" spans="45:45" ht="14.4">
      <c r="AS3026" s="20"/>
    </row>
    <row r="3027" spans="45:45" ht="14.4">
      <c r="AS3027" s="20"/>
    </row>
    <row r="3028" spans="45:45" ht="14.4">
      <c r="AS3028" s="20"/>
    </row>
    <row r="3029" spans="45:45" ht="14.4">
      <c r="AS3029" s="20"/>
    </row>
    <row r="3030" spans="45:45" ht="14.4">
      <c r="AS3030" s="20"/>
    </row>
    <row r="3031" spans="45:45" ht="14.4">
      <c r="AS3031" s="20"/>
    </row>
    <row r="3032" spans="45:45" ht="14.4">
      <c r="AS3032" s="20"/>
    </row>
    <row r="3033" spans="45:45" ht="14.4">
      <c r="AS3033" s="20"/>
    </row>
    <row r="3034" spans="45:45" ht="14.4">
      <c r="AS3034" s="20"/>
    </row>
    <row r="3035" spans="45:45" ht="14.4">
      <c r="AS3035" s="20"/>
    </row>
    <row r="3036" spans="45:45" ht="14.4">
      <c r="AS3036" s="20"/>
    </row>
    <row r="3037" spans="45:45" ht="14.4">
      <c r="AS3037" s="20"/>
    </row>
    <row r="3038" spans="45:45" ht="14.4">
      <c r="AS3038" s="20"/>
    </row>
    <row r="3039" spans="45:45" ht="14.4">
      <c r="AS3039" s="20"/>
    </row>
    <row r="3040" spans="45:45" ht="14.4">
      <c r="AS3040" s="20"/>
    </row>
    <row r="3041" spans="45:45" ht="14.4">
      <c r="AS3041" s="20"/>
    </row>
    <row r="3042" spans="45:45" ht="14.4">
      <c r="AS3042" s="20"/>
    </row>
    <row r="3043" spans="45:45" ht="14.4">
      <c r="AS3043" s="20"/>
    </row>
    <row r="3044" spans="45:45" ht="14.4">
      <c r="AS3044" s="20"/>
    </row>
    <row r="3045" spans="45:45" ht="14.4">
      <c r="AS3045" s="20"/>
    </row>
    <row r="3046" spans="45:45" ht="14.4">
      <c r="AS3046" s="20"/>
    </row>
    <row r="3047" spans="45:45" ht="14.4">
      <c r="AS3047" s="20"/>
    </row>
    <row r="3048" spans="45:45" ht="14.4">
      <c r="AS3048" s="20"/>
    </row>
    <row r="3049" spans="45:45" ht="14.4">
      <c r="AS3049" s="20"/>
    </row>
    <row r="3050" spans="45:45" ht="14.4">
      <c r="AS3050" s="20"/>
    </row>
    <row r="3051" spans="45:45" ht="14.4">
      <c r="AS3051" s="20"/>
    </row>
    <row r="3052" spans="45:45" ht="14.4">
      <c r="AS3052" s="20"/>
    </row>
    <row r="3053" spans="45:45" ht="14.4">
      <c r="AS3053" s="20"/>
    </row>
    <row r="3054" spans="45:45" ht="14.4">
      <c r="AS3054" s="20"/>
    </row>
    <row r="3055" spans="45:45" ht="14.4">
      <c r="AS3055" s="20"/>
    </row>
    <row r="3056" spans="45:45" ht="14.4">
      <c r="AS3056" s="20"/>
    </row>
    <row r="3057" spans="45:45" ht="14.4">
      <c r="AS3057" s="20"/>
    </row>
    <row r="3058" spans="45:45" ht="14.4">
      <c r="AS3058" s="20"/>
    </row>
    <row r="3059" spans="45:45" ht="14.4">
      <c r="AS3059" s="20"/>
    </row>
    <row r="3060" spans="45:45" ht="14.4">
      <c r="AS3060" s="20"/>
    </row>
    <row r="3061" spans="45:45" ht="14.4">
      <c r="AS3061" s="20"/>
    </row>
    <row r="3062" spans="45:45" ht="14.4">
      <c r="AS3062" s="20"/>
    </row>
    <row r="3063" spans="45:45" ht="14.4">
      <c r="AS3063" s="20"/>
    </row>
    <row r="3064" spans="45:45" ht="14.4">
      <c r="AS3064" s="20"/>
    </row>
    <row r="3065" spans="45:45" ht="14.4">
      <c r="AS3065" s="20"/>
    </row>
    <row r="3066" spans="45:45" ht="14.4">
      <c r="AS3066" s="20"/>
    </row>
    <row r="3067" spans="45:45" ht="14.4">
      <c r="AS3067" s="20"/>
    </row>
    <row r="3068" spans="45:45" ht="14.4">
      <c r="AS3068" s="20"/>
    </row>
    <row r="3069" spans="45:45" ht="14.4">
      <c r="AS3069" s="20"/>
    </row>
    <row r="3070" spans="45:45" ht="14.4">
      <c r="AS3070" s="20"/>
    </row>
    <row r="3071" spans="45:45" ht="14.4">
      <c r="AS3071" s="20"/>
    </row>
    <row r="3072" spans="45:45" ht="14.4">
      <c r="AS3072" s="20"/>
    </row>
    <row r="3073" spans="45:45" ht="14.4">
      <c r="AS3073" s="20"/>
    </row>
    <row r="3074" spans="45:45" ht="14.4">
      <c r="AS3074" s="20"/>
    </row>
    <row r="3075" spans="45:45" ht="14.4">
      <c r="AS3075" s="20"/>
    </row>
    <row r="3076" spans="45:45" ht="14.4">
      <c r="AS3076" s="20"/>
    </row>
    <row r="3077" spans="45:45" ht="14.4">
      <c r="AS3077" s="20"/>
    </row>
    <row r="3078" spans="45:45" ht="14.4">
      <c r="AS3078" s="20"/>
    </row>
    <row r="3079" spans="45:45" ht="14.4">
      <c r="AS3079" s="20"/>
    </row>
    <row r="3080" spans="45:45" ht="14.4">
      <c r="AS3080" s="20"/>
    </row>
    <row r="3081" spans="45:45" ht="14.4">
      <c r="AS3081" s="20"/>
    </row>
    <row r="3082" spans="45:45" ht="14.4">
      <c r="AS3082" s="20"/>
    </row>
    <row r="3083" spans="45:45" ht="14.4">
      <c r="AS3083" s="20"/>
    </row>
    <row r="3084" spans="45:45" ht="14.4">
      <c r="AS3084" s="20"/>
    </row>
    <row r="3085" spans="45:45" ht="14.4">
      <c r="AS3085" s="20"/>
    </row>
    <row r="3086" spans="45:45" ht="14.4">
      <c r="AS3086" s="20"/>
    </row>
    <row r="3087" spans="45:45" ht="14.4">
      <c r="AS3087" s="20"/>
    </row>
    <row r="3088" spans="45:45" ht="14.4">
      <c r="AS3088" s="20"/>
    </row>
    <row r="3089" spans="45:45" ht="14.4">
      <c r="AS3089" s="20"/>
    </row>
    <row r="3090" spans="45:45" ht="14.4">
      <c r="AS3090" s="20"/>
    </row>
    <row r="3091" spans="45:45" ht="14.4">
      <c r="AS3091" s="20"/>
    </row>
    <row r="3092" spans="45:45" ht="14.4">
      <c r="AS3092" s="20"/>
    </row>
    <row r="3093" spans="45:45" ht="14.4">
      <c r="AS3093" s="20"/>
    </row>
    <row r="3094" spans="45:45" ht="14.4">
      <c r="AS3094" s="20"/>
    </row>
    <row r="3095" spans="45:45" ht="14.4">
      <c r="AS3095" s="20"/>
    </row>
    <row r="3096" spans="45:45" ht="14.4">
      <c r="AS3096" s="20"/>
    </row>
    <row r="3097" spans="45:45" ht="14.4">
      <c r="AS3097" s="20"/>
    </row>
    <row r="3098" spans="45:45" ht="14.4">
      <c r="AS3098" s="20"/>
    </row>
    <row r="3099" spans="45:45" ht="14.4">
      <c r="AS3099" s="20"/>
    </row>
    <row r="3100" spans="45:45" ht="14.4">
      <c r="AS3100" s="20"/>
    </row>
    <row r="3101" spans="45:45" ht="14.4">
      <c r="AS3101" s="20"/>
    </row>
    <row r="3102" spans="45:45" ht="14.4">
      <c r="AS3102" s="20"/>
    </row>
    <row r="3103" spans="45:45" ht="14.4">
      <c r="AS3103" s="20"/>
    </row>
    <row r="3104" spans="45:45" ht="14.4">
      <c r="AS3104" s="20"/>
    </row>
    <row r="3105" spans="45:45" ht="14.4">
      <c r="AS3105" s="20"/>
    </row>
    <row r="3106" spans="45:45" ht="14.4">
      <c r="AS3106" s="20"/>
    </row>
    <row r="3107" spans="45:45" ht="14.4">
      <c r="AS3107" s="20"/>
    </row>
    <row r="3108" spans="45:45" ht="14.4">
      <c r="AS3108" s="20"/>
    </row>
    <row r="3109" spans="45:45" ht="14.4">
      <c r="AS3109" s="20"/>
    </row>
    <row r="3110" spans="45:45" ht="14.4">
      <c r="AS3110" s="20"/>
    </row>
    <row r="3111" spans="45:45" ht="14.4">
      <c r="AS3111" s="20"/>
    </row>
    <row r="3112" spans="45:45" ht="14.4">
      <c r="AS3112" s="20"/>
    </row>
    <row r="3113" spans="45:45" ht="14.4">
      <c r="AS3113" s="20"/>
    </row>
    <row r="3114" spans="45:45" ht="14.4">
      <c r="AS3114" s="20"/>
    </row>
    <row r="3115" spans="45:45" ht="14.4">
      <c r="AS3115" s="20"/>
    </row>
    <row r="3116" spans="45:45" ht="14.4">
      <c r="AS3116" s="20"/>
    </row>
    <row r="3117" spans="45:45" ht="14.4">
      <c r="AS3117" s="20"/>
    </row>
    <row r="3118" spans="45:45" ht="14.4">
      <c r="AS3118" s="20"/>
    </row>
    <row r="3119" spans="45:45" ht="14.4">
      <c r="AS3119" s="20"/>
    </row>
    <row r="3120" spans="45:45" ht="14.4">
      <c r="AS3120" s="20"/>
    </row>
    <row r="3121" spans="45:45" ht="14.4">
      <c r="AS3121" s="20"/>
    </row>
    <row r="3122" spans="45:45" ht="14.4">
      <c r="AS3122" s="20"/>
    </row>
    <row r="3123" spans="45:45" ht="14.4">
      <c r="AS3123" s="20"/>
    </row>
    <row r="3124" spans="45:45" ht="14.4">
      <c r="AS3124" s="20"/>
    </row>
    <row r="3125" spans="45:45" ht="14.4">
      <c r="AS3125" s="20"/>
    </row>
    <row r="3126" spans="45:45" ht="14.4">
      <c r="AS3126" s="20"/>
    </row>
    <row r="3127" spans="45:45" ht="14.4">
      <c r="AS3127" s="20"/>
    </row>
    <row r="3128" spans="45:45" ht="14.4">
      <c r="AS3128" s="20"/>
    </row>
    <row r="3129" spans="45:45" ht="14.4">
      <c r="AS3129" s="20"/>
    </row>
    <row r="3130" spans="45:45" ht="14.4">
      <c r="AS3130" s="20"/>
    </row>
    <row r="3131" spans="45:45" ht="14.4">
      <c r="AS3131" s="20"/>
    </row>
    <row r="3132" spans="45:45" ht="14.4">
      <c r="AS3132" s="20"/>
    </row>
    <row r="3133" spans="45:45" ht="14.4">
      <c r="AS3133" s="20"/>
    </row>
    <row r="3134" spans="45:45" ht="14.4">
      <c r="AS3134" s="20"/>
    </row>
    <row r="3135" spans="45:45" ht="14.4">
      <c r="AS3135" s="20"/>
    </row>
    <row r="3136" spans="45:45" ht="14.4">
      <c r="AS3136" s="20"/>
    </row>
    <row r="3137" spans="45:45" ht="14.4">
      <c r="AS3137" s="20"/>
    </row>
    <row r="3138" spans="45:45" ht="14.4">
      <c r="AS3138" s="20"/>
    </row>
    <row r="3139" spans="45:45" ht="14.4">
      <c r="AS3139" s="20"/>
    </row>
    <row r="3140" spans="45:45" ht="14.4">
      <c r="AS3140" s="20"/>
    </row>
    <row r="3141" spans="45:45" ht="14.4">
      <c r="AS3141" s="20"/>
    </row>
    <row r="3142" spans="45:45" ht="14.4">
      <c r="AS3142" s="20"/>
    </row>
    <row r="3143" spans="45:45" ht="14.4">
      <c r="AS3143" s="20"/>
    </row>
    <row r="3144" spans="45:45" ht="14.4">
      <c r="AS3144" s="20"/>
    </row>
    <row r="3145" spans="45:45" ht="14.4">
      <c r="AS3145" s="20"/>
    </row>
    <row r="3146" spans="45:45" ht="14.4">
      <c r="AS3146" s="20"/>
    </row>
    <row r="3147" spans="45:45" ht="14.4">
      <c r="AS3147" s="20"/>
    </row>
    <row r="3148" spans="45:45" ht="14.4">
      <c r="AS3148" s="20"/>
    </row>
    <row r="3149" spans="45:45" ht="14.4">
      <c r="AS3149" s="20"/>
    </row>
    <row r="3150" spans="45:45" ht="14.4">
      <c r="AS3150" s="20"/>
    </row>
    <row r="3151" spans="45:45" ht="14.4">
      <c r="AS3151" s="20"/>
    </row>
    <row r="3152" spans="45:45" ht="14.4">
      <c r="AS3152" s="20"/>
    </row>
    <row r="3153" spans="45:45" ht="14.4">
      <c r="AS3153" s="20"/>
    </row>
    <row r="3154" spans="45:45" ht="14.4">
      <c r="AS3154" s="20"/>
    </row>
    <row r="3155" spans="45:45" ht="14.4">
      <c r="AS3155" s="20"/>
    </row>
    <row r="3156" spans="45:45" ht="14.4">
      <c r="AS3156" s="20"/>
    </row>
    <row r="3157" spans="45:45" ht="14.4">
      <c r="AS3157" s="20"/>
    </row>
    <row r="3158" spans="45:45" ht="14.4">
      <c r="AS3158" s="20"/>
    </row>
    <row r="3159" spans="45:45" ht="14.4">
      <c r="AS3159" s="20"/>
    </row>
    <row r="3160" spans="45:45" ht="14.4">
      <c r="AS3160" s="20"/>
    </row>
    <row r="3161" spans="45:45" ht="14.4">
      <c r="AS3161" s="20"/>
    </row>
    <row r="3162" spans="45:45" ht="14.4">
      <c r="AS3162" s="20"/>
    </row>
    <row r="3163" spans="45:45" ht="14.4">
      <c r="AS3163" s="20"/>
    </row>
    <row r="3164" spans="45:45" ht="14.4">
      <c r="AS3164" s="20"/>
    </row>
    <row r="3165" spans="45:45" ht="14.4">
      <c r="AS3165" s="20"/>
    </row>
    <row r="3166" spans="45:45" ht="14.4">
      <c r="AS3166" s="20"/>
    </row>
    <row r="3167" spans="45:45" ht="14.4">
      <c r="AS3167" s="20"/>
    </row>
    <row r="3168" spans="45:45" ht="14.4">
      <c r="AS3168" s="20"/>
    </row>
    <row r="3169" spans="45:45" ht="14.4">
      <c r="AS3169" s="20"/>
    </row>
    <row r="3170" spans="45:45" ht="14.4">
      <c r="AS3170" s="20"/>
    </row>
    <row r="3171" spans="45:45" ht="14.4">
      <c r="AS3171" s="20"/>
    </row>
    <row r="3172" spans="45:45" ht="14.4">
      <c r="AS3172" s="20"/>
    </row>
    <row r="3173" spans="45:45" ht="14.4">
      <c r="AS3173" s="20"/>
    </row>
    <row r="3174" spans="45:45" ht="14.4">
      <c r="AS3174" s="20"/>
    </row>
    <row r="3175" spans="45:45" ht="14.4">
      <c r="AS3175" s="20"/>
    </row>
    <row r="3176" spans="45:45" ht="14.4">
      <c r="AS3176" s="20"/>
    </row>
    <row r="3177" spans="45:45" ht="14.4">
      <c r="AS3177" s="20"/>
    </row>
    <row r="3178" spans="45:45" ht="14.4">
      <c r="AS3178" s="20"/>
    </row>
    <row r="3179" spans="45:45" ht="14.4">
      <c r="AS3179" s="20"/>
    </row>
    <row r="3180" spans="45:45" ht="14.4">
      <c r="AS3180" s="20"/>
    </row>
    <row r="3181" spans="45:45" ht="14.4">
      <c r="AS3181" s="20"/>
    </row>
    <row r="3182" spans="45:45" ht="14.4">
      <c r="AS3182" s="20"/>
    </row>
    <row r="3183" spans="45:45" ht="14.4">
      <c r="AS3183" s="20"/>
    </row>
    <row r="3184" spans="45:45" ht="14.4">
      <c r="AS3184" s="20"/>
    </row>
    <row r="3185" spans="45:45" ht="14.4">
      <c r="AS3185" s="20"/>
    </row>
    <row r="3186" spans="45:45" ht="14.4">
      <c r="AS3186" s="20"/>
    </row>
    <row r="3187" spans="45:45" ht="14.4">
      <c r="AS3187" s="20"/>
    </row>
    <row r="3188" spans="45:45" ht="14.4">
      <c r="AS3188" s="20"/>
    </row>
    <row r="3189" spans="45:45" ht="14.4">
      <c r="AS3189" s="20"/>
    </row>
    <row r="3190" spans="45:45" ht="14.4">
      <c r="AS3190" s="20"/>
    </row>
    <row r="3191" spans="45:45" ht="14.4">
      <c r="AS3191" s="20"/>
    </row>
    <row r="3192" spans="45:45" ht="14.4">
      <c r="AS3192" s="20"/>
    </row>
    <row r="3193" spans="45:45" ht="14.4">
      <c r="AS3193" s="20"/>
    </row>
    <row r="3194" spans="45:45" ht="14.4">
      <c r="AS3194" s="20"/>
    </row>
    <row r="3195" spans="45:45" ht="14.4">
      <c r="AS3195" s="20"/>
    </row>
    <row r="3196" spans="45:45" ht="14.4">
      <c r="AS3196" s="20"/>
    </row>
    <row r="3197" spans="45:45" ht="14.4">
      <c r="AS3197" s="20"/>
    </row>
    <row r="3198" spans="45:45" ht="14.4">
      <c r="AS3198" s="20"/>
    </row>
    <row r="3199" spans="45:45" ht="14.4">
      <c r="AS3199" s="20"/>
    </row>
    <row r="3200" spans="45:45" ht="14.4">
      <c r="AS3200" s="20"/>
    </row>
    <row r="3201" spans="45:45" ht="14.4">
      <c r="AS3201" s="20"/>
    </row>
    <row r="3202" spans="45:45" ht="14.4">
      <c r="AS3202" s="20"/>
    </row>
    <row r="3203" spans="45:45" ht="14.4">
      <c r="AS3203" s="20"/>
    </row>
    <row r="3204" spans="45:45" ht="14.4">
      <c r="AS3204" s="20"/>
    </row>
    <row r="3205" spans="45:45" ht="14.4">
      <c r="AS3205" s="20"/>
    </row>
    <row r="3206" spans="45:45" ht="14.4">
      <c r="AS3206" s="20"/>
    </row>
    <row r="3207" spans="45:45" ht="14.4">
      <c r="AS3207" s="20"/>
    </row>
    <row r="3208" spans="45:45" ht="14.4">
      <c r="AS3208" s="20"/>
    </row>
    <row r="3209" spans="45:45" ht="14.4">
      <c r="AS3209" s="20"/>
    </row>
    <row r="3210" spans="45:45" ht="14.4">
      <c r="AS3210" s="20"/>
    </row>
    <row r="3211" spans="45:45" ht="14.4">
      <c r="AS3211" s="20"/>
    </row>
    <row r="3212" spans="45:45" ht="14.4">
      <c r="AS3212" s="20"/>
    </row>
    <row r="3213" spans="45:45" ht="14.4">
      <c r="AS3213" s="20"/>
    </row>
    <row r="3214" spans="45:45" ht="14.4">
      <c r="AS3214" s="20"/>
    </row>
    <row r="3215" spans="45:45" ht="14.4">
      <c r="AS3215" s="20"/>
    </row>
    <row r="3216" spans="45:45" ht="14.4">
      <c r="AS3216" s="20"/>
    </row>
    <row r="3217" spans="45:45" ht="14.4">
      <c r="AS3217" s="20"/>
    </row>
    <row r="3218" spans="45:45" ht="14.4">
      <c r="AS3218" s="20"/>
    </row>
    <row r="3219" spans="45:45" ht="14.4">
      <c r="AS3219" s="20"/>
    </row>
    <row r="3220" spans="45:45" ht="14.4">
      <c r="AS3220" s="20"/>
    </row>
    <row r="3221" spans="45:45" ht="14.4">
      <c r="AS3221" s="20"/>
    </row>
    <row r="3222" spans="45:45" ht="14.4">
      <c r="AS3222" s="20"/>
    </row>
    <row r="3223" spans="45:45" ht="14.4">
      <c r="AS3223" s="20"/>
    </row>
    <row r="3224" spans="45:45" ht="14.4">
      <c r="AS3224" s="20"/>
    </row>
    <row r="3225" spans="45:45" ht="14.4">
      <c r="AS3225" s="20"/>
    </row>
    <row r="3226" spans="45:45" ht="14.4">
      <c r="AS3226" s="20"/>
    </row>
    <row r="3227" spans="45:45" ht="14.4">
      <c r="AS3227" s="20"/>
    </row>
    <row r="3228" spans="45:45" ht="14.4">
      <c r="AS3228" s="20"/>
    </row>
    <row r="3229" spans="45:45" ht="14.4">
      <c r="AS3229" s="20"/>
    </row>
    <row r="3230" spans="45:45" ht="14.4">
      <c r="AS3230" s="20"/>
    </row>
    <row r="3231" spans="45:45" ht="14.4">
      <c r="AS3231" s="20"/>
    </row>
    <row r="3232" spans="45:45" ht="14.4">
      <c r="AS3232" s="20"/>
    </row>
    <row r="3233" spans="45:45" ht="14.4">
      <c r="AS3233" s="20"/>
    </row>
    <row r="3234" spans="45:45" ht="14.4">
      <c r="AS3234" s="20"/>
    </row>
    <row r="3235" spans="45:45" ht="14.4">
      <c r="AS3235" s="20"/>
    </row>
    <row r="3236" spans="45:45" ht="14.4">
      <c r="AS3236" s="20"/>
    </row>
    <row r="3237" spans="45:45" ht="14.4">
      <c r="AS3237" s="20"/>
    </row>
    <row r="3238" spans="45:45" ht="14.4">
      <c r="AS3238" s="20"/>
    </row>
    <row r="3239" spans="45:45" ht="14.4">
      <c r="AS3239" s="20"/>
    </row>
    <row r="3240" spans="45:45" ht="14.4">
      <c r="AS3240" s="20"/>
    </row>
    <row r="3241" spans="45:45" ht="14.4">
      <c r="AS3241" s="20"/>
    </row>
    <row r="3242" spans="45:45" ht="14.4">
      <c r="AS3242" s="20"/>
    </row>
    <row r="3243" spans="45:45" ht="14.4">
      <c r="AS3243" s="20"/>
    </row>
    <row r="3244" spans="45:45" ht="14.4">
      <c r="AS3244" s="20"/>
    </row>
    <row r="3245" spans="45:45" ht="14.4">
      <c r="AS3245" s="20"/>
    </row>
    <row r="3246" spans="45:45" ht="14.4">
      <c r="AS3246" s="20"/>
    </row>
    <row r="3247" spans="45:45" ht="14.4">
      <c r="AS3247" s="20"/>
    </row>
    <row r="3248" spans="45:45" ht="14.4">
      <c r="AS3248" s="20"/>
    </row>
    <row r="3249" spans="45:45" ht="14.4">
      <c r="AS3249" s="20"/>
    </row>
    <row r="3250" spans="45:45" ht="14.4">
      <c r="AS3250" s="20"/>
    </row>
    <row r="3251" spans="45:45" ht="14.4">
      <c r="AS3251" s="20"/>
    </row>
    <row r="3252" spans="45:45" ht="14.4">
      <c r="AS3252" s="20"/>
    </row>
    <row r="3253" spans="45:45" ht="14.4">
      <c r="AS3253" s="20"/>
    </row>
    <row r="3254" spans="45:45" ht="14.4">
      <c r="AS3254" s="20"/>
    </row>
    <row r="3255" spans="45:45" ht="14.4">
      <c r="AS3255" s="20"/>
    </row>
    <row r="3256" spans="45:45" ht="14.4">
      <c r="AS3256" s="20"/>
    </row>
    <row r="3257" spans="45:45" ht="14.4">
      <c r="AS3257" s="20"/>
    </row>
    <row r="3258" spans="45:45" ht="14.4">
      <c r="AS3258" s="20"/>
    </row>
    <row r="3259" spans="45:45" ht="14.4">
      <c r="AS3259" s="20"/>
    </row>
    <row r="3260" spans="45:45" ht="14.4">
      <c r="AS3260" s="20"/>
    </row>
    <row r="3261" spans="45:45" ht="14.4">
      <c r="AS3261" s="20"/>
    </row>
    <row r="3262" spans="45:45" ht="14.4">
      <c r="AS3262" s="20"/>
    </row>
    <row r="3263" spans="45:45" ht="14.4">
      <c r="AS3263" s="20"/>
    </row>
    <row r="3264" spans="45:45" ht="14.4">
      <c r="AS3264" s="20"/>
    </row>
    <row r="3265" spans="45:45" ht="14.4">
      <c r="AS3265" s="20"/>
    </row>
    <row r="3266" spans="45:45" ht="14.4">
      <c r="AS3266" s="20"/>
    </row>
    <row r="3267" spans="45:45" ht="14.4">
      <c r="AS3267" s="20"/>
    </row>
    <row r="3268" spans="45:45" ht="14.4">
      <c r="AS3268" s="20"/>
    </row>
    <row r="3269" spans="45:45" ht="14.4">
      <c r="AS3269" s="20"/>
    </row>
    <row r="3270" spans="45:45" ht="14.4">
      <c r="AS3270" s="20"/>
    </row>
    <row r="3271" spans="45:45" ht="14.4">
      <c r="AS3271" s="20"/>
    </row>
    <row r="3272" spans="45:45" ht="14.4">
      <c r="AS3272" s="20"/>
    </row>
    <row r="3273" spans="45:45" ht="14.4">
      <c r="AS3273" s="20"/>
    </row>
    <row r="3274" spans="45:45" ht="14.4">
      <c r="AS3274" s="20"/>
    </row>
    <row r="3275" spans="45:45" ht="14.4">
      <c r="AS3275" s="20"/>
    </row>
    <row r="3276" spans="45:45" ht="14.4">
      <c r="AS3276" s="20"/>
    </row>
    <row r="3277" spans="45:45" ht="14.4">
      <c r="AS3277" s="20"/>
    </row>
    <row r="3278" spans="45:45" ht="14.4">
      <c r="AS3278" s="20"/>
    </row>
    <row r="3279" spans="45:45" ht="14.4">
      <c r="AS3279" s="20"/>
    </row>
    <row r="3280" spans="45:45" ht="14.4">
      <c r="AS3280" s="20"/>
    </row>
    <row r="3281" spans="45:45" ht="14.4">
      <c r="AS3281" s="20"/>
    </row>
    <row r="3282" spans="45:45" ht="14.4">
      <c r="AS3282" s="20"/>
    </row>
    <row r="3283" spans="45:45" ht="14.4">
      <c r="AS3283" s="20"/>
    </row>
    <row r="3284" spans="45:45" ht="14.4">
      <c r="AS3284" s="20"/>
    </row>
    <row r="3285" spans="45:45" ht="14.4">
      <c r="AS3285" s="20"/>
    </row>
    <row r="3286" spans="45:45" ht="14.4">
      <c r="AS3286" s="20"/>
    </row>
    <row r="3287" spans="45:45" ht="14.4">
      <c r="AS3287" s="20"/>
    </row>
    <row r="3288" spans="45:45" ht="14.4">
      <c r="AS3288" s="20"/>
    </row>
    <row r="3289" spans="45:45" ht="14.4">
      <c r="AS3289" s="20"/>
    </row>
    <row r="3290" spans="45:45" ht="14.4">
      <c r="AS3290" s="20"/>
    </row>
    <row r="3291" spans="45:45" ht="14.4">
      <c r="AS3291" s="20"/>
    </row>
    <row r="3292" spans="45:45" ht="14.4">
      <c r="AS3292" s="20"/>
    </row>
    <row r="3293" spans="45:45" ht="14.4">
      <c r="AS3293" s="20"/>
    </row>
    <row r="3294" spans="45:45" ht="14.4">
      <c r="AS3294" s="20"/>
    </row>
    <row r="3295" spans="45:45" ht="14.4">
      <c r="AS3295" s="20"/>
    </row>
    <row r="3296" spans="45:45" ht="14.4">
      <c r="AS3296" s="20"/>
    </row>
    <row r="3297" spans="45:45" ht="14.4">
      <c r="AS3297" s="20"/>
    </row>
    <row r="3298" spans="45:45" ht="14.4">
      <c r="AS3298" s="20"/>
    </row>
    <row r="3299" spans="45:45" ht="14.4">
      <c r="AS3299" s="20"/>
    </row>
    <row r="3300" spans="45:45" ht="14.4">
      <c r="AS3300" s="20"/>
    </row>
    <row r="3301" spans="45:45" ht="14.4">
      <c r="AS3301" s="20"/>
    </row>
    <row r="3302" spans="45:45" ht="14.4">
      <c r="AS3302" s="20"/>
    </row>
    <row r="3303" spans="45:45" ht="14.4">
      <c r="AS3303" s="20"/>
    </row>
    <row r="3304" spans="45:45" ht="14.4">
      <c r="AS3304" s="20"/>
    </row>
    <row r="3305" spans="45:45" ht="14.4">
      <c r="AS3305" s="20"/>
    </row>
    <row r="3306" spans="45:45" ht="14.4">
      <c r="AS3306" s="20"/>
    </row>
    <row r="3307" spans="45:45" ht="14.4">
      <c r="AS3307" s="20"/>
    </row>
    <row r="3308" spans="45:45" ht="14.4">
      <c r="AS3308" s="20"/>
    </row>
    <row r="3309" spans="45:45" ht="14.4">
      <c r="AS3309" s="20"/>
    </row>
    <row r="3310" spans="45:45" ht="14.4">
      <c r="AS3310" s="20"/>
    </row>
    <row r="3311" spans="45:45" ht="14.4">
      <c r="AS3311" s="20"/>
    </row>
    <row r="3312" spans="45:45" ht="14.4">
      <c r="AS3312" s="20"/>
    </row>
    <row r="3313" spans="45:45" ht="14.4">
      <c r="AS3313" s="20"/>
    </row>
    <row r="3314" spans="45:45" ht="14.4">
      <c r="AS3314" s="20"/>
    </row>
    <row r="3315" spans="45:45" ht="14.4">
      <c r="AS3315" s="20"/>
    </row>
    <row r="3316" spans="45:45" ht="14.4">
      <c r="AS3316" s="20"/>
    </row>
    <row r="3317" spans="45:45" ht="14.4">
      <c r="AS3317" s="20"/>
    </row>
    <row r="3318" spans="45:45" ht="14.4">
      <c r="AS3318" s="20"/>
    </row>
    <row r="3319" spans="45:45" ht="14.4">
      <c r="AS3319" s="20"/>
    </row>
    <row r="3320" spans="45:45" ht="14.4">
      <c r="AS3320" s="20"/>
    </row>
    <row r="3321" spans="45:45" ht="14.4">
      <c r="AS3321" s="20"/>
    </row>
    <row r="3322" spans="45:45" ht="14.4">
      <c r="AS3322" s="20"/>
    </row>
    <row r="3323" spans="45:45" ht="14.4">
      <c r="AS3323" s="20"/>
    </row>
    <row r="3324" spans="45:45" ht="14.4">
      <c r="AS3324" s="20"/>
    </row>
    <row r="3325" spans="45:45" ht="14.4">
      <c r="AS3325" s="20"/>
    </row>
    <row r="3326" spans="45:45" ht="14.4">
      <c r="AS3326" s="20"/>
    </row>
    <row r="3327" spans="45:45" ht="14.4">
      <c r="AS3327" s="20"/>
    </row>
    <row r="3328" spans="45:45" ht="14.4">
      <c r="AS3328" s="20"/>
    </row>
    <row r="3329" spans="45:45" ht="14.4">
      <c r="AS3329" s="20"/>
    </row>
    <row r="3330" spans="45:45" ht="14.4">
      <c r="AS3330" s="20"/>
    </row>
    <row r="3331" spans="45:45" ht="14.4">
      <c r="AS3331" s="20"/>
    </row>
    <row r="3332" spans="45:45" ht="14.4">
      <c r="AS3332" s="20"/>
    </row>
    <row r="3333" spans="45:45" ht="14.4">
      <c r="AS3333" s="20"/>
    </row>
    <row r="3334" spans="45:45" ht="14.4">
      <c r="AS3334" s="20"/>
    </row>
    <row r="3335" spans="45:45" ht="14.4">
      <c r="AS3335" s="20"/>
    </row>
    <row r="3336" spans="45:45" ht="14.4">
      <c r="AS3336" s="20"/>
    </row>
    <row r="3337" spans="45:45" ht="14.4">
      <c r="AS3337" s="20"/>
    </row>
    <row r="3338" spans="45:45" ht="14.4">
      <c r="AS3338" s="20"/>
    </row>
    <row r="3339" spans="45:45" ht="14.4">
      <c r="AS3339" s="20"/>
    </row>
    <row r="3340" spans="45:45" ht="14.4">
      <c r="AS3340" s="20"/>
    </row>
    <row r="3341" spans="45:45" ht="14.4">
      <c r="AS3341" s="20"/>
    </row>
    <row r="3342" spans="45:45" ht="14.4">
      <c r="AS3342" s="20"/>
    </row>
    <row r="3343" spans="45:45" ht="14.4">
      <c r="AS3343" s="20"/>
    </row>
    <row r="3344" spans="45:45" ht="14.4">
      <c r="AS3344" s="20"/>
    </row>
    <row r="3345" spans="45:45" ht="14.4">
      <c r="AS3345" s="20"/>
    </row>
    <row r="3346" spans="45:45" ht="14.4">
      <c r="AS3346" s="20"/>
    </row>
    <row r="3347" spans="45:45" ht="14.4">
      <c r="AS3347" s="20"/>
    </row>
    <row r="3348" spans="45:45" ht="14.4">
      <c r="AS3348" s="20"/>
    </row>
    <row r="3349" spans="45:45" ht="14.4">
      <c r="AS3349" s="20"/>
    </row>
    <row r="3350" spans="45:45" ht="14.4">
      <c r="AS3350" s="20"/>
    </row>
    <row r="3351" spans="45:45" ht="14.4">
      <c r="AS3351" s="20"/>
    </row>
    <row r="3352" spans="45:45" ht="14.4">
      <c r="AS3352" s="20"/>
    </row>
    <row r="3353" spans="45:45" ht="14.4">
      <c r="AS3353" s="20"/>
    </row>
    <row r="3354" spans="45:45" ht="14.4">
      <c r="AS3354" s="20"/>
    </row>
    <row r="3355" spans="45:45" ht="14.4">
      <c r="AS3355" s="20"/>
    </row>
    <row r="3356" spans="45:45" ht="14.4">
      <c r="AS3356" s="20"/>
    </row>
    <row r="3357" spans="45:45" ht="14.4">
      <c r="AS3357" s="20"/>
    </row>
    <row r="3358" spans="45:45" ht="14.4">
      <c r="AS3358" s="20"/>
    </row>
    <row r="3359" spans="45:45" ht="14.4">
      <c r="AS3359" s="20"/>
    </row>
    <row r="3360" spans="45:45" ht="14.4">
      <c r="AS3360" s="20"/>
    </row>
    <row r="3361" spans="45:45" ht="14.4">
      <c r="AS3361" s="20"/>
    </row>
    <row r="3362" spans="45:45" ht="14.4">
      <c r="AS3362" s="20"/>
    </row>
    <row r="3363" spans="45:45" ht="14.4">
      <c r="AS3363" s="20"/>
    </row>
    <row r="3364" spans="45:45" ht="14.4">
      <c r="AS3364" s="20"/>
    </row>
    <row r="3365" spans="45:45" ht="14.4">
      <c r="AS3365" s="20"/>
    </row>
    <row r="3366" spans="45:45" ht="14.4">
      <c r="AS3366" s="20"/>
    </row>
    <row r="3367" spans="45:45" ht="14.4">
      <c r="AS3367" s="20"/>
    </row>
    <row r="3368" spans="45:45" ht="14.4">
      <c r="AS3368" s="20"/>
    </row>
    <row r="3369" spans="45:45" ht="14.4">
      <c r="AS3369" s="20"/>
    </row>
    <row r="3370" spans="45:45" ht="14.4">
      <c r="AS3370" s="20"/>
    </row>
    <row r="3371" spans="45:45" ht="14.4">
      <c r="AS3371" s="20"/>
    </row>
    <row r="3372" spans="45:45" ht="14.4">
      <c r="AS3372" s="20"/>
    </row>
    <row r="3373" spans="45:45" ht="14.4">
      <c r="AS3373" s="20"/>
    </row>
    <row r="3374" spans="45:45" ht="14.4">
      <c r="AS3374" s="20"/>
    </row>
    <row r="3375" spans="45:45" ht="14.4">
      <c r="AS3375" s="20"/>
    </row>
    <row r="3376" spans="45:45" ht="14.4">
      <c r="AS3376" s="20"/>
    </row>
    <row r="3377" spans="45:45" ht="14.4">
      <c r="AS3377" s="20"/>
    </row>
    <row r="3378" spans="45:45" ht="14.4">
      <c r="AS3378" s="20"/>
    </row>
    <row r="3379" spans="45:45" ht="14.4">
      <c r="AS3379" s="20"/>
    </row>
    <row r="3380" spans="45:45" ht="14.4">
      <c r="AS3380" s="20"/>
    </row>
    <row r="3381" spans="45:45" ht="14.4">
      <c r="AS3381" s="20"/>
    </row>
    <row r="3382" spans="45:45" ht="14.4">
      <c r="AS3382" s="20"/>
    </row>
    <row r="3383" spans="45:45" ht="14.4">
      <c r="AS3383" s="20"/>
    </row>
    <row r="3384" spans="45:45" ht="14.4">
      <c r="AS3384" s="20"/>
    </row>
    <row r="3385" spans="45:45" ht="14.4">
      <c r="AS3385" s="20"/>
    </row>
    <row r="3386" spans="45:45" ht="14.4">
      <c r="AS3386" s="20"/>
    </row>
    <row r="3387" spans="45:45" ht="14.4">
      <c r="AS3387" s="20"/>
    </row>
    <row r="3388" spans="45:45" ht="14.4">
      <c r="AS3388" s="20"/>
    </row>
    <row r="3389" spans="45:45" ht="14.4">
      <c r="AS3389" s="20"/>
    </row>
    <row r="3390" spans="45:45" ht="14.4">
      <c r="AS3390" s="20"/>
    </row>
    <row r="3391" spans="45:45" ht="14.4">
      <c r="AS3391" s="20"/>
    </row>
    <row r="3392" spans="45:45" ht="14.4">
      <c r="AS3392" s="20"/>
    </row>
    <row r="3393" spans="45:45" ht="14.4">
      <c r="AS3393" s="20"/>
    </row>
    <row r="3394" spans="45:45" ht="14.4">
      <c r="AS3394" s="20"/>
    </row>
    <row r="3395" spans="45:45" ht="14.4">
      <c r="AS3395" s="20"/>
    </row>
    <row r="3396" spans="45:45" ht="14.4">
      <c r="AS3396" s="20"/>
    </row>
    <row r="3397" spans="45:45" ht="14.4">
      <c r="AS3397" s="20"/>
    </row>
    <row r="3398" spans="45:45" ht="14.4">
      <c r="AS3398" s="20"/>
    </row>
    <row r="3399" spans="45:45" ht="14.4">
      <c r="AS3399" s="20"/>
    </row>
    <row r="3400" spans="45:45" ht="14.4">
      <c r="AS3400" s="20"/>
    </row>
    <row r="3401" spans="45:45" ht="14.4">
      <c r="AS3401" s="20"/>
    </row>
    <row r="3402" spans="45:45" ht="14.4">
      <c r="AS3402" s="20"/>
    </row>
    <row r="3403" spans="45:45" ht="14.4">
      <c r="AS3403" s="20"/>
    </row>
    <row r="3404" spans="45:45" ht="14.4">
      <c r="AS3404" s="20"/>
    </row>
    <row r="3405" spans="45:45" ht="14.4">
      <c r="AS3405" s="20"/>
    </row>
    <row r="3406" spans="45:45" ht="14.4">
      <c r="AS3406" s="20"/>
    </row>
    <row r="3407" spans="45:45" ht="14.4">
      <c r="AS3407" s="20"/>
    </row>
    <row r="3408" spans="45:45" ht="14.4">
      <c r="AS3408" s="20"/>
    </row>
    <row r="3409" spans="45:45" ht="14.4">
      <c r="AS3409" s="20"/>
    </row>
    <row r="3410" spans="45:45" ht="14.4">
      <c r="AS3410" s="20"/>
    </row>
    <row r="3411" spans="45:45" ht="14.4">
      <c r="AS3411" s="20"/>
    </row>
    <row r="3412" spans="45:45" ht="14.4">
      <c r="AS3412" s="20"/>
    </row>
    <row r="3413" spans="45:45" ht="14.4">
      <c r="AS3413" s="20"/>
    </row>
    <row r="3414" spans="45:45" ht="14.4">
      <c r="AS3414" s="20"/>
    </row>
    <row r="3415" spans="45:45" ht="14.4">
      <c r="AS3415" s="20"/>
    </row>
    <row r="3416" spans="45:45" ht="14.4">
      <c r="AS3416" s="20"/>
    </row>
    <row r="3417" spans="45:45" ht="14.4">
      <c r="AS3417" s="20"/>
    </row>
    <row r="3418" spans="45:45" ht="14.4">
      <c r="AS3418" s="20"/>
    </row>
    <row r="3419" spans="45:45" ht="14.4">
      <c r="AS3419" s="20"/>
    </row>
    <row r="3420" spans="45:45" ht="14.4">
      <c r="AS3420" s="20"/>
    </row>
    <row r="3421" spans="45:45" ht="14.4">
      <c r="AS3421" s="20"/>
    </row>
    <row r="3422" spans="45:45" ht="14.4">
      <c r="AS3422" s="20"/>
    </row>
    <row r="3423" spans="45:45" ht="14.4">
      <c r="AS3423" s="20"/>
    </row>
    <row r="3424" spans="45:45" ht="14.4">
      <c r="AS3424" s="20"/>
    </row>
    <row r="3425" spans="45:45" ht="14.4">
      <c r="AS3425" s="20"/>
    </row>
    <row r="3426" spans="45:45" ht="14.4">
      <c r="AS3426" s="20"/>
    </row>
    <row r="3427" spans="45:45" ht="14.4">
      <c r="AS3427" s="20"/>
    </row>
    <row r="3428" spans="45:45" ht="14.4">
      <c r="AS3428" s="20"/>
    </row>
    <row r="3429" spans="45:45" ht="14.4">
      <c r="AS3429" s="20"/>
    </row>
    <row r="3430" spans="45:45" ht="14.4">
      <c r="AS3430" s="20"/>
    </row>
    <row r="3431" spans="45:45" ht="14.4">
      <c r="AS3431" s="20"/>
    </row>
    <row r="3432" spans="45:45" ht="14.4">
      <c r="AS3432" s="20"/>
    </row>
    <row r="3433" spans="45:45" ht="14.4">
      <c r="AS3433" s="20"/>
    </row>
    <row r="3434" spans="45:45" ht="14.4">
      <c r="AS3434" s="20"/>
    </row>
    <row r="3435" spans="45:45" ht="14.4">
      <c r="AS3435" s="20"/>
    </row>
    <row r="3436" spans="45:45" ht="14.4">
      <c r="AS3436" s="20"/>
    </row>
    <row r="3437" spans="45:45" ht="14.4">
      <c r="AS3437" s="20"/>
    </row>
    <row r="3438" spans="45:45" ht="14.4">
      <c r="AS3438" s="20"/>
    </row>
    <row r="3439" spans="45:45" ht="14.4">
      <c r="AS3439" s="20"/>
    </row>
    <row r="3440" spans="45:45" ht="14.4">
      <c r="AS3440" s="20"/>
    </row>
    <row r="3441" spans="45:45" ht="14.4">
      <c r="AS3441" s="20"/>
    </row>
    <row r="3442" spans="45:45" ht="14.4">
      <c r="AS3442" s="20"/>
    </row>
    <row r="3443" spans="45:45" ht="14.4">
      <c r="AS3443" s="20"/>
    </row>
    <row r="3444" spans="45:45" ht="14.4">
      <c r="AS3444" s="20"/>
    </row>
    <row r="3445" spans="45:45" ht="14.4">
      <c r="AS3445" s="20"/>
    </row>
    <row r="3446" spans="45:45" ht="14.4">
      <c r="AS3446" s="20"/>
    </row>
    <row r="3447" spans="45:45" ht="14.4">
      <c r="AS3447" s="20"/>
    </row>
    <row r="3448" spans="45:45" ht="14.4">
      <c r="AS3448" s="20"/>
    </row>
    <row r="3449" spans="45:45" ht="14.4">
      <c r="AS3449" s="20"/>
    </row>
    <row r="3450" spans="45:45" ht="14.4">
      <c r="AS3450" s="20"/>
    </row>
    <row r="3451" spans="45:45" ht="14.4">
      <c r="AS3451" s="20"/>
    </row>
    <row r="3452" spans="45:45" ht="14.4">
      <c r="AS3452" s="20"/>
    </row>
    <row r="3453" spans="45:45" ht="14.4">
      <c r="AS3453" s="20"/>
    </row>
    <row r="3454" spans="45:45" ht="14.4">
      <c r="AS3454" s="20"/>
    </row>
    <row r="3455" spans="45:45" ht="14.4">
      <c r="AS3455" s="20"/>
    </row>
    <row r="3456" spans="45:45" ht="14.4">
      <c r="AS3456" s="20"/>
    </row>
    <row r="3457" spans="45:45" ht="14.4">
      <c r="AS3457" s="20"/>
    </row>
    <row r="3458" spans="45:45" ht="14.4">
      <c r="AS3458" s="20"/>
    </row>
    <row r="3459" spans="45:45" ht="14.4">
      <c r="AS3459" s="20"/>
    </row>
    <row r="3460" spans="45:45" ht="14.4">
      <c r="AS3460" s="20"/>
    </row>
    <row r="3461" spans="45:45" ht="14.4">
      <c r="AS3461" s="20"/>
    </row>
    <row r="3462" spans="45:45" ht="14.4">
      <c r="AS3462" s="20"/>
    </row>
    <row r="3463" spans="45:45" ht="14.4">
      <c r="AS3463" s="20"/>
    </row>
    <row r="3464" spans="45:45" ht="14.4">
      <c r="AS3464" s="20"/>
    </row>
    <row r="3465" spans="45:45" ht="14.4">
      <c r="AS3465" s="20"/>
    </row>
    <row r="3466" spans="45:45" ht="14.4">
      <c r="AS3466" s="20"/>
    </row>
    <row r="3467" spans="45:45" ht="14.4">
      <c r="AS3467" s="20"/>
    </row>
    <row r="3468" spans="45:45" ht="14.4">
      <c r="AS3468" s="20"/>
    </row>
    <row r="3469" spans="45:45" ht="14.4">
      <c r="AS3469" s="20"/>
    </row>
    <row r="3470" spans="45:45" ht="14.4">
      <c r="AS3470" s="20"/>
    </row>
    <row r="3471" spans="45:45" ht="14.4">
      <c r="AS3471" s="20"/>
    </row>
    <row r="3472" spans="45:45" ht="14.4">
      <c r="AS3472" s="20"/>
    </row>
    <row r="3473" spans="45:45" ht="14.4">
      <c r="AS3473" s="20"/>
    </row>
    <row r="3474" spans="45:45" ht="14.4">
      <c r="AS3474" s="20"/>
    </row>
    <row r="3475" spans="45:45" ht="14.4">
      <c r="AS3475" s="20"/>
    </row>
    <row r="3476" spans="45:45" ht="14.4">
      <c r="AS3476" s="20"/>
    </row>
    <row r="3477" spans="45:45" ht="14.4">
      <c r="AS3477" s="20"/>
    </row>
    <row r="3478" spans="45:45" ht="14.4">
      <c r="AS3478" s="20"/>
    </row>
    <row r="3479" spans="45:45" ht="14.4">
      <c r="AS3479" s="20"/>
    </row>
    <row r="3480" spans="45:45" ht="14.4">
      <c r="AS3480" s="20"/>
    </row>
    <row r="3481" spans="45:45" ht="14.4">
      <c r="AS3481" s="20"/>
    </row>
    <row r="3482" spans="45:45" ht="14.4">
      <c r="AS3482" s="20"/>
    </row>
    <row r="3483" spans="45:45" ht="14.4">
      <c r="AS3483" s="20"/>
    </row>
    <row r="3484" spans="45:45" ht="14.4">
      <c r="AS3484" s="20"/>
    </row>
    <row r="3485" spans="45:45" ht="14.4">
      <c r="AS3485" s="20"/>
    </row>
    <row r="3486" spans="45:45" ht="14.4">
      <c r="AS3486" s="20"/>
    </row>
    <row r="3487" spans="45:45" ht="14.4">
      <c r="AS3487" s="20"/>
    </row>
    <row r="3488" spans="45:45" ht="14.4">
      <c r="AS3488" s="20"/>
    </row>
    <row r="3489" spans="45:45" ht="14.4">
      <c r="AS3489" s="20"/>
    </row>
    <row r="3490" spans="45:45" ht="14.4">
      <c r="AS3490" s="20"/>
    </row>
    <row r="3491" spans="45:45" ht="14.4">
      <c r="AS3491" s="20"/>
    </row>
    <row r="3492" spans="45:45" ht="14.4">
      <c r="AS3492" s="20"/>
    </row>
    <row r="3493" spans="45:45" ht="14.4">
      <c r="AS3493" s="20"/>
    </row>
    <row r="3494" spans="45:45" ht="14.4">
      <c r="AS3494" s="20"/>
    </row>
    <row r="3495" spans="45:45" ht="14.4">
      <c r="AS3495" s="20"/>
    </row>
    <row r="3496" spans="45:45" ht="14.4">
      <c r="AS3496" s="20"/>
    </row>
    <row r="3497" spans="45:45" ht="14.4">
      <c r="AS3497" s="20"/>
    </row>
    <row r="3498" spans="45:45" ht="14.4">
      <c r="AS3498" s="20"/>
    </row>
    <row r="3499" spans="45:45" ht="14.4">
      <c r="AS3499" s="20"/>
    </row>
    <row r="3500" spans="45:45" ht="14.4">
      <c r="AS3500" s="20"/>
    </row>
    <row r="3501" spans="45:45" ht="14.4">
      <c r="AS3501" s="20"/>
    </row>
    <row r="3502" spans="45:45" ht="14.4">
      <c r="AS3502" s="20"/>
    </row>
    <row r="3503" spans="45:45" ht="14.4">
      <c r="AS3503" s="20"/>
    </row>
    <row r="3504" spans="45:45" ht="14.4">
      <c r="AS3504" s="20"/>
    </row>
    <row r="3505" spans="45:45" ht="14.4">
      <c r="AS3505" s="20"/>
    </row>
    <row r="3506" spans="45:45" ht="14.4">
      <c r="AS3506" s="20"/>
    </row>
    <row r="3507" spans="45:45" ht="14.4">
      <c r="AS3507" s="20"/>
    </row>
    <row r="3508" spans="45:45" ht="14.4">
      <c r="AS3508" s="20"/>
    </row>
    <row r="3509" spans="45:45" ht="14.4">
      <c r="AS3509" s="20"/>
    </row>
    <row r="3510" spans="45:45" ht="14.4">
      <c r="AS3510" s="20"/>
    </row>
    <row r="3511" spans="45:45" ht="14.4">
      <c r="AS3511" s="20"/>
    </row>
    <row r="3512" spans="45:45" ht="14.4">
      <c r="AS3512" s="20"/>
    </row>
    <row r="3513" spans="45:45" ht="14.4">
      <c r="AS3513" s="20"/>
    </row>
    <row r="3514" spans="45:45" ht="14.4">
      <c r="AS3514" s="20"/>
    </row>
    <row r="3515" spans="45:45" ht="14.4">
      <c r="AS3515" s="20"/>
    </row>
    <row r="3516" spans="45:45" ht="14.4">
      <c r="AS3516" s="20"/>
    </row>
    <row r="3517" spans="45:45" ht="14.4">
      <c r="AS3517" s="20"/>
    </row>
    <row r="3518" spans="45:45" ht="14.4">
      <c r="AS3518" s="20"/>
    </row>
    <row r="3519" spans="45:45" ht="14.4">
      <c r="AS3519" s="20"/>
    </row>
    <row r="3520" spans="45:45" ht="14.4">
      <c r="AS3520" s="20"/>
    </row>
    <row r="3521" spans="45:45" ht="14.4">
      <c r="AS3521" s="20"/>
    </row>
    <row r="3522" spans="45:45" ht="14.4">
      <c r="AS3522" s="20"/>
    </row>
    <row r="3523" spans="45:45" ht="14.4">
      <c r="AS3523" s="20"/>
    </row>
    <row r="3524" spans="45:45" ht="14.4">
      <c r="AS3524" s="20"/>
    </row>
    <row r="3525" spans="45:45" ht="14.4">
      <c r="AS3525" s="20"/>
    </row>
    <row r="3526" spans="45:45" ht="14.4">
      <c r="AS3526" s="20"/>
    </row>
    <row r="3527" spans="45:45" ht="14.4">
      <c r="AS3527" s="20"/>
    </row>
    <row r="3528" spans="45:45" ht="14.4">
      <c r="AS3528" s="20"/>
    </row>
    <row r="3529" spans="45:45" ht="14.4">
      <c r="AS3529" s="20"/>
    </row>
    <row r="3530" spans="45:45" ht="14.4">
      <c r="AS3530" s="20"/>
    </row>
    <row r="3531" spans="45:45" ht="14.4">
      <c r="AS3531" s="20"/>
    </row>
    <row r="3532" spans="45:45" ht="14.4">
      <c r="AS3532" s="20"/>
    </row>
    <row r="3533" spans="45:45" ht="14.4">
      <c r="AS3533" s="20"/>
    </row>
    <row r="3534" spans="45:45" ht="14.4">
      <c r="AS3534" s="20"/>
    </row>
    <row r="3535" spans="45:45" ht="14.4">
      <c r="AS3535" s="20"/>
    </row>
    <row r="3536" spans="45:45" ht="14.4">
      <c r="AS3536" s="20"/>
    </row>
    <row r="3537" spans="45:45" ht="14.4">
      <c r="AS3537" s="20"/>
    </row>
    <row r="3538" spans="45:45" ht="14.4">
      <c r="AS3538" s="20"/>
    </row>
    <row r="3539" spans="45:45" ht="14.4">
      <c r="AS3539" s="20"/>
    </row>
    <row r="3540" spans="45:45" ht="14.4">
      <c r="AS3540" s="20"/>
    </row>
    <row r="3541" spans="45:45" ht="14.4">
      <c r="AS3541" s="20"/>
    </row>
    <row r="3542" spans="45:45" ht="14.4">
      <c r="AS3542" s="20"/>
    </row>
    <row r="3543" spans="45:45" ht="14.4">
      <c r="AS3543" s="20"/>
    </row>
    <row r="3544" spans="45:45" ht="14.4">
      <c r="AS3544" s="20"/>
    </row>
    <row r="3545" spans="45:45" ht="14.4">
      <c r="AS3545" s="20"/>
    </row>
    <row r="3546" spans="45:45" ht="14.4">
      <c r="AS3546" s="20"/>
    </row>
    <row r="3547" spans="45:45" ht="14.4">
      <c r="AS3547" s="20"/>
    </row>
    <row r="3548" spans="45:45" ht="14.4">
      <c r="AS3548" s="20"/>
    </row>
    <row r="3549" spans="45:45" ht="14.4">
      <c r="AS3549" s="20"/>
    </row>
    <row r="3550" spans="45:45" ht="14.4">
      <c r="AS3550" s="20"/>
    </row>
    <row r="3551" spans="45:45" ht="14.4">
      <c r="AS3551" s="20"/>
    </row>
    <row r="3552" spans="45:45" ht="14.4">
      <c r="AS3552" s="20"/>
    </row>
    <row r="3553" spans="45:45" ht="14.4">
      <c r="AS3553" s="20"/>
    </row>
    <row r="3554" spans="45:45" ht="14.4">
      <c r="AS3554" s="20"/>
    </row>
    <row r="3555" spans="45:45" ht="14.4">
      <c r="AS3555" s="20"/>
    </row>
    <row r="3556" spans="45:45" ht="14.4">
      <c r="AS3556" s="20"/>
    </row>
    <row r="3557" spans="45:45" ht="14.4">
      <c r="AS3557" s="20"/>
    </row>
    <row r="3558" spans="45:45" ht="14.4">
      <c r="AS3558" s="20"/>
    </row>
    <row r="3559" spans="45:45" ht="14.4">
      <c r="AS3559" s="20"/>
    </row>
    <row r="3560" spans="45:45" ht="14.4">
      <c r="AS3560" s="20"/>
    </row>
    <row r="3561" spans="45:45" ht="14.4">
      <c r="AS3561" s="20"/>
    </row>
    <row r="3562" spans="45:45" ht="14.4">
      <c r="AS3562" s="20"/>
    </row>
    <row r="3563" spans="45:45" ht="14.4">
      <c r="AS3563" s="20"/>
    </row>
    <row r="3564" spans="45:45" ht="14.4">
      <c r="AS3564" s="20"/>
    </row>
    <row r="3565" spans="45:45" ht="14.4">
      <c r="AS3565" s="20"/>
    </row>
    <row r="3566" spans="45:45" ht="14.4">
      <c r="AS3566" s="20"/>
    </row>
    <row r="3567" spans="45:45" ht="14.4">
      <c r="AS3567" s="20"/>
    </row>
    <row r="3568" spans="45:45" ht="14.4">
      <c r="AS3568" s="20"/>
    </row>
    <row r="3569" spans="45:45" ht="14.4">
      <c r="AS3569" s="20"/>
    </row>
    <row r="3570" spans="45:45" ht="14.4">
      <c r="AS3570" s="20"/>
    </row>
    <row r="3571" spans="45:45" ht="14.4">
      <c r="AS3571" s="20"/>
    </row>
    <row r="3572" spans="45:45" ht="14.4">
      <c r="AS3572" s="20"/>
    </row>
    <row r="3573" spans="45:45" ht="14.4">
      <c r="AS3573" s="20"/>
    </row>
    <row r="3574" spans="45:45" ht="14.4">
      <c r="AS3574" s="20"/>
    </row>
    <row r="3575" spans="45:45" ht="14.4">
      <c r="AS3575" s="20"/>
    </row>
    <row r="3576" spans="45:45" ht="14.4">
      <c r="AS3576" s="20"/>
    </row>
    <row r="3577" spans="45:45" ht="14.4">
      <c r="AS3577" s="20"/>
    </row>
    <row r="3578" spans="45:45" ht="14.4">
      <c r="AS3578" s="20"/>
    </row>
    <row r="3579" spans="45:45" ht="14.4">
      <c r="AS3579" s="20"/>
    </row>
    <row r="3580" spans="45:45" ht="14.4">
      <c r="AS3580" s="20"/>
    </row>
    <row r="3581" spans="45:45" ht="14.4">
      <c r="AS3581" s="20"/>
    </row>
    <row r="3582" spans="45:45" ht="14.4">
      <c r="AS3582" s="20"/>
    </row>
    <row r="3583" spans="45:45" ht="14.4">
      <c r="AS3583" s="20"/>
    </row>
    <row r="3584" spans="45:45" ht="14.4">
      <c r="AS3584" s="20"/>
    </row>
    <row r="3585" spans="45:45" ht="14.4">
      <c r="AS3585" s="20"/>
    </row>
    <row r="3586" spans="45:45" ht="14.4">
      <c r="AS3586" s="20"/>
    </row>
    <row r="3587" spans="45:45" ht="14.4">
      <c r="AS3587" s="20"/>
    </row>
    <row r="3588" spans="45:45" ht="14.4">
      <c r="AS3588" s="20"/>
    </row>
    <row r="3589" spans="45:45" ht="14.4">
      <c r="AS3589" s="20"/>
    </row>
    <row r="3590" spans="45:45" ht="14.4">
      <c r="AS3590" s="20"/>
    </row>
    <row r="3591" spans="45:45" ht="14.4">
      <c r="AS3591" s="20"/>
    </row>
    <row r="3592" spans="45:45" ht="14.4">
      <c r="AS3592" s="20"/>
    </row>
    <row r="3593" spans="45:45" ht="14.4">
      <c r="AS3593" s="20"/>
    </row>
    <row r="3594" spans="45:45" ht="14.4">
      <c r="AS3594" s="20"/>
    </row>
    <row r="3595" spans="45:45" ht="14.4">
      <c r="AS3595" s="20"/>
    </row>
    <row r="3596" spans="45:45" ht="14.4">
      <c r="AS3596" s="20"/>
    </row>
    <row r="3597" spans="45:45" ht="14.4">
      <c r="AS3597" s="20"/>
    </row>
    <row r="3598" spans="45:45" ht="14.4">
      <c r="AS3598" s="20"/>
    </row>
    <row r="3599" spans="45:45" ht="14.4">
      <c r="AS3599" s="20"/>
    </row>
    <row r="3600" spans="45:45" ht="14.4">
      <c r="AS3600" s="20"/>
    </row>
    <row r="3601" spans="45:45" ht="14.4">
      <c r="AS3601" s="20"/>
    </row>
    <row r="3602" spans="45:45" ht="14.4">
      <c r="AS3602" s="20"/>
    </row>
    <row r="3603" spans="45:45" ht="14.4">
      <c r="AS3603" s="20"/>
    </row>
    <row r="3604" spans="45:45" ht="14.4">
      <c r="AS3604" s="20"/>
    </row>
    <row r="3605" spans="45:45" ht="14.4">
      <c r="AS3605" s="20"/>
    </row>
    <row r="3606" spans="45:45" ht="14.4">
      <c r="AS3606" s="20"/>
    </row>
    <row r="3607" spans="45:45" ht="14.4">
      <c r="AS3607" s="20"/>
    </row>
    <row r="3608" spans="45:45" ht="14.4">
      <c r="AS3608" s="20"/>
    </row>
    <row r="3609" spans="45:45" ht="14.4">
      <c r="AS3609" s="20"/>
    </row>
    <row r="3610" spans="45:45" ht="14.4">
      <c r="AS3610" s="20"/>
    </row>
    <row r="3611" spans="45:45" ht="14.4">
      <c r="AS3611" s="20"/>
    </row>
    <row r="3612" spans="45:45" ht="14.4">
      <c r="AS3612" s="20"/>
    </row>
    <row r="3613" spans="45:45" ht="14.4">
      <c r="AS3613" s="20"/>
    </row>
    <row r="3614" spans="45:45" ht="14.4">
      <c r="AS3614" s="20"/>
    </row>
    <row r="3615" spans="45:45" ht="14.4">
      <c r="AS3615" s="20"/>
    </row>
    <row r="3616" spans="45:45" ht="14.4">
      <c r="AS3616" s="20"/>
    </row>
    <row r="3617" spans="45:45" ht="14.4">
      <c r="AS3617" s="20"/>
    </row>
    <row r="3618" spans="45:45" ht="14.4">
      <c r="AS3618" s="20"/>
    </row>
    <row r="3619" spans="45:45" ht="14.4">
      <c r="AS3619" s="20"/>
    </row>
    <row r="3620" spans="45:45" ht="14.4">
      <c r="AS3620" s="20"/>
    </row>
    <row r="3621" spans="45:45" ht="14.4">
      <c r="AS3621" s="20"/>
    </row>
    <row r="3622" spans="45:45" ht="14.4">
      <c r="AS3622" s="20"/>
    </row>
    <row r="3623" spans="45:45" ht="14.4">
      <c r="AS3623" s="20"/>
    </row>
    <row r="3624" spans="45:45" ht="14.4">
      <c r="AS3624" s="20"/>
    </row>
    <row r="3625" spans="45:45" ht="14.4">
      <c r="AS3625" s="20"/>
    </row>
    <row r="3626" spans="45:45" ht="14.4">
      <c r="AS3626" s="20"/>
    </row>
    <row r="3627" spans="45:45" ht="14.4">
      <c r="AS3627" s="20"/>
    </row>
    <row r="3628" spans="45:45" ht="14.4">
      <c r="AS3628" s="20"/>
    </row>
    <row r="3629" spans="45:45" ht="14.4">
      <c r="AS3629" s="20"/>
    </row>
    <row r="3630" spans="45:45" ht="14.4">
      <c r="AS3630" s="20"/>
    </row>
    <row r="3631" spans="45:45" ht="14.4">
      <c r="AS3631" s="20"/>
    </row>
    <row r="3632" spans="45:45" ht="14.4">
      <c r="AS3632" s="20"/>
    </row>
    <row r="3633" spans="45:45" ht="14.4">
      <c r="AS3633" s="20"/>
    </row>
    <row r="3634" spans="45:45" ht="14.4">
      <c r="AS3634" s="20"/>
    </row>
    <row r="3635" spans="45:45" ht="14.4">
      <c r="AS3635" s="20"/>
    </row>
    <row r="3636" spans="45:45" ht="14.4">
      <c r="AS3636" s="20"/>
    </row>
    <row r="3637" spans="45:45" ht="14.4">
      <c r="AS3637" s="20"/>
    </row>
    <row r="3638" spans="45:45" ht="14.4">
      <c r="AS3638" s="20"/>
    </row>
    <row r="3639" spans="45:45" ht="14.4">
      <c r="AS3639" s="20"/>
    </row>
    <row r="3640" spans="45:45" ht="14.4">
      <c r="AS3640" s="20"/>
    </row>
    <row r="3641" spans="45:45" ht="14.4">
      <c r="AS3641" s="20"/>
    </row>
    <row r="3642" spans="45:45" ht="14.4">
      <c r="AS3642" s="20"/>
    </row>
    <row r="3643" spans="45:45" ht="14.4">
      <c r="AS3643" s="20"/>
    </row>
    <row r="3644" spans="45:45" ht="14.4">
      <c r="AS3644" s="20"/>
    </row>
    <row r="3645" spans="45:45" ht="14.4">
      <c r="AS3645" s="20"/>
    </row>
    <row r="3646" spans="45:45" ht="14.4">
      <c r="AS3646" s="20"/>
    </row>
    <row r="3647" spans="45:45" ht="14.4">
      <c r="AS3647" s="20"/>
    </row>
    <row r="3648" spans="45:45" ht="14.4">
      <c r="AS3648" s="20"/>
    </row>
    <row r="3649" spans="45:45" ht="14.4">
      <c r="AS3649" s="20"/>
    </row>
    <row r="3650" spans="45:45" ht="14.4">
      <c r="AS3650" s="20"/>
    </row>
    <row r="3651" spans="45:45" ht="14.4">
      <c r="AS3651" s="20"/>
    </row>
    <row r="3652" spans="45:45" ht="14.4">
      <c r="AS3652" s="20"/>
    </row>
    <row r="3653" spans="45:45" ht="14.4">
      <c r="AS3653" s="20"/>
    </row>
    <row r="3654" spans="45:45" ht="14.4">
      <c r="AS3654" s="20"/>
    </row>
    <row r="3655" spans="45:45" ht="14.4">
      <c r="AS3655" s="20"/>
    </row>
    <row r="3656" spans="45:45" ht="14.4">
      <c r="AS3656" s="20"/>
    </row>
    <row r="3657" spans="45:45" ht="14.4">
      <c r="AS3657" s="20"/>
    </row>
    <row r="3658" spans="45:45" ht="14.4">
      <c r="AS3658" s="20"/>
    </row>
    <row r="3659" spans="45:45" ht="14.4">
      <c r="AS3659" s="20"/>
    </row>
    <row r="3660" spans="45:45" ht="14.4">
      <c r="AS3660" s="20"/>
    </row>
    <row r="3661" spans="45:45" ht="14.4">
      <c r="AS3661" s="20"/>
    </row>
    <row r="3662" spans="45:45" ht="14.4">
      <c r="AS3662" s="20"/>
    </row>
    <row r="3663" spans="45:45" ht="14.4">
      <c r="AS3663" s="20"/>
    </row>
    <row r="3664" spans="45:45" ht="14.4">
      <c r="AS3664" s="20"/>
    </row>
    <row r="3665" spans="45:45" ht="14.4">
      <c r="AS3665" s="20"/>
    </row>
    <row r="3666" spans="45:45" ht="14.4">
      <c r="AS3666" s="20"/>
    </row>
    <row r="3667" spans="45:45" ht="14.4">
      <c r="AS3667" s="20"/>
    </row>
    <row r="3668" spans="45:45" ht="14.4">
      <c r="AS3668" s="20"/>
    </row>
    <row r="3669" spans="45:45" ht="14.4">
      <c r="AS3669" s="20"/>
    </row>
    <row r="3670" spans="45:45" ht="14.4">
      <c r="AS3670" s="20"/>
    </row>
    <row r="3671" spans="45:45" ht="14.4">
      <c r="AS3671" s="20"/>
    </row>
    <row r="3672" spans="45:45" ht="14.4">
      <c r="AS3672" s="20"/>
    </row>
    <row r="3673" spans="45:45" ht="14.4">
      <c r="AS3673" s="20"/>
    </row>
    <row r="3674" spans="45:45" ht="14.4">
      <c r="AS3674" s="20"/>
    </row>
    <row r="3675" spans="45:45" ht="14.4">
      <c r="AS3675" s="20"/>
    </row>
    <row r="3676" spans="45:45" ht="14.4">
      <c r="AS3676" s="20"/>
    </row>
    <row r="3677" spans="45:45" ht="14.4">
      <c r="AS3677" s="20"/>
    </row>
    <row r="3678" spans="45:45" ht="14.4">
      <c r="AS3678" s="20"/>
    </row>
    <row r="3679" spans="45:45" ht="14.4">
      <c r="AS3679" s="20"/>
    </row>
    <row r="3680" spans="45:45" ht="14.4">
      <c r="AS3680" s="20"/>
    </row>
    <row r="3681" spans="45:45" ht="14.4">
      <c r="AS3681" s="20"/>
    </row>
    <row r="3682" spans="45:45" ht="14.4">
      <c r="AS3682" s="20"/>
    </row>
    <row r="3683" spans="45:45" ht="14.4">
      <c r="AS3683" s="20"/>
    </row>
    <row r="3684" spans="45:45" ht="14.4">
      <c r="AS3684" s="20"/>
    </row>
    <row r="3685" spans="45:45" ht="14.4">
      <c r="AS3685" s="20"/>
    </row>
    <row r="3686" spans="45:45" ht="14.4">
      <c r="AS3686" s="20"/>
    </row>
    <row r="3687" spans="45:45" ht="14.4">
      <c r="AS3687" s="20"/>
    </row>
    <row r="3688" spans="45:45" ht="14.4">
      <c r="AS3688" s="20"/>
    </row>
    <row r="3689" spans="45:45" ht="14.4">
      <c r="AS3689" s="20"/>
    </row>
    <row r="3690" spans="45:45" ht="14.4">
      <c r="AS3690" s="20"/>
    </row>
    <row r="3691" spans="45:45" ht="14.4">
      <c r="AS3691" s="20"/>
    </row>
    <row r="3692" spans="45:45" ht="14.4">
      <c r="AS3692" s="20"/>
    </row>
    <row r="3693" spans="45:45" ht="14.4">
      <c r="AS3693" s="20"/>
    </row>
    <row r="3694" spans="45:45" ht="14.4">
      <c r="AS3694" s="20"/>
    </row>
    <row r="3695" spans="45:45" ht="14.4">
      <c r="AS3695" s="20"/>
    </row>
    <row r="3696" spans="45:45" ht="14.4">
      <c r="AS3696" s="20"/>
    </row>
    <row r="3697" spans="45:45" ht="14.4">
      <c r="AS3697" s="20"/>
    </row>
    <row r="3698" spans="45:45" ht="14.4">
      <c r="AS3698" s="20"/>
    </row>
    <row r="3699" spans="45:45" ht="14.4">
      <c r="AS3699" s="20"/>
    </row>
    <row r="3700" spans="45:45" ht="14.4">
      <c r="AS3700" s="20"/>
    </row>
    <row r="3701" spans="45:45" ht="14.4">
      <c r="AS3701" s="20"/>
    </row>
    <row r="3702" spans="45:45" ht="14.4">
      <c r="AS3702" s="20"/>
    </row>
    <row r="3703" spans="45:45" ht="14.4">
      <c r="AS3703" s="20"/>
    </row>
    <row r="3704" spans="45:45" ht="14.4">
      <c r="AS3704" s="20"/>
    </row>
    <row r="3705" spans="45:45" ht="14.4">
      <c r="AS3705" s="20"/>
    </row>
    <row r="3706" spans="45:45" ht="14.4">
      <c r="AS3706" s="20"/>
    </row>
    <row r="3707" spans="45:45" ht="14.4">
      <c r="AS3707" s="20"/>
    </row>
    <row r="3708" spans="45:45" ht="14.4">
      <c r="AS3708" s="20"/>
    </row>
    <row r="3709" spans="45:45" ht="14.4">
      <c r="AS3709" s="20"/>
    </row>
    <row r="3710" spans="45:45" ht="14.4">
      <c r="AS3710" s="20"/>
    </row>
    <row r="3711" spans="45:45" ht="14.4">
      <c r="AS3711" s="20"/>
    </row>
    <row r="3712" spans="45:45" ht="14.4">
      <c r="AS3712" s="20"/>
    </row>
    <row r="3713" spans="45:45" ht="14.4">
      <c r="AS3713" s="20"/>
    </row>
    <row r="3714" spans="45:45" ht="14.4">
      <c r="AS3714" s="20"/>
    </row>
    <row r="3715" spans="45:45" ht="14.4">
      <c r="AS3715" s="20"/>
    </row>
    <row r="3716" spans="45:45" ht="14.4">
      <c r="AS3716" s="20"/>
    </row>
    <row r="3717" spans="45:45" ht="14.4">
      <c r="AS3717" s="20"/>
    </row>
    <row r="3718" spans="45:45" ht="14.4">
      <c r="AS3718" s="20"/>
    </row>
    <row r="3719" spans="45:45" ht="14.4">
      <c r="AS3719" s="20"/>
    </row>
    <row r="3720" spans="45:45" ht="14.4">
      <c r="AS3720" s="20"/>
    </row>
    <row r="3721" spans="45:45" ht="14.4">
      <c r="AS3721" s="20"/>
    </row>
    <row r="3722" spans="45:45" ht="14.4">
      <c r="AS3722" s="20"/>
    </row>
    <row r="3723" spans="45:45" ht="14.4">
      <c r="AS3723" s="20"/>
    </row>
    <row r="3724" spans="45:45" ht="14.4">
      <c r="AS3724" s="20"/>
    </row>
    <row r="3725" spans="45:45" ht="14.4">
      <c r="AS3725" s="20"/>
    </row>
    <row r="3726" spans="45:45" ht="14.4">
      <c r="AS3726" s="20"/>
    </row>
    <row r="3727" spans="45:45" ht="14.4">
      <c r="AS3727" s="20"/>
    </row>
    <row r="3728" spans="45:45" ht="14.4">
      <c r="AS3728" s="20"/>
    </row>
    <row r="3729" spans="45:45" ht="14.4">
      <c r="AS3729" s="20"/>
    </row>
    <row r="3730" spans="45:45" ht="14.4">
      <c r="AS3730" s="20"/>
    </row>
    <row r="3731" spans="45:45" ht="14.4">
      <c r="AS3731" s="20"/>
    </row>
    <row r="3732" spans="45:45" ht="14.4">
      <c r="AS3732" s="20"/>
    </row>
    <row r="3733" spans="45:45" ht="14.4">
      <c r="AS3733" s="20"/>
    </row>
    <row r="3734" spans="45:45" ht="14.4">
      <c r="AS3734" s="20"/>
    </row>
    <row r="3735" spans="45:45" ht="14.4">
      <c r="AS3735" s="20"/>
    </row>
    <row r="3736" spans="45:45" ht="14.4">
      <c r="AS3736" s="20"/>
    </row>
    <row r="3737" spans="45:45" ht="14.4">
      <c r="AS3737" s="20"/>
    </row>
    <row r="3738" spans="45:45" ht="14.4">
      <c r="AS3738" s="20"/>
    </row>
    <row r="3739" spans="45:45" ht="14.4">
      <c r="AS3739" s="20"/>
    </row>
    <row r="3740" spans="45:45" ht="14.4">
      <c r="AS3740" s="20"/>
    </row>
    <row r="3741" spans="45:45" ht="14.4">
      <c r="AS3741" s="20"/>
    </row>
    <row r="3742" spans="45:45" ht="14.4">
      <c r="AS3742" s="20"/>
    </row>
    <row r="3743" spans="45:45" ht="14.4">
      <c r="AS3743" s="20"/>
    </row>
    <row r="3744" spans="45:45" ht="14.4">
      <c r="AS3744" s="20"/>
    </row>
    <row r="3745" spans="45:45" ht="14.4">
      <c r="AS3745" s="20"/>
    </row>
    <row r="3746" spans="45:45" ht="14.4">
      <c r="AS3746" s="20"/>
    </row>
    <row r="3747" spans="45:45" ht="14.4">
      <c r="AS3747" s="20"/>
    </row>
    <row r="3748" spans="45:45" ht="14.4">
      <c r="AS3748" s="20"/>
    </row>
    <row r="3749" spans="45:45" ht="14.4">
      <c r="AS3749" s="20"/>
    </row>
    <row r="3750" spans="45:45" ht="14.4">
      <c r="AS3750" s="20"/>
    </row>
    <row r="3751" spans="45:45" ht="14.4">
      <c r="AS3751" s="20"/>
    </row>
    <row r="3752" spans="45:45" ht="14.4">
      <c r="AS3752" s="20"/>
    </row>
    <row r="3753" spans="45:45" ht="14.4">
      <c r="AS3753" s="20"/>
    </row>
    <row r="3754" spans="45:45" ht="14.4">
      <c r="AS3754" s="20"/>
    </row>
    <row r="3755" spans="45:45" ht="14.4">
      <c r="AS3755" s="20"/>
    </row>
    <row r="3756" spans="45:45" ht="14.4">
      <c r="AS3756" s="20"/>
    </row>
    <row r="3757" spans="45:45" ht="14.4">
      <c r="AS3757" s="20"/>
    </row>
    <row r="3758" spans="45:45" ht="14.4">
      <c r="AS3758" s="20"/>
    </row>
    <row r="3759" spans="45:45" ht="14.4">
      <c r="AS3759" s="20"/>
    </row>
    <row r="3760" spans="45:45" ht="14.4">
      <c r="AS3760" s="20"/>
    </row>
    <row r="3761" spans="45:45" ht="14.4">
      <c r="AS3761" s="20"/>
    </row>
    <row r="3762" spans="45:45" ht="14.4">
      <c r="AS3762" s="20"/>
    </row>
    <row r="3763" spans="45:45" ht="14.4">
      <c r="AS3763" s="20"/>
    </row>
    <row r="3764" spans="45:45" ht="14.4">
      <c r="AS3764" s="20"/>
    </row>
    <row r="3765" spans="45:45" ht="14.4">
      <c r="AS3765" s="20"/>
    </row>
    <row r="3766" spans="45:45" ht="14.4">
      <c r="AS3766" s="20"/>
    </row>
    <row r="3767" spans="45:45" ht="14.4">
      <c r="AS3767" s="20"/>
    </row>
    <row r="3768" spans="45:45" ht="14.4">
      <c r="AS3768" s="20"/>
    </row>
    <row r="3769" spans="45:45" ht="14.4">
      <c r="AS3769" s="20"/>
    </row>
    <row r="3770" spans="45:45" ht="14.4">
      <c r="AS3770" s="20"/>
    </row>
    <row r="3771" spans="45:45" ht="14.4">
      <c r="AS3771" s="20"/>
    </row>
    <row r="3772" spans="45:45" ht="14.4">
      <c r="AS3772" s="20"/>
    </row>
    <row r="3773" spans="45:45" ht="14.4">
      <c r="AS3773" s="20"/>
    </row>
    <row r="3774" spans="45:45" ht="14.4">
      <c r="AS3774" s="20"/>
    </row>
    <row r="3775" spans="45:45" ht="14.4">
      <c r="AS3775" s="20"/>
    </row>
    <row r="3776" spans="45:45" ht="14.4">
      <c r="AS3776" s="20"/>
    </row>
    <row r="3777" spans="45:45" ht="14.4">
      <c r="AS3777" s="20"/>
    </row>
    <row r="3778" spans="45:45" ht="14.4">
      <c r="AS3778" s="20"/>
    </row>
    <row r="3779" spans="45:45" ht="14.4">
      <c r="AS3779" s="20"/>
    </row>
    <row r="3780" spans="45:45" ht="14.4">
      <c r="AS3780" s="20"/>
    </row>
    <row r="3781" spans="45:45" ht="14.4">
      <c r="AS3781" s="20"/>
    </row>
    <row r="3782" spans="45:45" ht="14.4">
      <c r="AS3782" s="20"/>
    </row>
    <row r="3783" spans="45:45" ht="14.4">
      <c r="AS3783" s="20"/>
    </row>
    <row r="3784" spans="45:45" ht="14.4">
      <c r="AS3784" s="20"/>
    </row>
    <row r="3785" spans="45:45" ht="14.4">
      <c r="AS3785" s="20"/>
    </row>
    <row r="3786" spans="45:45" ht="14.4">
      <c r="AS3786" s="20"/>
    </row>
    <row r="3787" spans="45:45" ht="14.4">
      <c r="AS3787" s="20"/>
    </row>
    <row r="3788" spans="45:45" ht="14.4">
      <c r="AS3788" s="20"/>
    </row>
    <row r="3789" spans="45:45" ht="14.4">
      <c r="AS3789" s="20"/>
    </row>
    <row r="3790" spans="45:45" ht="14.4">
      <c r="AS3790" s="20"/>
    </row>
    <row r="3791" spans="45:45" ht="14.4">
      <c r="AS3791" s="20"/>
    </row>
    <row r="3792" spans="45:45" ht="14.4">
      <c r="AS3792" s="20"/>
    </row>
    <row r="3793" spans="45:45" ht="14.4">
      <c r="AS3793" s="20"/>
    </row>
    <row r="3794" spans="45:45" ht="14.4">
      <c r="AS3794" s="20"/>
    </row>
    <row r="3795" spans="45:45" ht="14.4">
      <c r="AS3795" s="20"/>
    </row>
    <row r="3796" spans="45:45" ht="14.4">
      <c r="AS3796" s="20"/>
    </row>
    <row r="3797" spans="45:45" ht="14.4">
      <c r="AS3797" s="20"/>
    </row>
    <row r="3798" spans="45:45" ht="14.4">
      <c r="AS3798" s="20"/>
    </row>
    <row r="3799" spans="45:45" ht="14.4">
      <c r="AS3799" s="20"/>
    </row>
    <row r="3800" spans="45:45" ht="14.4">
      <c r="AS3800" s="20"/>
    </row>
    <row r="3801" spans="45:45" ht="14.4">
      <c r="AS3801" s="20"/>
    </row>
    <row r="3802" spans="45:45" ht="14.4">
      <c r="AS3802" s="20"/>
    </row>
    <row r="3803" spans="45:45" ht="14.4">
      <c r="AS3803" s="20"/>
    </row>
    <row r="3804" spans="45:45" ht="14.4">
      <c r="AS3804" s="20"/>
    </row>
    <row r="3805" spans="45:45" ht="14.4">
      <c r="AS3805" s="20"/>
    </row>
    <row r="3806" spans="45:45" ht="14.4">
      <c r="AS3806" s="20"/>
    </row>
    <row r="3807" spans="45:45" ht="14.4">
      <c r="AS3807" s="20"/>
    </row>
    <row r="3808" spans="45:45" ht="14.4">
      <c r="AS3808" s="20"/>
    </row>
    <row r="3809" spans="45:45" ht="14.4">
      <c r="AS3809" s="20"/>
    </row>
    <row r="3810" spans="45:45" ht="14.4">
      <c r="AS3810" s="20"/>
    </row>
    <row r="3811" spans="45:45" ht="14.4">
      <c r="AS3811" s="20"/>
    </row>
    <row r="3812" spans="45:45" ht="14.4">
      <c r="AS3812" s="20"/>
    </row>
    <row r="3813" spans="45:45" ht="14.4">
      <c r="AS3813" s="20"/>
    </row>
    <row r="3814" spans="45:45" ht="14.4">
      <c r="AS3814" s="20"/>
    </row>
    <row r="3815" spans="45:45" ht="14.4">
      <c r="AS3815" s="20"/>
    </row>
    <row r="3816" spans="45:45" ht="14.4">
      <c r="AS3816" s="20"/>
    </row>
    <row r="3817" spans="45:45" ht="14.4">
      <c r="AS3817" s="20"/>
    </row>
    <row r="3818" spans="45:45" ht="14.4">
      <c r="AS3818" s="20"/>
    </row>
    <row r="3819" spans="45:45" ht="14.4">
      <c r="AS3819" s="20"/>
    </row>
    <row r="3820" spans="45:45" ht="14.4">
      <c r="AS3820" s="20"/>
    </row>
    <row r="3821" spans="45:45" ht="14.4">
      <c r="AS3821" s="20"/>
    </row>
    <row r="3822" spans="45:45" ht="14.4">
      <c r="AS3822" s="20"/>
    </row>
    <row r="3823" spans="45:45" ht="14.4">
      <c r="AS3823" s="20"/>
    </row>
    <row r="3824" spans="45:45" ht="14.4">
      <c r="AS3824" s="20"/>
    </row>
    <row r="3825" spans="45:45" ht="14.4">
      <c r="AS3825" s="20"/>
    </row>
    <row r="3826" spans="45:45" ht="14.4">
      <c r="AS3826" s="20"/>
    </row>
    <row r="3827" spans="45:45" ht="14.4">
      <c r="AS3827" s="20"/>
    </row>
    <row r="3828" spans="45:45" ht="14.4">
      <c r="AS3828" s="20"/>
    </row>
    <row r="3829" spans="45:45" ht="14.4">
      <c r="AS3829" s="20"/>
    </row>
    <row r="3830" spans="45:45" ht="14.4">
      <c r="AS3830" s="20"/>
    </row>
    <row r="3831" spans="45:45" ht="14.4">
      <c r="AS3831" s="20"/>
    </row>
    <row r="3832" spans="45:45" ht="14.4">
      <c r="AS3832" s="20"/>
    </row>
    <row r="3833" spans="45:45" ht="14.4">
      <c r="AS3833" s="20"/>
    </row>
    <row r="3834" spans="45:45" ht="14.4">
      <c r="AS3834" s="20"/>
    </row>
    <row r="3835" spans="45:45" ht="14.4">
      <c r="AS3835" s="20"/>
    </row>
    <row r="3836" spans="45:45" ht="14.4">
      <c r="AS3836" s="20"/>
    </row>
    <row r="3837" spans="45:45" ht="14.4">
      <c r="AS3837" s="20"/>
    </row>
    <row r="3838" spans="45:45" ht="14.4">
      <c r="AS3838" s="20"/>
    </row>
    <row r="3839" spans="45:45" ht="14.4">
      <c r="AS3839" s="20"/>
    </row>
    <row r="3840" spans="45:45" ht="14.4">
      <c r="AS3840" s="20"/>
    </row>
    <row r="3841" spans="45:45" ht="14.4">
      <c r="AS3841" s="20"/>
    </row>
    <row r="3842" spans="45:45" ht="14.4">
      <c r="AS3842" s="20"/>
    </row>
    <row r="3843" spans="45:45" ht="14.4">
      <c r="AS3843" s="20"/>
    </row>
    <row r="3844" spans="45:45" ht="14.4">
      <c r="AS3844" s="20"/>
    </row>
    <row r="3845" spans="45:45" ht="14.4">
      <c r="AS3845" s="20"/>
    </row>
    <row r="3846" spans="45:45" ht="14.4">
      <c r="AS3846" s="20"/>
    </row>
    <row r="3847" spans="45:45" ht="14.4">
      <c r="AS3847" s="20"/>
    </row>
    <row r="3848" spans="45:45" ht="14.4">
      <c r="AS3848" s="20"/>
    </row>
    <row r="3849" spans="45:45" ht="14.4">
      <c r="AS3849" s="20"/>
    </row>
    <row r="3850" spans="45:45" ht="14.4">
      <c r="AS3850" s="20"/>
    </row>
    <row r="3851" spans="45:45" ht="14.4">
      <c r="AS3851" s="20"/>
    </row>
    <row r="3852" spans="45:45" ht="14.4">
      <c r="AS3852" s="20"/>
    </row>
    <row r="3853" spans="45:45" ht="14.4">
      <c r="AS3853" s="20"/>
    </row>
    <row r="3854" spans="45:45" ht="14.4">
      <c r="AS3854" s="20"/>
    </row>
    <row r="3855" spans="45:45" ht="14.4">
      <c r="AS3855" s="20"/>
    </row>
    <row r="3856" spans="45:45" ht="14.4">
      <c r="AS3856" s="20"/>
    </row>
    <row r="3857" spans="45:45" ht="14.4">
      <c r="AS3857" s="20"/>
    </row>
    <row r="3858" spans="45:45" ht="14.4">
      <c r="AS3858" s="20"/>
    </row>
    <row r="3859" spans="45:45" ht="14.4">
      <c r="AS3859" s="20"/>
    </row>
    <row r="3860" spans="45:45" ht="14.4">
      <c r="AS3860" s="20"/>
    </row>
    <row r="3861" spans="45:45" ht="14.4">
      <c r="AS3861" s="20"/>
    </row>
    <row r="3862" spans="45:45" ht="14.4">
      <c r="AS3862" s="20"/>
    </row>
    <row r="3863" spans="45:45" ht="14.4">
      <c r="AS3863" s="20"/>
    </row>
    <row r="3864" spans="45:45" ht="14.4">
      <c r="AS3864" s="20"/>
    </row>
    <row r="3865" spans="45:45" ht="14.4">
      <c r="AS3865" s="20"/>
    </row>
    <row r="3866" spans="45:45" ht="14.4">
      <c r="AS3866" s="20"/>
    </row>
    <row r="3867" spans="45:45" ht="14.4">
      <c r="AS3867" s="20"/>
    </row>
    <row r="3868" spans="45:45" ht="14.4">
      <c r="AS3868" s="20"/>
    </row>
    <row r="3869" spans="45:45" ht="14.4">
      <c r="AS3869" s="20"/>
    </row>
    <row r="3870" spans="45:45" ht="14.4">
      <c r="AS3870" s="20"/>
    </row>
    <row r="3871" spans="45:45" ht="14.4">
      <c r="AS3871" s="20"/>
    </row>
    <row r="3872" spans="45:45" ht="14.4">
      <c r="AS3872" s="20"/>
    </row>
    <row r="3873" spans="45:45" ht="14.4">
      <c r="AS3873" s="20"/>
    </row>
    <row r="3874" spans="45:45" ht="14.4">
      <c r="AS3874" s="20"/>
    </row>
    <row r="3875" spans="45:45" ht="14.4">
      <c r="AS3875" s="20"/>
    </row>
    <row r="3876" spans="45:45" ht="14.4">
      <c r="AS3876" s="20"/>
    </row>
    <row r="3877" spans="45:45" ht="14.4">
      <c r="AS3877" s="20"/>
    </row>
    <row r="3878" spans="45:45" ht="14.4">
      <c r="AS3878" s="20"/>
    </row>
    <row r="3879" spans="45:45" ht="14.4">
      <c r="AS3879" s="20"/>
    </row>
    <row r="3880" spans="45:45" ht="14.4">
      <c r="AS3880" s="20"/>
    </row>
    <row r="3881" spans="45:45" ht="14.4">
      <c r="AS3881" s="20"/>
    </row>
    <row r="3882" spans="45:45" ht="14.4">
      <c r="AS3882" s="20"/>
    </row>
    <row r="3883" spans="45:45" ht="14.4">
      <c r="AS3883" s="20"/>
    </row>
    <row r="3884" spans="45:45" ht="14.4">
      <c r="AS3884" s="20"/>
    </row>
    <row r="3885" spans="45:45" ht="14.4">
      <c r="AS3885" s="20"/>
    </row>
    <row r="3886" spans="45:45" ht="14.4">
      <c r="AS3886" s="20"/>
    </row>
    <row r="3887" spans="45:45" ht="14.4">
      <c r="AS3887" s="20"/>
    </row>
    <row r="3888" spans="45:45" ht="14.4">
      <c r="AS3888" s="20"/>
    </row>
    <row r="3889" spans="45:45" ht="14.4">
      <c r="AS3889" s="20"/>
    </row>
    <row r="3890" spans="45:45" ht="14.4">
      <c r="AS3890" s="20"/>
    </row>
    <row r="3891" spans="45:45" ht="14.4">
      <c r="AS3891" s="20"/>
    </row>
    <row r="3892" spans="45:45" ht="14.4">
      <c r="AS3892" s="20"/>
    </row>
    <row r="3893" spans="45:45" ht="14.4">
      <c r="AS3893" s="20"/>
    </row>
    <row r="3894" spans="45:45" ht="14.4">
      <c r="AS3894" s="20"/>
    </row>
    <row r="3895" spans="45:45" ht="14.4">
      <c r="AS3895" s="20"/>
    </row>
    <row r="3896" spans="45:45" ht="14.4">
      <c r="AS3896" s="20"/>
    </row>
    <row r="3897" spans="45:45" ht="14.4">
      <c r="AS3897" s="20"/>
    </row>
    <row r="3898" spans="45:45" ht="14.4">
      <c r="AS3898" s="20"/>
    </row>
    <row r="3899" spans="45:45" ht="14.4">
      <c r="AS3899" s="20"/>
    </row>
    <row r="3900" spans="45:45" ht="14.4">
      <c r="AS3900" s="20"/>
    </row>
    <row r="3901" spans="45:45" ht="14.4">
      <c r="AS3901" s="20"/>
    </row>
    <row r="3902" spans="45:45" ht="14.4">
      <c r="AS3902" s="20"/>
    </row>
    <row r="3903" spans="45:45" ht="14.4">
      <c r="AS3903" s="20"/>
    </row>
    <row r="3904" spans="45:45" ht="14.4">
      <c r="AS3904" s="20"/>
    </row>
    <row r="3905" spans="45:45" ht="14.4">
      <c r="AS3905" s="20"/>
    </row>
    <row r="3906" spans="45:45" ht="14.4">
      <c r="AS3906" s="20"/>
    </row>
    <row r="3907" spans="45:45" ht="14.4">
      <c r="AS3907" s="20"/>
    </row>
    <row r="3908" spans="45:45" ht="14.4">
      <c r="AS3908" s="20"/>
    </row>
    <row r="3909" spans="45:45" ht="14.4">
      <c r="AS3909" s="20"/>
    </row>
    <row r="3910" spans="45:45" ht="14.4">
      <c r="AS3910" s="20"/>
    </row>
    <row r="3911" spans="45:45" ht="14.4">
      <c r="AS3911" s="20"/>
    </row>
    <row r="3912" spans="45:45" ht="14.4">
      <c r="AS3912" s="20"/>
    </row>
    <row r="3913" spans="45:45" ht="14.4">
      <c r="AS3913" s="20"/>
    </row>
    <row r="3914" spans="45:45" ht="14.4">
      <c r="AS3914" s="20"/>
    </row>
    <row r="3915" spans="45:45" ht="14.4">
      <c r="AS3915" s="20"/>
    </row>
    <row r="3916" spans="45:45" ht="14.4">
      <c r="AS3916" s="20"/>
    </row>
    <row r="3917" spans="45:45" ht="14.4">
      <c r="AS3917" s="20"/>
    </row>
    <row r="3918" spans="45:45" ht="14.4">
      <c r="AS3918" s="20"/>
    </row>
    <row r="3919" spans="45:45" ht="14.4">
      <c r="AS3919" s="20"/>
    </row>
    <row r="3920" spans="45:45" ht="14.4">
      <c r="AS3920" s="20"/>
    </row>
    <row r="3921" spans="45:45" ht="14.4">
      <c r="AS3921" s="20"/>
    </row>
    <row r="3922" spans="45:45" ht="14.4">
      <c r="AS3922" s="20"/>
    </row>
    <row r="3923" spans="45:45" ht="14.4">
      <c r="AS3923" s="20"/>
    </row>
    <row r="3924" spans="45:45" ht="14.4">
      <c r="AS3924" s="20"/>
    </row>
    <row r="3925" spans="45:45" ht="14.4">
      <c r="AS3925" s="20"/>
    </row>
    <row r="3926" spans="45:45" ht="14.4">
      <c r="AS3926" s="20"/>
    </row>
    <row r="3927" spans="45:45" ht="14.4">
      <c r="AS3927" s="20"/>
    </row>
    <row r="3928" spans="45:45" ht="14.4">
      <c r="AS3928" s="20"/>
    </row>
    <row r="3929" spans="45:45" ht="14.4">
      <c r="AS3929" s="20"/>
    </row>
    <row r="3930" spans="45:45" ht="14.4">
      <c r="AS3930" s="20"/>
    </row>
    <row r="3931" spans="45:45" ht="14.4">
      <c r="AS3931" s="20"/>
    </row>
    <row r="3932" spans="45:45" ht="14.4">
      <c r="AS3932" s="20"/>
    </row>
    <row r="3933" spans="45:45" ht="14.4">
      <c r="AS3933" s="20"/>
    </row>
    <row r="3934" spans="45:45" ht="14.4">
      <c r="AS3934" s="20"/>
    </row>
    <row r="3935" spans="45:45" ht="14.4">
      <c r="AS3935" s="20"/>
    </row>
    <row r="3936" spans="45:45" ht="14.4">
      <c r="AS3936" s="20"/>
    </row>
    <row r="3937" spans="45:45" ht="14.4">
      <c r="AS3937" s="20"/>
    </row>
    <row r="3938" spans="45:45" ht="14.4">
      <c r="AS3938" s="20"/>
    </row>
    <row r="3939" spans="45:45" ht="14.4">
      <c r="AS3939" s="20"/>
    </row>
    <row r="3940" spans="45:45" ht="14.4">
      <c r="AS3940" s="20"/>
    </row>
    <row r="3941" spans="45:45" ht="14.4">
      <c r="AS3941" s="20"/>
    </row>
    <row r="3942" spans="45:45" ht="14.4">
      <c r="AS3942" s="20"/>
    </row>
    <row r="3943" spans="45:45" ht="14.4">
      <c r="AS3943" s="20"/>
    </row>
    <row r="3944" spans="45:45" ht="14.4">
      <c r="AS3944" s="20"/>
    </row>
    <row r="3945" spans="45:45" ht="14.4">
      <c r="AS3945" s="20"/>
    </row>
    <row r="3946" spans="45:45" ht="14.4">
      <c r="AS3946" s="20"/>
    </row>
    <row r="3947" spans="45:45" ht="14.4">
      <c r="AS3947" s="20"/>
    </row>
    <row r="3948" spans="45:45" ht="14.4">
      <c r="AS3948" s="20"/>
    </row>
    <row r="3949" spans="45:45" ht="14.4">
      <c r="AS3949" s="20"/>
    </row>
    <row r="3950" spans="45:45" ht="14.4">
      <c r="AS3950" s="20"/>
    </row>
    <row r="3951" spans="45:45" ht="14.4">
      <c r="AS3951" s="20"/>
    </row>
    <row r="3952" spans="45:45" ht="14.4">
      <c r="AS3952" s="20"/>
    </row>
    <row r="3953" spans="45:45" ht="14.4">
      <c r="AS3953" s="20"/>
    </row>
    <row r="3954" spans="45:45" ht="14.4">
      <c r="AS3954" s="20"/>
    </row>
    <row r="3955" spans="45:45" ht="14.4">
      <c r="AS3955" s="20"/>
    </row>
    <row r="3956" spans="45:45" ht="14.4">
      <c r="AS3956" s="20"/>
    </row>
    <row r="3957" spans="45:45" ht="14.4">
      <c r="AS3957" s="20"/>
    </row>
    <row r="3958" spans="45:45" ht="14.4">
      <c r="AS3958" s="20"/>
    </row>
    <row r="3959" spans="45:45" ht="14.4">
      <c r="AS3959" s="20"/>
    </row>
    <row r="3960" spans="45:45" ht="14.4">
      <c r="AS3960" s="20"/>
    </row>
    <row r="3961" spans="45:45" ht="14.4">
      <c r="AS3961" s="20"/>
    </row>
    <row r="3962" spans="45:45" ht="14.4">
      <c r="AS3962" s="20"/>
    </row>
    <row r="3963" spans="45:45" ht="14.4">
      <c r="AS3963" s="20"/>
    </row>
    <row r="3964" spans="45:45" ht="14.4">
      <c r="AS3964" s="20"/>
    </row>
    <row r="3965" spans="45:45" ht="14.4">
      <c r="AS3965" s="20"/>
    </row>
    <row r="3966" spans="45:45" ht="14.4">
      <c r="AS3966" s="20"/>
    </row>
    <row r="3967" spans="45:45" ht="14.4">
      <c r="AS3967" s="20"/>
    </row>
    <row r="3968" spans="45:45" ht="14.4">
      <c r="AS3968" s="20"/>
    </row>
    <row r="3969" spans="45:45" ht="14.4">
      <c r="AS3969" s="20"/>
    </row>
    <row r="3970" spans="45:45" ht="14.4">
      <c r="AS3970" s="20"/>
    </row>
    <row r="3971" spans="45:45" ht="14.4">
      <c r="AS3971" s="20"/>
    </row>
    <row r="3972" spans="45:45" ht="14.4">
      <c r="AS3972" s="20"/>
    </row>
    <row r="3973" spans="45:45" ht="14.4">
      <c r="AS3973" s="20"/>
    </row>
    <row r="3974" spans="45:45" ht="14.4">
      <c r="AS3974" s="20"/>
    </row>
    <row r="3975" spans="45:45" ht="14.4">
      <c r="AS3975" s="20"/>
    </row>
    <row r="3976" spans="45:45" ht="14.4">
      <c r="AS3976" s="20"/>
    </row>
    <row r="3977" spans="45:45" ht="14.4">
      <c r="AS3977" s="20"/>
    </row>
    <row r="3978" spans="45:45" ht="14.4">
      <c r="AS3978" s="20"/>
    </row>
    <row r="3979" spans="45:45" ht="14.4">
      <c r="AS3979" s="20"/>
    </row>
    <row r="3980" spans="45:45" ht="14.4">
      <c r="AS3980" s="20"/>
    </row>
    <row r="3981" spans="45:45" ht="14.4">
      <c r="AS3981" s="20"/>
    </row>
    <row r="3982" spans="45:45" ht="14.4">
      <c r="AS3982" s="20"/>
    </row>
    <row r="3983" spans="45:45" ht="14.4">
      <c r="AS3983" s="20"/>
    </row>
    <row r="3984" spans="45:45" ht="14.4">
      <c r="AS3984" s="20"/>
    </row>
    <row r="3985" spans="45:45" ht="14.4">
      <c r="AS3985" s="20"/>
    </row>
    <row r="3986" spans="45:45" ht="14.4">
      <c r="AS3986" s="20"/>
    </row>
    <row r="3987" spans="45:45" ht="14.4">
      <c r="AS3987" s="20"/>
    </row>
    <row r="3988" spans="45:45" ht="14.4">
      <c r="AS3988" s="20"/>
    </row>
    <row r="3989" spans="45:45" ht="14.4">
      <c r="AS3989" s="20"/>
    </row>
    <row r="3990" spans="45:45" ht="14.4">
      <c r="AS3990" s="20"/>
    </row>
    <row r="3991" spans="45:45" ht="14.4">
      <c r="AS3991" s="20"/>
    </row>
    <row r="3992" spans="45:45" ht="14.4">
      <c r="AS3992" s="20"/>
    </row>
    <row r="3993" spans="45:45" ht="14.4">
      <c r="AS3993" s="20"/>
    </row>
    <row r="3994" spans="45:45" ht="14.4">
      <c r="AS3994" s="20"/>
    </row>
    <row r="3995" spans="45:45" ht="14.4">
      <c r="AS3995" s="20"/>
    </row>
    <row r="3996" spans="45:45" ht="14.4">
      <c r="AS3996" s="20"/>
    </row>
    <row r="3997" spans="45:45" ht="14.4">
      <c r="AS3997" s="20"/>
    </row>
    <row r="3998" spans="45:45" ht="14.4">
      <c r="AS3998" s="20"/>
    </row>
    <row r="3999" spans="45:45" ht="14.4">
      <c r="AS3999" s="20"/>
    </row>
    <row r="4000" spans="45:45" ht="14.4">
      <c r="AS4000" s="20"/>
    </row>
    <row r="4001" spans="45:45" ht="14.4">
      <c r="AS4001" s="20"/>
    </row>
    <row r="4002" spans="45:45" ht="14.4">
      <c r="AS4002" s="20"/>
    </row>
    <row r="4003" spans="45:45" ht="14.4">
      <c r="AS4003" s="20"/>
    </row>
    <row r="4004" spans="45:45" ht="14.4">
      <c r="AS4004" s="20"/>
    </row>
    <row r="4005" spans="45:45" ht="14.4">
      <c r="AS4005" s="20"/>
    </row>
    <row r="4006" spans="45:45" ht="14.4">
      <c r="AS4006" s="20"/>
    </row>
    <row r="4007" spans="45:45" ht="14.4">
      <c r="AS4007" s="20"/>
    </row>
    <row r="4008" spans="45:45" ht="14.4">
      <c r="AS4008" s="20"/>
    </row>
    <row r="4009" spans="45:45" ht="14.4">
      <c r="AS4009" s="20"/>
    </row>
    <row r="4010" spans="45:45" ht="14.4">
      <c r="AS4010" s="20"/>
    </row>
    <row r="4011" spans="45:45" ht="14.4">
      <c r="AS4011" s="20"/>
    </row>
    <row r="4012" spans="45:45" ht="14.4">
      <c r="AS4012" s="20"/>
    </row>
    <row r="4013" spans="45:45" ht="14.4">
      <c r="AS4013" s="20"/>
    </row>
    <row r="4014" spans="45:45" ht="14.4">
      <c r="AS4014" s="20"/>
    </row>
    <row r="4015" spans="45:45" ht="14.4">
      <c r="AS4015" s="20"/>
    </row>
    <row r="4016" spans="45:45" ht="14.4">
      <c r="AS4016" s="20"/>
    </row>
    <row r="4017" spans="45:45" ht="14.4">
      <c r="AS4017" s="20"/>
    </row>
    <row r="4018" spans="45:45" ht="14.4">
      <c r="AS4018" s="20"/>
    </row>
    <row r="4019" spans="45:45" ht="14.4">
      <c r="AS4019" s="20"/>
    </row>
    <row r="4020" spans="45:45" ht="14.4">
      <c r="AS4020" s="20"/>
    </row>
    <row r="4021" spans="45:45" ht="14.4">
      <c r="AS4021" s="20"/>
    </row>
    <row r="4022" spans="45:45" ht="14.4">
      <c r="AS4022" s="20"/>
    </row>
    <row r="4023" spans="45:45" ht="14.4">
      <c r="AS4023" s="20"/>
    </row>
    <row r="4024" spans="45:45" ht="14.4">
      <c r="AS4024" s="20"/>
    </row>
    <row r="4025" spans="45:45" ht="14.4">
      <c r="AS4025" s="20"/>
    </row>
    <row r="4026" spans="45:45" ht="14.4">
      <c r="AS4026" s="20"/>
    </row>
    <row r="4027" spans="45:45" ht="14.4">
      <c r="AS4027" s="20"/>
    </row>
    <row r="4028" spans="45:45" ht="14.4">
      <c r="AS4028" s="20"/>
    </row>
    <row r="4029" spans="45:45" ht="14.4">
      <c r="AS4029" s="20"/>
    </row>
    <row r="4030" spans="45:45" ht="14.4">
      <c r="AS4030" s="20"/>
    </row>
    <row r="4031" spans="45:45" ht="14.4">
      <c r="AS4031" s="20"/>
    </row>
    <row r="4032" spans="45:45" ht="14.4">
      <c r="AS4032" s="20"/>
    </row>
    <row r="4033" spans="45:45" ht="14.4">
      <c r="AS4033" s="20"/>
    </row>
    <row r="4034" spans="45:45" ht="14.4">
      <c r="AS4034" s="20"/>
    </row>
    <row r="4035" spans="45:45" ht="14.4">
      <c r="AS4035" s="20"/>
    </row>
    <row r="4036" spans="45:45" ht="14.4">
      <c r="AS4036" s="20"/>
    </row>
    <row r="4037" spans="45:45" ht="14.4">
      <c r="AS4037" s="20"/>
    </row>
    <row r="4038" spans="45:45" ht="14.4">
      <c r="AS4038" s="20"/>
    </row>
    <row r="4039" spans="45:45" ht="14.4">
      <c r="AS4039" s="20"/>
    </row>
    <row r="4040" spans="45:45" ht="14.4">
      <c r="AS4040" s="20"/>
    </row>
    <row r="4041" spans="45:45" ht="14.4">
      <c r="AS4041" s="20"/>
    </row>
    <row r="4042" spans="45:45" ht="14.4">
      <c r="AS4042" s="20"/>
    </row>
    <row r="4043" spans="45:45" ht="14.4">
      <c r="AS4043" s="20"/>
    </row>
    <row r="4044" spans="45:45" ht="14.4">
      <c r="AS4044" s="20"/>
    </row>
    <row r="4045" spans="45:45" ht="14.4">
      <c r="AS4045" s="20"/>
    </row>
    <row r="4046" spans="45:45" ht="14.4">
      <c r="AS4046" s="20"/>
    </row>
    <row r="4047" spans="45:45" ht="14.4">
      <c r="AS4047" s="20"/>
    </row>
    <row r="4048" spans="45:45" ht="14.4">
      <c r="AS4048" s="20"/>
    </row>
    <row r="4049" spans="45:45" ht="14.4">
      <c r="AS4049" s="20"/>
    </row>
    <row r="4050" spans="45:45" ht="14.4">
      <c r="AS4050" s="20"/>
    </row>
    <row r="4051" spans="45:45" ht="14.4">
      <c r="AS4051" s="20"/>
    </row>
    <row r="4052" spans="45:45" ht="14.4">
      <c r="AS4052" s="20"/>
    </row>
    <row r="4053" spans="45:45" ht="14.4">
      <c r="AS4053" s="20"/>
    </row>
    <row r="4054" spans="45:45" ht="14.4">
      <c r="AS4054" s="20"/>
    </row>
    <row r="4055" spans="45:45" ht="14.4">
      <c r="AS4055" s="20"/>
    </row>
    <row r="4056" spans="45:45" ht="14.4">
      <c r="AS4056" s="20"/>
    </row>
    <row r="4057" spans="45:45" ht="14.4">
      <c r="AS4057" s="20"/>
    </row>
    <row r="4058" spans="45:45" ht="14.4">
      <c r="AS4058" s="20"/>
    </row>
    <row r="4059" spans="45:45" ht="14.4">
      <c r="AS4059" s="20"/>
    </row>
    <row r="4060" spans="45:45" ht="14.4">
      <c r="AS4060" s="20"/>
    </row>
    <row r="4061" spans="45:45" ht="14.4">
      <c r="AS4061" s="20"/>
    </row>
    <row r="4062" spans="45:45" ht="14.4">
      <c r="AS4062" s="20"/>
    </row>
    <row r="4063" spans="45:45" ht="14.4">
      <c r="AS4063" s="20"/>
    </row>
    <row r="4064" spans="45:45" ht="14.4">
      <c r="AS4064" s="20"/>
    </row>
    <row r="4065" spans="45:45" ht="14.4">
      <c r="AS4065" s="20"/>
    </row>
    <row r="4066" spans="45:45" ht="14.4">
      <c r="AS4066" s="20"/>
    </row>
    <row r="4067" spans="45:45" ht="14.4">
      <c r="AS4067" s="20"/>
    </row>
    <row r="4068" spans="45:45" ht="14.4">
      <c r="AS4068" s="20"/>
    </row>
    <row r="4069" spans="45:45" ht="14.4">
      <c r="AS4069" s="20"/>
    </row>
    <row r="4070" spans="45:45" ht="14.4">
      <c r="AS4070" s="20"/>
    </row>
    <row r="4071" spans="45:45" ht="14.4">
      <c r="AS4071" s="20"/>
    </row>
    <row r="4072" spans="45:45" ht="14.4">
      <c r="AS4072" s="20"/>
    </row>
    <row r="4073" spans="45:45" ht="14.4">
      <c r="AS4073" s="20"/>
    </row>
    <row r="4074" spans="45:45" ht="14.4">
      <c r="AS4074" s="20"/>
    </row>
    <row r="4075" spans="45:45" ht="14.4">
      <c r="AS4075" s="20"/>
    </row>
    <row r="4076" spans="45:45" ht="14.4">
      <c r="AS4076" s="20"/>
    </row>
    <row r="4077" spans="45:45" ht="14.4">
      <c r="AS4077" s="20"/>
    </row>
    <row r="4078" spans="45:45" ht="14.4">
      <c r="AS4078" s="20"/>
    </row>
    <row r="4079" spans="45:45" ht="14.4">
      <c r="AS4079" s="20"/>
    </row>
    <row r="4080" spans="45:45" ht="14.4">
      <c r="AS4080" s="20"/>
    </row>
    <row r="4081" spans="45:45" ht="14.4">
      <c r="AS4081" s="20"/>
    </row>
    <row r="4082" spans="45:45" ht="14.4">
      <c r="AS4082" s="20"/>
    </row>
    <row r="4083" spans="45:45" ht="14.4">
      <c r="AS4083" s="20"/>
    </row>
    <row r="4084" spans="45:45" ht="14.4">
      <c r="AS4084" s="20"/>
    </row>
    <row r="4085" spans="45:45" ht="14.4">
      <c r="AS4085" s="20"/>
    </row>
    <row r="4086" spans="45:45" ht="14.4">
      <c r="AS4086" s="20"/>
    </row>
    <row r="4087" spans="45:45" ht="14.4">
      <c r="AS4087" s="20"/>
    </row>
    <row r="4088" spans="45:45" ht="14.4">
      <c r="AS4088" s="20"/>
    </row>
    <row r="4089" spans="45:45" ht="14.4">
      <c r="AS4089" s="20"/>
    </row>
    <row r="4090" spans="45:45" ht="14.4">
      <c r="AS4090" s="20"/>
    </row>
    <row r="4091" spans="45:45" ht="14.4">
      <c r="AS4091" s="20"/>
    </row>
    <row r="4092" spans="45:45" ht="14.4">
      <c r="AS4092" s="20"/>
    </row>
    <row r="4093" spans="45:45" ht="14.4">
      <c r="AS4093" s="20"/>
    </row>
    <row r="4094" spans="45:45" ht="14.4">
      <c r="AS4094" s="20"/>
    </row>
    <row r="4095" spans="45:45" ht="14.4">
      <c r="AS4095" s="20"/>
    </row>
    <row r="4096" spans="45:45" ht="14.4">
      <c r="AS4096" s="20"/>
    </row>
    <row r="4097" spans="45:45" ht="14.4">
      <c r="AS4097" s="20"/>
    </row>
    <row r="4098" spans="45:45" ht="14.4">
      <c r="AS4098" s="20"/>
    </row>
    <row r="4099" spans="45:45" ht="14.4">
      <c r="AS4099" s="20"/>
    </row>
    <row r="4100" spans="45:45" ht="14.4">
      <c r="AS4100" s="20"/>
    </row>
    <row r="4101" spans="45:45" ht="14.4">
      <c r="AS4101" s="20"/>
    </row>
    <row r="4102" spans="45:45" ht="14.4">
      <c r="AS4102" s="20"/>
    </row>
    <row r="4103" spans="45:45" ht="14.4">
      <c r="AS4103" s="20"/>
    </row>
    <row r="4104" spans="45:45" ht="14.4">
      <c r="AS4104" s="20"/>
    </row>
    <row r="4105" spans="45:45" ht="14.4">
      <c r="AS4105" s="20"/>
    </row>
    <row r="4106" spans="45:45" ht="14.4">
      <c r="AS4106" s="20"/>
    </row>
    <row r="4107" spans="45:45" ht="14.4">
      <c r="AS4107" s="20"/>
    </row>
    <row r="4108" spans="45:45" ht="14.4">
      <c r="AS4108" s="20"/>
    </row>
    <row r="4109" spans="45:45" ht="14.4">
      <c r="AS4109" s="20"/>
    </row>
    <row r="4110" spans="45:45" ht="14.4">
      <c r="AS4110" s="20"/>
    </row>
    <row r="4111" spans="45:45" ht="14.4">
      <c r="AS4111" s="20"/>
    </row>
    <row r="4112" spans="45:45" ht="14.4">
      <c r="AS4112" s="20"/>
    </row>
    <row r="4113" spans="45:45" ht="14.4">
      <c r="AS4113" s="20"/>
    </row>
    <row r="4114" spans="45:45" ht="14.4">
      <c r="AS4114" s="20"/>
    </row>
    <row r="4115" spans="45:45" ht="14.4">
      <c r="AS4115" s="20"/>
    </row>
    <row r="4116" spans="45:45" ht="14.4">
      <c r="AS4116" s="20"/>
    </row>
    <row r="4117" spans="45:45" ht="14.4">
      <c r="AS4117" s="20"/>
    </row>
    <row r="4118" spans="45:45" ht="14.4">
      <c r="AS4118" s="20"/>
    </row>
    <row r="4119" spans="45:45" ht="14.4">
      <c r="AS4119" s="20"/>
    </row>
    <row r="4120" spans="45:45" ht="14.4">
      <c r="AS4120" s="20"/>
    </row>
    <row r="4121" spans="45:45" ht="14.4">
      <c r="AS4121" s="20"/>
    </row>
    <row r="4122" spans="45:45" ht="14.4">
      <c r="AS4122" s="20"/>
    </row>
    <row r="4123" spans="45:45" ht="14.4">
      <c r="AS4123" s="20"/>
    </row>
    <row r="4124" spans="45:45" ht="14.4">
      <c r="AS4124" s="20"/>
    </row>
    <row r="4125" spans="45:45" ht="14.4">
      <c r="AS4125" s="20"/>
    </row>
    <row r="4126" spans="45:45" ht="14.4">
      <c r="AS4126" s="20"/>
    </row>
    <row r="4127" spans="45:45" ht="14.4">
      <c r="AS4127" s="20"/>
    </row>
    <row r="4128" spans="45:45" ht="14.4">
      <c r="AS4128" s="20"/>
    </row>
    <row r="4129" spans="45:45" ht="14.4">
      <c r="AS4129" s="20"/>
    </row>
    <row r="4130" spans="45:45" ht="14.4">
      <c r="AS4130" s="20"/>
    </row>
    <row r="4131" spans="45:45" ht="14.4">
      <c r="AS4131" s="20"/>
    </row>
    <row r="4132" spans="45:45" ht="14.4">
      <c r="AS4132" s="20"/>
    </row>
    <row r="4133" spans="45:45" ht="14.4">
      <c r="AS4133" s="20"/>
    </row>
    <row r="4134" spans="45:45" ht="14.4">
      <c r="AS4134" s="20"/>
    </row>
    <row r="4135" spans="45:45" ht="14.4">
      <c r="AS4135" s="20"/>
    </row>
    <row r="4136" spans="45:45" ht="14.4">
      <c r="AS4136" s="20"/>
    </row>
    <row r="4137" spans="45:45" ht="14.4">
      <c r="AS4137" s="20"/>
    </row>
    <row r="4138" spans="45:45" ht="14.4">
      <c r="AS4138" s="20"/>
    </row>
    <row r="4139" spans="45:45" ht="14.4">
      <c r="AS4139" s="20"/>
    </row>
    <row r="4140" spans="45:45" ht="14.4">
      <c r="AS4140" s="20"/>
    </row>
    <row r="4141" spans="45:45" ht="14.4">
      <c r="AS4141" s="20"/>
    </row>
    <row r="4142" spans="45:45" ht="14.4">
      <c r="AS4142" s="20"/>
    </row>
    <row r="4143" spans="45:45" ht="14.4">
      <c r="AS4143" s="20"/>
    </row>
    <row r="4144" spans="45:45" ht="14.4">
      <c r="AS4144" s="20"/>
    </row>
    <row r="4145" spans="45:45" ht="14.4">
      <c r="AS4145" s="20"/>
    </row>
    <row r="4146" spans="45:45" ht="14.4">
      <c r="AS4146" s="20"/>
    </row>
    <row r="4147" spans="45:45" ht="14.4">
      <c r="AS4147" s="20"/>
    </row>
    <row r="4148" spans="45:45" ht="14.4">
      <c r="AS4148" s="20"/>
    </row>
    <row r="4149" spans="45:45" ht="14.4">
      <c r="AS4149" s="20"/>
    </row>
    <row r="4150" spans="45:45" ht="14.4">
      <c r="AS4150" s="20"/>
    </row>
    <row r="4151" spans="45:45" ht="14.4">
      <c r="AS4151" s="20"/>
    </row>
    <row r="4152" spans="45:45" ht="14.4">
      <c r="AS4152" s="20"/>
    </row>
    <row r="4153" spans="45:45" ht="14.4">
      <c r="AS4153" s="20"/>
    </row>
    <row r="4154" spans="45:45" ht="14.4">
      <c r="AS4154" s="20"/>
    </row>
    <row r="4155" spans="45:45" ht="14.4">
      <c r="AS4155" s="20"/>
    </row>
    <row r="4156" spans="45:45" ht="14.4">
      <c r="AS4156" s="20"/>
    </row>
    <row r="4157" spans="45:45" ht="14.4">
      <c r="AS4157" s="20"/>
    </row>
    <row r="4158" spans="45:45" ht="14.4">
      <c r="AS4158" s="20"/>
    </row>
    <row r="4159" spans="45:45" ht="14.4">
      <c r="AS4159" s="20"/>
    </row>
    <row r="4160" spans="45:45" ht="14.4">
      <c r="AS4160" s="20"/>
    </row>
    <row r="4161" spans="45:45" ht="14.4">
      <c r="AS4161" s="20"/>
    </row>
    <row r="4162" spans="45:45" ht="14.4">
      <c r="AS4162" s="20"/>
    </row>
    <row r="4163" spans="45:45" ht="14.4">
      <c r="AS4163" s="20"/>
    </row>
    <row r="4164" spans="45:45" ht="14.4">
      <c r="AS4164" s="20"/>
    </row>
    <row r="4165" spans="45:45" ht="14.4">
      <c r="AS4165" s="20"/>
    </row>
    <row r="4166" spans="45:45" ht="14.4">
      <c r="AS4166" s="20"/>
    </row>
    <row r="4167" spans="45:45" ht="14.4">
      <c r="AS4167" s="20"/>
    </row>
    <row r="4168" spans="45:45" ht="14.4">
      <c r="AS4168" s="20"/>
    </row>
    <row r="4169" spans="45:45" ht="14.4">
      <c r="AS4169" s="20"/>
    </row>
    <row r="4170" spans="45:45" ht="14.4">
      <c r="AS4170" s="20"/>
    </row>
    <row r="4171" spans="45:45" ht="14.4">
      <c r="AS4171" s="20"/>
    </row>
    <row r="4172" spans="45:45" ht="14.4">
      <c r="AS4172" s="20"/>
    </row>
    <row r="4173" spans="45:45" ht="14.4">
      <c r="AS4173" s="20"/>
    </row>
    <row r="4174" spans="45:45" ht="14.4">
      <c r="AS4174" s="20"/>
    </row>
    <row r="4175" spans="45:45" ht="14.4">
      <c r="AS4175" s="20"/>
    </row>
    <row r="4176" spans="45:45" ht="14.4">
      <c r="AS4176" s="20"/>
    </row>
    <row r="4177" spans="45:45" ht="14.4">
      <c r="AS4177" s="20"/>
    </row>
    <row r="4178" spans="45:45" ht="14.4">
      <c r="AS4178" s="20"/>
    </row>
    <row r="4179" spans="45:45" ht="14.4">
      <c r="AS4179" s="20"/>
    </row>
    <row r="4180" spans="45:45" ht="14.4">
      <c r="AS4180" s="20"/>
    </row>
    <row r="4181" spans="45:45" ht="14.4">
      <c r="AS4181" s="20"/>
    </row>
    <row r="4182" spans="45:45" ht="14.4">
      <c r="AS4182" s="20"/>
    </row>
    <row r="4183" spans="45:45" ht="14.4">
      <c r="AS4183" s="20"/>
    </row>
    <row r="4184" spans="45:45" ht="14.4">
      <c r="AS4184" s="20"/>
    </row>
    <row r="4185" spans="45:45" ht="14.4">
      <c r="AS4185" s="20"/>
    </row>
    <row r="4186" spans="45:45" ht="14.4">
      <c r="AS4186" s="20"/>
    </row>
    <row r="4187" spans="45:45" ht="14.4">
      <c r="AS4187" s="20"/>
    </row>
    <row r="4188" spans="45:45" ht="14.4">
      <c r="AS4188" s="20"/>
    </row>
    <row r="4189" spans="45:45" ht="14.4">
      <c r="AS4189" s="20"/>
    </row>
    <row r="4190" spans="45:45" ht="14.4">
      <c r="AS4190" s="20"/>
    </row>
    <row r="4191" spans="45:45" ht="14.4">
      <c r="AS4191" s="20"/>
    </row>
    <row r="4192" spans="45:45" ht="14.4">
      <c r="AS4192" s="20"/>
    </row>
    <row r="4193" spans="45:45" ht="14.4">
      <c r="AS4193" s="20"/>
    </row>
    <row r="4194" spans="45:45" ht="14.4">
      <c r="AS4194" s="20"/>
    </row>
    <row r="4195" spans="45:45" ht="14.4">
      <c r="AS4195" s="20"/>
    </row>
    <row r="4196" spans="45:45" ht="14.4">
      <c r="AS4196" s="20"/>
    </row>
    <row r="4197" spans="45:45" ht="14.4">
      <c r="AS4197" s="20"/>
    </row>
    <row r="4198" spans="45:45" ht="14.4">
      <c r="AS4198" s="20"/>
    </row>
    <row r="4199" spans="45:45" ht="14.4">
      <c r="AS4199" s="20"/>
    </row>
    <row r="4200" spans="45:45" ht="14.4">
      <c r="AS4200" s="20"/>
    </row>
    <row r="4201" spans="45:45" ht="14.4">
      <c r="AS4201" s="20"/>
    </row>
    <row r="4202" spans="45:45" ht="14.4">
      <c r="AS4202" s="20"/>
    </row>
    <row r="4203" spans="45:45" ht="14.4">
      <c r="AS4203" s="20"/>
    </row>
    <row r="4204" spans="45:45" ht="14.4">
      <c r="AS4204" s="20"/>
    </row>
    <row r="4205" spans="45:45" ht="14.4">
      <c r="AS4205" s="20"/>
    </row>
    <row r="4206" spans="45:45" ht="14.4">
      <c r="AS4206" s="20"/>
    </row>
    <row r="4207" spans="45:45" ht="14.4">
      <c r="AS4207" s="20"/>
    </row>
    <row r="4208" spans="45:45" ht="14.4">
      <c r="AS4208" s="20"/>
    </row>
    <row r="4209" spans="45:45" ht="14.4">
      <c r="AS4209" s="20"/>
    </row>
    <row r="4210" spans="45:45" ht="14.4">
      <c r="AS4210" s="20"/>
    </row>
    <row r="4211" spans="45:45" ht="14.4">
      <c r="AS4211" s="20"/>
    </row>
    <row r="4212" spans="45:45" ht="14.4">
      <c r="AS4212" s="20"/>
    </row>
    <row r="4213" spans="45:45" ht="14.4">
      <c r="AS4213" s="20"/>
    </row>
    <row r="4214" spans="45:45" ht="14.4">
      <c r="AS4214" s="20"/>
    </row>
    <row r="4215" spans="45:45" ht="14.4">
      <c r="AS4215" s="20"/>
    </row>
    <row r="4216" spans="45:45" ht="14.4">
      <c r="AS4216" s="20"/>
    </row>
    <row r="4217" spans="45:45" ht="14.4">
      <c r="AS4217" s="20"/>
    </row>
    <row r="4218" spans="45:45" ht="14.4">
      <c r="AS4218" s="20"/>
    </row>
    <row r="4219" spans="45:45" ht="14.4">
      <c r="AS4219" s="20"/>
    </row>
    <row r="4220" spans="45:45" ht="14.4">
      <c r="AS4220" s="20"/>
    </row>
    <row r="4221" spans="45:45" ht="14.4">
      <c r="AS4221" s="20"/>
    </row>
    <row r="4222" spans="45:45" ht="14.4">
      <c r="AS4222" s="20"/>
    </row>
    <row r="4223" spans="45:45" ht="14.4">
      <c r="AS4223" s="20"/>
    </row>
    <row r="4224" spans="45:45" ht="14.4">
      <c r="AS4224" s="20"/>
    </row>
    <row r="4225" spans="45:45" ht="14.4">
      <c r="AS4225" s="20"/>
    </row>
    <row r="4226" spans="45:45" ht="14.4">
      <c r="AS4226" s="20"/>
    </row>
    <row r="4227" spans="45:45" ht="14.4">
      <c r="AS4227" s="20"/>
    </row>
    <row r="4228" spans="45:45" ht="14.4">
      <c r="AS4228" s="20"/>
    </row>
    <row r="4229" spans="45:45" ht="14.4">
      <c r="AS4229" s="20"/>
    </row>
    <row r="4230" spans="45:45" ht="14.4">
      <c r="AS4230" s="20"/>
    </row>
    <row r="4231" spans="45:45" ht="14.4">
      <c r="AS4231" s="20"/>
    </row>
    <row r="4232" spans="45:45" ht="14.4">
      <c r="AS4232" s="20"/>
    </row>
    <row r="4233" spans="45:45" ht="14.4">
      <c r="AS4233" s="20"/>
    </row>
    <row r="4234" spans="45:45" ht="14.4">
      <c r="AS4234" s="20"/>
    </row>
    <row r="4235" spans="45:45" ht="14.4">
      <c r="AS4235" s="20"/>
    </row>
    <row r="4236" spans="45:45" ht="14.4">
      <c r="AS4236" s="20"/>
    </row>
    <row r="4237" spans="45:45" ht="14.4">
      <c r="AS4237" s="20"/>
    </row>
    <row r="4238" spans="45:45" ht="14.4">
      <c r="AS4238" s="20"/>
    </row>
    <row r="4239" spans="45:45" ht="14.4">
      <c r="AS4239" s="20"/>
    </row>
    <row r="4240" spans="45:45" ht="14.4">
      <c r="AS4240" s="20"/>
    </row>
    <row r="4241" spans="45:45" ht="14.4">
      <c r="AS4241" s="20"/>
    </row>
    <row r="4242" spans="45:45" ht="14.4">
      <c r="AS4242" s="20"/>
    </row>
    <row r="4243" spans="45:45" ht="14.4">
      <c r="AS4243" s="20"/>
    </row>
    <row r="4244" spans="45:45" ht="14.4">
      <c r="AS4244" s="20"/>
    </row>
    <row r="4245" spans="45:45" ht="14.4">
      <c r="AS4245" s="20"/>
    </row>
    <row r="4246" spans="45:45" ht="14.4">
      <c r="AS4246" s="20"/>
    </row>
    <row r="4247" spans="45:45" ht="14.4">
      <c r="AS4247" s="20"/>
    </row>
    <row r="4248" spans="45:45" ht="14.4">
      <c r="AS4248" s="20"/>
    </row>
    <row r="4249" spans="45:45" ht="14.4">
      <c r="AS4249" s="20"/>
    </row>
    <row r="4250" spans="45:45" ht="14.4">
      <c r="AS4250" s="20"/>
    </row>
    <row r="4251" spans="45:45" ht="14.4">
      <c r="AS4251" s="20"/>
    </row>
    <row r="4252" spans="45:45" ht="14.4">
      <c r="AS4252" s="20"/>
    </row>
    <row r="4253" spans="45:45" ht="14.4">
      <c r="AS4253" s="20"/>
    </row>
    <row r="4254" spans="45:45" ht="14.4">
      <c r="AS4254" s="20"/>
    </row>
    <row r="4255" spans="45:45" ht="14.4">
      <c r="AS4255" s="20"/>
    </row>
    <row r="4256" spans="45:45" ht="14.4">
      <c r="AS4256" s="20"/>
    </row>
    <row r="4257" spans="45:45" ht="14.4">
      <c r="AS4257" s="20"/>
    </row>
    <row r="4258" spans="45:45" ht="14.4">
      <c r="AS4258" s="20"/>
    </row>
    <row r="4259" spans="45:45" ht="14.4">
      <c r="AS4259" s="20"/>
    </row>
    <row r="4260" spans="45:45" ht="14.4">
      <c r="AS4260" s="20"/>
    </row>
    <row r="4261" spans="45:45" ht="14.4">
      <c r="AS4261" s="20"/>
    </row>
    <row r="4262" spans="45:45" ht="14.4">
      <c r="AS4262" s="20"/>
    </row>
    <row r="4263" spans="45:45" ht="14.4">
      <c r="AS4263" s="20"/>
    </row>
    <row r="4264" spans="45:45" ht="14.4">
      <c r="AS4264" s="20"/>
    </row>
    <row r="4265" spans="45:45" ht="14.4">
      <c r="AS4265" s="20"/>
    </row>
    <row r="4266" spans="45:45" ht="14.4">
      <c r="AS4266" s="20"/>
    </row>
    <row r="4267" spans="45:45" ht="14.4">
      <c r="AS4267" s="20"/>
    </row>
    <row r="4268" spans="45:45" ht="14.4">
      <c r="AS4268" s="20"/>
    </row>
    <row r="4269" spans="45:45" ht="14.4">
      <c r="AS4269" s="20"/>
    </row>
    <row r="4270" spans="45:45" ht="14.4">
      <c r="AS4270" s="20"/>
    </row>
    <row r="4271" spans="45:45" ht="14.4">
      <c r="AS4271" s="20"/>
    </row>
    <row r="4272" spans="45:45" ht="14.4">
      <c r="AS4272" s="20"/>
    </row>
    <row r="4273" spans="45:45" ht="14.4">
      <c r="AS4273" s="20"/>
    </row>
    <row r="4274" spans="45:45" ht="14.4">
      <c r="AS4274" s="20"/>
    </row>
    <row r="4275" spans="45:45" ht="14.4">
      <c r="AS4275" s="20"/>
    </row>
    <row r="4276" spans="45:45" ht="14.4">
      <c r="AS4276" s="20"/>
    </row>
    <row r="4277" spans="45:45" ht="14.4">
      <c r="AS4277" s="20"/>
    </row>
    <row r="4278" spans="45:45" ht="14.4">
      <c r="AS4278" s="20"/>
    </row>
    <row r="4279" spans="45:45" ht="14.4">
      <c r="AS4279" s="20"/>
    </row>
    <row r="4280" spans="45:45" ht="14.4">
      <c r="AS4280" s="20"/>
    </row>
    <row r="4281" spans="45:45" ht="14.4">
      <c r="AS4281" s="20"/>
    </row>
    <row r="4282" spans="45:45" ht="14.4">
      <c r="AS4282" s="20"/>
    </row>
    <row r="4283" spans="45:45" ht="14.4">
      <c r="AS4283" s="20"/>
    </row>
    <row r="4284" spans="45:45" ht="14.4">
      <c r="AS4284" s="20"/>
    </row>
    <row r="4285" spans="45:45" ht="14.4">
      <c r="AS4285" s="20"/>
    </row>
    <row r="4286" spans="45:45" ht="14.4">
      <c r="AS4286" s="20"/>
    </row>
    <row r="4287" spans="45:45" ht="14.4">
      <c r="AS4287" s="20"/>
    </row>
    <row r="4288" spans="45:45" ht="14.4">
      <c r="AS4288" s="20"/>
    </row>
    <row r="4289" spans="45:45" ht="14.4">
      <c r="AS4289" s="20"/>
    </row>
    <row r="4290" spans="45:45" ht="14.4">
      <c r="AS4290" s="20"/>
    </row>
    <row r="4291" spans="45:45" ht="14.4">
      <c r="AS4291" s="20"/>
    </row>
    <row r="4292" spans="45:45" ht="14.4">
      <c r="AS4292" s="20"/>
    </row>
    <row r="4293" spans="45:45" ht="14.4">
      <c r="AS4293" s="20"/>
    </row>
    <row r="4294" spans="45:45" ht="14.4">
      <c r="AS4294" s="20"/>
    </row>
    <row r="4295" spans="45:45" ht="14.4">
      <c r="AS4295" s="20"/>
    </row>
    <row r="4296" spans="45:45" ht="14.4">
      <c r="AS4296" s="20"/>
    </row>
    <row r="4297" spans="45:45" ht="14.4">
      <c r="AS4297" s="20"/>
    </row>
    <row r="4298" spans="45:45" ht="14.4">
      <c r="AS4298" s="20"/>
    </row>
    <row r="4299" spans="45:45" ht="14.4">
      <c r="AS4299" s="20"/>
    </row>
    <row r="4300" spans="45:45" ht="14.4">
      <c r="AS4300" s="20"/>
    </row>
    <row r="4301" spans="45:45" ht="14.4">
      <c r="AS4301" s="20"/>
    </row>
    <row r="4302" spans="45:45" ht="14.4">
      <c r="AS4302" s="20"/>
    </row>
    <row r="4303" spans="45:45" ht="14.4">
      <c r="AS4303" s="20"/>
    </row>
    <row r="4304" spans="45:45" ht="14.4">
      <c r="AS4304" s="20"/>
    </row>
    <row r="4305" spans="45:45" ht="14.4">
      <c r="AS4305" s="20"/>
    </row>
    <row r="4306" spans="45:45" ht="14.4">
      <c r="AS4306" s="20"/>
    </row>
    <row r="4307" spans="45:45" ht="14.4">
      <c r="AS4307" s="20"/>
    </row>
    <row r="4308" spans="45:45" ht="14.4">
      <c r="AS4308" s="20"/>
    </row>
    <row r="4309" spans="45:45" ht="14.4">
      <c r="AS4309" s="20"/>
    </row>
    <row r="4310" spans="45:45" ht="14.4">
      <c r="AS4310" s="20"/>
    </row>
    <row r="4311" spans="45:45" ht="14.4">
      <c r="AS4311" s="20"/>
    </row>
    <row r="4312" spans="45:45" ht="14.4">
      <c r="AS4312" s="20"/>
    </row>
    <row r="4313" spans="45:45" ht="14.4">
      <c r="AS4313" s="20"/>
    </row>
    <row r="4314" spans="45:45" ht="14.4">
      <c r="AS4314" s="20"/>
    </row>
    <row r="4315" spans="45:45" ht="14.4">
      <c r="AS4315" s="20"/>
    </row>
    <row r="4316" spans="45:45" ht="14.4">
      <c r="AS4316" s="20"/>
    </row>
    <row r="4317" spans="45:45" ht="14.4">
      <c r="AS4317" s="20"/>
    </row>
    <row r="4318" spans="45:45" ht="14.4">
      <c r="AS4318" s="20"/>
    </row>
    <row r="4319" spans="45:45" ht="14.4">
      <c r="AS4319" s="20"/>
    </row>
    <row r="4320" spans="45:45" ht="14.4">
      <c r="AS4320" s="20"/>
    </row>
    <row r="4321" spans="45:45" ht="14.4">
      <c r="AS4321" s="20"/>
    </row>
    <row r="4322" spans="45:45" ht="14.4">
      <c r="AS4322" s="20"/>
    </row>
    <row r="4323" spans="45:45" ht="14.4">
      <c r="AS4323" s="20"/>
    </row>
    <row r="4324" spans="45:45" ht="14.4">
      <c r="AS4324" s="20"/>
    </row>
    <row r="4325" spans="45:45" ht="14.4">
      <c r="AS4325" s="20"/>
    </row>
    <row r="4326" spans="45:45" ht="14.4">
      <c r="AS4326" s="20"/>
    </row>
    <row r="4327" spans="45:45" ht="14.4">
      <c r="AS4327" s="20"/>
    </row>
    <row r="4328" spans="45:45" ht="14.4">
      <c r="AS4328" s="20"/>
    </row>
    <row r="4329" spans="45:45" ht="14.4">
      <c r="AS4329" s="20"/>
    </row>
    <row r="4330" spans="45:45" ht="14.4">
      <c r="AS4330" s="20"/>
    </row>
    <row r="4331" spans="45:45" ht="14.4">
      <c r="AS4331" s="20"/>
    </row>
    <row r="4332" spans="45:45" ht="14.4">
      <c r="AS4332" s="20"/>
    </row>
    <row r="4333" spans="45:45" ht="14.4">
      <c r="AS4333" s="20"/>
    </row>
    <row r="4334" spans="45:45" ht="14.4">
      <c r="AS4334" s="20"/>
    </row>
    <row r="4335" spans="45:45" ht="14.4">
      <c r="AS4335" s="20"/>
    </row>
    <row r="4336" spans="45:45" ht="14.4">
      <c r="AS4336" s="20"/>
    </row>
    <row r="4337" spans="45:45" ht="14.4">
      <c r="AS4337" s="20"/>
    </row>
    <row r="4338" spans="45:45" ht="14.4">
      <c r="AS4338" s="20"/>
    </row>
    <row r="4339" spans="45:45" ht="14.4">
      <c r="AS4339" s="20"/>
    </row>
    <row r="4340" spans="45:45" ht="14.4">
      <c r="AS4340" s="20"/>
    </row>
    <row r="4341" spans="45:45" ht="14.4">
      <c r="AS4341" s="20"/>
    </row>
    <row r="4342" spans="45:45" ht="14.4">
      <c r="AS4342" s="20"/>
    </row>
    <row r="4343" spans="45:45" ht="14.4">
      <c r="AS4343" s="20"/>
    </row>
    <row r="4344" spans="45:45" ht="14.4">
      <c r="AS4344" s="20"/>
    </row>
    <row r="4345" spans="45:45" ht="14.4">
      <c r="AS4345" s="20"/>
    </row>
    <row r="4346" spans="45:45" ht="14.4">
      <c r="AS4346" s="20"/>
    </row>
    <row r="4347" spans="45:45" ht="14.4">
      <c r="AS4347" s="20"/>
    </row>
    <row r="4348" spans="45:45" ht="14.4">
      <c r="AS4348" s="20"/>
    </row>
    <row r="4349" spans="45:45" ht="14.4">
      <c r="AS4349" s="20"/>
    </row>
    <row r="4350" spans="45:45" ht="14.4">
      <c r="AS4350" s="20"/>
    </row>
    <row r="4351" spans="45:45" ht="14.4">
      <c r="AS4351" s="20"/>
    </row>
    <row r="4352" spans="45:45" ht="14.4">
      <c r="AS4352" s="20"/>
    </row>
    <row r="4353" spans="45:45" ht="14.4">
      <c r="AS4353" s="20"/>
    </row>
    <row r="4354" spans="45:45" ht="14.4">
      <c r="AS4354" s="20"/>
    </row>
    <row r="4355" spans="45:45" ht="14.4">
      <c r="AS4355" s="20"/>
    </row>
    <row r="4356" spans="45:45" ht="14.4">
      <c r="AS4356" s="20"/>
    </row>
    <row r="4357" spans="45:45" ht="14.4">
      <c r="AS4357" s="20"/>
    </row>
    <row r="4358" spans="45:45" ht="14.4">
      <c r="AS4358" s="20"/>
    </row>
    <row r="4359" spans="45:45" ht="14.4">
      <c r="AS4359" s="20"/>
    </row>
    <row r="4360" spans="45:45" ht="14.4">
      <c r="AS4360" s="20"/>
    </row>
    <row r="4361" spans="45:45" ht="14.4">
      <c r="AS4361" s="20"/>
    </row>
    <row r="4362" spans="45:45" ht="14.4">
      <c r="AS4362" s="20"/>
    </row>
    <row r="4363" spans="45:45" ht="14.4">
      <c r="AS4363" s="20"/>
    </row>
    <row r="4364" spans="45:45" ht="14.4">
      <c r="AS4364" s="20"/>
    </row>
    <row r="4365" spans="45:45" ht="14.4">
      <c r="AS4365" s="20"/>
    </row>
    <row r="4366" spans="45:45" ht="14.4">
      <c r="AS4366" s="20"/>
    </row>
    <row r="4367" spans="45:45" ht="14.4">
      <c r="AS4367" s="20"/>
    </row>
    <row r="4368" spans="45:45" ht="14.4">
      <c r="AS4368" s="20"/>
    </row>
    <row r="4369" spans="45:45" ht="14.4">
      <c r="AS4369" s="20"/>
    </row>
    <row r="4370" spans="45:45" ht="14.4">
      <c r="AS4370" s="20"/>
    </row>
    <row r="4371" spans="45:45" ht="14.4">
      <c r="AS4371" s="20"/>
    </row>
    <row r="4372" spans="45:45" ht="14.4">
      <c r="AS4372" s="20"/>
    </row>
    <row r="4373" spans="45:45" ht="14.4">
      <c r="AS4373" s="20"/>
    </row>
    <row r="4374" spans="45:45" ht="14.4">
      <c r="AS4374" s="20"/>
    </row>
    <row r="4375" spans="45:45" ht="14.4">
      <c r="AS4375" s="20"/>
    </row>
    <row r="4376" spans="45:45" ht="14.4">
      <c r="AS4376" s="20"/>
    </row>
    <row r="4377" spans="45:45" ht="14.4">
      <c r="AS4377" s="20"/>
    </row>
    <row r="4378" spans="45:45" ht="14.4">
      <c r="AS4378" s="20"/>
    </row>
    <row r="4379" spans="45:45" ht="14.4">
      <c r="AS4379" s="20"/>
    </row>
    <row r="4380" spans="45:45" ht="14.4">
      <c r="AS4380" s="20"/>
    </row>
    <row r="4381" spans="45:45" ht="14.4">
      <c r="AS4381" s="20"/>
    </row>
    <row r="4382" spans="45:45" ht="14.4">
      <c r="AS4382" s="20"/>
    </row>
    <row r="4383" spans="45:45" ht="14.4">
      <c r="AS4383" s="20"/>
    </row>
    <row r="4384" spans="45:45" ht="14.4">
      <c r="AS4384" s="20"/>
    </row>
    <row r="4385" spans="45:45" ht="14.4">
      <c r="AS4385" s="20"/>
    </row>
    <row r="4386" spans="45:45" ht="14.4">
      <c r="AS4386" s="20"/>
    </row>
    <row r="4387" spans="45:45" ht="14.4">
      <c r="AS4387" s="20"/>
    </row>
    <row r="4388" spans="45:45" ht="14.4">
      <c r="AS4388" s="20"/>
    </row>
    <row r="4389" spans="45:45" ht="14.4">
      <c r="AS4389" s="20"/>
    </row>
    <row r="4390" spans="45:45" ht="14.4">
      <c r="AS4390" s="20"/>
    </row>
    <row r="4391" spans="45:45" ht="14.4">
      <c r="AS4391" s="20"/>
    </row>
    <row r="4392" spans="45:45" ht="14.4">
      <c r="AS4392" s="20"/>
    </row>
    <row r="4393" spans="45:45" ht="14.4">
      <c r="AS4393" s="20"/>
    </row>
    <row r="4394" spans="45:45" ht="14.4">
      <c r="AS4394" s="20"/>
    </row>
    <row r="4395" spans="45:45" ht="14.4">
      <c r="AS4395" s="20"/>
    </row>
    <row r="4396" spans="45:45" ht="14.4">
      <c r="AS4396" s="20"/>
    </row>
    <row r="4397" spans="45:45" ht="14.4">
      <c r="AS4397" s="20"/>
    </row>
    <row r="4398" spans="45:45" ht="14.4">
      <c r="AS4398" s="20"/>
    </row>
    <row r="4399" spans="45:45" ht="14.4">
      <c r="AS4399" s="20"/>
    </row>
    <row r="4400" spans="45:45" ht="14.4">
      <c r="AS4400" s="20"/>
    </row>
    <row r="4401" spans="45:45" ht="14.4">
      <c r="AS4401" s="20"/>
    </row>
    <row r="4402" spans="45:45" ht="14.4">
      <c r="AS4402" s="20"/>
    </row>
    <row r="4403" spans="45:45" ht="14.4">
      <c r="AS4403" s="20"/>
    </row>
    <row r="4404" spans="45:45" ht="14.4">
      <c r="AS4404" s="20"/>
    </row>
    <row r="4405" spans="45:45" ht="14.4">
      <c r="AS4405" s="20"/>
    </row>
    <row r="4406" spans="45:45" ht="14.4">
      <c r="AS4406" s="20"/>
    </row>
    <row r="4407" spans="45:45" ht="14.4">
      <c r="AS4407" s="20"/>
    </row>
    <row r="4408" spans="45:45" ht="14.4">
      <c r="AS4408" s="20"/>
    </row>
    <row r="4409" spans="45:45" ht="14.4">
      <c r="AS4409" s="20"/>
    </row>
    <row r="4410" spans="45:45" ht="14.4">
      <c r="AS4410" s="20"/>
    </row>
    <row r="4411" spans="45:45" ht="14.4">
      <c r="AS4411" s="20"/>
    </row>
    <row r="4412" spans="45:45" ht="14.4">
      <c r="AS4412" s="20"/>
    </row>
    <row r="4413" spans="45:45" ht="14.4">
      <c r="AS4413" s="20"/>
    </row>
    <row r="4414" spans="45:45" ht="14.4">
      <c r="AS4414" s="20"/>
    </row>
    <row r="4415" spans="45:45" ht="14.4">
      <c r="AS4415" s="20"/>
    </row>
    <row r="4416" spans="45:45" ht="14.4">
      <c r="AS4416" s="20"/>
    </row>
    <row r="4417" spans="45:45" ht="14.4">
      <c r="AS4417" s="20"/>
    </row>
    <row r="4418" spans="45:45" ht="14.4">
      <c r="AS4418" s="20"/>
    </row>
    <row r="4419" spans="45:45" ht="14.4">
      <c r="AS4419" s="20"/>
    </row>
    <row r="4420" spans="45:45" ht="14.4">
      <c r="AS4420" s="20"/>
    </row>
    <row r="4421" spans="45:45" ht="14.4">
      <c r="AS4421" s="20"/>
    </row>
    <row r="4422" spans="45:45" ht="14.4">
      <c r="AS4422" s="20"/>
    </row>
    <row r="4423" spans="45:45" ht="14.4">
      <c r="AS4423" s="20"/>
    </row>
    <row r="4424" spans="45:45" ht="14.4">
      <c r="AS4424" s="20"/>
    </row>
    <row r="4425" spans="45:45" ht="14.4">
      <c r="AS4425" s="20"/>
    </row>
    <row r="4426" spans="45:45" ht="14.4">
      <c r="AS4426" s="20"/>
    </row>
    <row r="4427" spans="45:45" ht="14.4">
      <c r="AS4427" s="20"/>
    </row>
    <row r="4428" spans="45:45" ht="14.4">
      <c r="AS4428" s="20"/>
    </row>
    <row r="4429" spans="45:45" ht="14.4">
      <c r="AS4429" s="20"/>
    </row>
    <row r="4430" spans="45:45" ht="14.4">
      <c r="AS4430" s="20"/>
    </row>
    <row r="4431" spans="45:45" ht="14.4">
      <c r="AS4431" s="20"/>
    </row>
    <row r="4432" spans="45:45" ht="14.4">
      <c r="AS4432" s="20"/>
    </row>
    <row r="4433" spans="45:45" ht="14.4">
      <c r="AS4433" s="20"/>
    </row>
    <row r="4434" spans="45:45" ht="14.4">
      <c r="AS4434" s="20"/>
    </row>
    <row r="4435" spans="45:45" ht="14.4">
      <c r="AS4435" s="20"/>
    </row>
    <row r="4436" spans="45:45" ht="14.4">
      <c r="AS4436" s="20"/>
    </row>
    <row r="4437" spans="45:45" ht="14.4">
      <c r="AS4437" s="20"/>
    </row>
    <row r="4438" spans="45:45" ht="14.4">
      <c r="AS4438" s="20"/>
    </row>
    <row r="4439" spans="45:45" ht="14.4">
      <c r="AS4439" s="20"/>
    </row>
    <row r="4440" spans="45:45" ht="14.4">
      <c r="AS4440" s="20"/>
    </row>
    <row r="4441" spans="45:45" ht="14.4">
      <c r="AS4441" s="20"/>
    </row>
    <row r="4442" spans="45:45" ht="14.4">
      <c r="AS4442" s="20"/>
    </row>
    <row r="4443" spans="45:45" ht="14.4">
      <c r="AS4443" s="20"/>
    </row>
    <row r="4444" spans="45:45" ht="14.4">
      <c r="AS4444" s="20"/>
    </row>
    <row r="4445" spans="45:45" ht="14.4">
      <c r="AS4445" s="20"/>
    </row>
    <row r="4446" spans="45:45" ht="14.4">
      <c r="AS4446" s="20"/>
    </row>
    <row r="4447" spans="45:45" ht="14.4">
      <c r="AS4447" s="20"/>
    </row>
    <row r="4448" spans="45:45" ht="14.4">
      <c r="AS4448" s="20"/>
    </row>
    <row r="4449" spans="45:45" ht="14.4">
      <c r="AS4449" s="20"/>
    </row>
    <row r="4450" spans="45:45" ht="14.4">
      <c r="AS4450" s="20"/>
    </row>
    <row r="4451" spans="45:45" ht="14.4">
      <c r="AS4451" s="20"/>
    </row>
    <row r="4452" spans="45:45" ht="14.4">
      <c r="AS4452" s="20"/>
    </row>
    <row r="4453" spans="45:45" ht="14.4">
      <c r="AS4453" s="20"/>
    </row>
    <row r="4454" spans="45:45" ht="14.4">
      <c r="AS4454" s="20"/>
    </row>
    <row r="4455" spans="45:45" ht="14.4">
      <c r="AS4455" s="20"/>
    </row>
    <row r="4456" spans="45:45" ht="14.4">
      <c r="AS4456" s="20"/>
    </row>
    <row r="4457" spans="45:45" ht="14.4">
      <c r="AS4457" s="20"/>
    </row>
    <row r="4458" spans="45:45" ht="14.4">
      <c r="AS4458" s="20"/>
    </row>
    <row r="4459" spans="45:45" ht="14.4">
      <c r="AS4459" s="20"/>
    </row>
    <row r="4460" spans="45:45" ht="14.4">
      <c r="AS4460" s="20"/>
    </row>
    <row r="4461" spans="45:45" ht="14.4">
      <c r="AS4461" s="20"/>
    </row>
    <row r="4462" spans="45:45" ht="14.4">
      <c r="AS4462" s="20"/>
    </row>
    <row r="4463" spans="45:45" ht="14.4">
      <c r="AS4463" s="20"/>
    </row>
    <row r="4464" spans="45:45" ht="14.4">
      <c r="AS4464" s="20"/>
    </row>
    <row r="4465" spans="45:45" ht="14.4">
      <c r="AS4465" s="20"/>
    </row>
    <row r="4466" spans="45:45" ht="14.4">
      <c r="AS4466" s="20"/>
    </row>
    <row r="4467" spans="45:45" ht="14.4">
      <c r="AS4467" s="20"/>
    </row>
    <row r="4468" spans="45:45" ht="14.4">
      <c r="AS4468" s="20"/>
    </row>
    <row r="4469" spans="45:45" ht="14.4">
      <c r="AS4469" s="20"/>
    </row>
    <row r="4470" spans="45:45" ht="14.4">
      <c r="AS4470" s="20"/>
    </row>
    <row r="4471" spans="45:45" ht="14.4">
      <c r="AS4471" s="20"/>
    </row>
    <row r="4472" spans="45:45" ht="14.4">
      <c r="AS4472" s="20"/>
    </row>
    <row r="4473" spans="45:45" ht="14.4">
      <c r="AS4473" s="20"/>
    </row>
    <row r="4474" spans="45:45" ht="14.4">
      <c r="AS4474" s="20"/>
    </row>
    <row r="4475" spans="45:45" ht="14.4">
      <c r="AS4475" s="20"/>
    </row>
    <row r="4476" spans="45:45" ht="14.4">
      <c r="AS4476" s="20"/>
    </row>
    <row r="4477" spans="45:45" ht="14.4">
      <c r="AS4477" s="20"/>
    </row>
    <row r="4478" spans="45:45" ht="14.4">
      <c r="AS4478" s="20"/>
    </row>
    <row r="4479" spans="45:45" ht="14.4">
      <c r="AS4479" s="20"/>
    </row>
    <row r="4480" spans="45:45" ht="14.4">
      <c r="AS4480" s="20"/>
    </row>
    <row r="4481" spans="45:45" ht="14.4">
      <c r="AS4481" s="20"/>
    </row>
    <row r="4482" spans="45:45" ht="14.4">
      <c r="AS4482" s="20"/>
    </row>
    <row r="4483" spans="45:45" ht="14.4">
      <c r="AS4483" s="20"/>
    </row>
    <row r="4484" spans="45:45" ht="14.4">
      <c r="AS4484" s="20"/>
    </row>
    <row r="4485" spans="45:45" ht="14.4">
      <c r="AS4485" s="20"/>
    </row>
    <row r="4486" spans="45:45" ht="14.4">
      <c r="AS4486" s="20"/>
    </row>
    <row r="4487" spans="45:45" ht="14.4">
      <c r="AS4487" s="20"/>
    </row>
    <row r="4488" spans="45:45" ht="14.4">
      <c r="AS4488" s="20"/>
    </row>
    <row r="4489" spans="45:45" ht="14.4">
      <c r="AS4489" s="20"/>
    </row>
    <row r="4490" spans="45:45" ht="14.4">
      <c r="AS4490" s="20"/>
    </row>
    <row r="4491" spans="45:45" ht="14.4">
      <c r="AS4491" s="20"/>
    </row>
    <row r="4492" spans="45:45" ht="14.4">
      <c r="AS4492" s="20"/>
    </row>
    <row r="4493" spans="45:45" ht="14.4">
      <c r="AS4493" s="20"/>
    </row>
    <row r="4494" spans="45:45" ht="14.4">
      <c r="AS4494" s="20"/>
    </row>
    <row r="4495" spans="45:45" ht="14.4">
      <c r="AS4495" s="20"/>
    </row>
    <row r="4496" spans="45:45" ht="14.4">
      <c r="AS4496" s="20"/>
    </row>
    <row r="4497" spans="45:45" ht="14.4">
      <c r="AS4497" s="20"/>
    </row>
    <row r="4498" spans="45:45" ht="14.4">
      <c r="AS4498" s="20"/>
    </row>
    <row r="4499" spans="45:45" ht="14.4">
      <c r="AS4499" s="20"/>
    </row>
    <row r="4500" spans="45:45" ht="14.4">
      <c r="AS4500" s="20"/>
    </row>
    <row r="4501" spans="45:45" ht="14.4">
      <c r="AS4501" s="20"/>
    </row>
    <row r="4502" spans="45:45" ht="14.4">
      <c r="AS4502" s="20"/>
    </row>
    <row r="4503" spans="45:45" ht="14.4">
      <c r="AS4503" s="20"/>
    </row>
    <row r="4504" spans="45:45" ht="14.4">
      <c r="AS4504" s="20"/>
    </row>
    <row r="4505" spans="45:45" ht="14.4">
      <c r="AS4505" s="20"/>
    </row>
    <row r="4506" spans="45:45" ht="14.4">
      <c r="AS4506" s="20"/>
    </row>
    <row r="4507" spans="45:45" ht="14.4">
      <c r="AS4507" s="20"/>
    </row>
    <row r="4508" spans="45:45" ht="14.4">
      <c r="AS4508" s="20"/>
    </row>
    <row r="4509" spans="45:45" ht="14.4">
      <c r="AS4509" s="20"/>
    </row>
    <row r="4510" spans="45:45" ht="14.4">
      <c r="AS4510" s="20"/>
    </row>
    <row r="4511" spans="45:45" ht="14.4">
      <c r="AS4511" s="20"/>
    </row>
    <row r="4512" spans="45:45" ht="14.4">
      <c r="AS4512" s="20"/>
    </row>
    <row r="4513" spans="45:45" ht="14.4">
      <c r="AS4513" s="20"/>
    </row>
    <row r="4514" spans="45:45" ht="14.4">
      <c r="AS4514" s="20"/>
    </row>
    <row r="4515" spans="45:45" ht="14.4">
      <c r="AS4515" s="20"/>
    </row>
    <row r="4516" spans="45:45" ht="14.4">
      <c r="AS4516" s="20"/>
    </row>
    <row r="4517" spans="45:45" ht="14.4">
      <c r="AS4517" s="20"/>
    </row>
    <row r="4518" spans="45:45" ht="14.4">
      <c r="AS4518" s="20"/>
    </row>
    <row r="4519" spans="45:45" ht="14.4">
      <c r="AS4519" s="20"/>
    </row>
    <row r="4520" spans="45:45" ht="14.4">
      <c r="AS4520" s="20"/>
    </row>
    <row r="4521" spans="45:45" ht="14.4">
      <c r="AS4521" s="20"/>
    </row>
    <row r="4522" spans="45:45" ht="14.4">
      <c r="AS4522" s="20"/>
    </row>
    <row r="4523" spans="45:45" ht="14.4">
      <c r="AS4523" s="20"/>
    </row>
    <row r="4524" spans="45:45" ht="14.4">
      <c r="AS4524" s="20"/>
    </row>
    <row r="4525" spans="45:45" ht="14.4">
      <c r="AS4525" s="20"/>
    </row>
    <row r="4526" spans="45:45" ht="14.4">
      <c r="AS4526" s="20"/>
    </row>
    <row r="4527" spans="45:45" ht="14.4">
      <c r="AS4527" s="20"/>
    </row>
    <row r="4528" spans="45:45" ht="14.4">
      <c r="AS4528" s="20"/>
    </row>
    <row r="4529" spans="45:45" ht="14.4">
      <c r="AS4529" s="20"/>
    </row>
    <row r="4530" spans="45:45" ht="14.4">
      <c r="AS4530" s="20"/>
    </row>
    <row r="4531" spans="45:45" ht="14.4">
      <c r="AS4531" s="20"/>
    </row>
    <row r="4532" spans="45:45" ht="14.4">
      <c r="AS4532" s="20"/>
    </row>
    <row r="4533" spans="45:45" ht="14.4">
      <c r="AS4533" s="20"/>
    </row>
    <row r="4534" spans="45:45" ht="14.4">
      <c r="AS4534" s="20"/>
    </row>
    <row r="4535" spans="45:45" ht="14.4">
      <c r="AS4535" s="20"/>
    </row>
    <row r="4536" spans="45:45" ht="14.4">
      <c r="AS4536" s="20"/>
    </row>
    <row r="4537" spans="45:45" ht="14.4">
      <c r="AS4537" s="20"/>
    </row>
    <row r="4538" spans="45:45" ht="14.4">
      <c r="AS4538" s="20"/>
    </row>
    <row r="4539" spans="45:45" ht="14.4">
      <c r="AS4539" s="20"/>
    </row>
    <row r="4540" spans="45:45" ht="14.4">
      <c r="AS4540" s="20"/>
    </row>
    <row r="4541" spans="45:45" ht="14.4">
      <c r="AS4541" s="20"/>
    </row>
    <row r="4542" spans="45:45" ht="14.4">
      <c r="AS4542" s="20"/>
    </row>
    <row r="4543" spans="45:45" ht="14.4">
      <c r="AS4543" s="20"/>
    </row>
    <row r="4544" spans="45:45" ht="14.4">
      <c r="AS4544" s="20"/>
    </row>
    <row r="4545" spans="45:45" ht="14.4">
      <c r="AS4545" s="20"/>
    </row>
    <row r="4546" spans="45:45" ht="14.4">
      <c r="AS4546" s="20"/>
    </row>
    <row r="4547" spans="45:45" ht="14.4">
      <c r="AS4547" s="20"/>
    </row>
    <row r="4548" spans="45:45" ht="14.4">
      <c r="AS4548" s="20"/>
    </row>
    <row r="4549" spans="45:45" ht="14.4">
      <c r="AS4549" s="20"/>
    </row>
    <row r="4550" spans="45:45" ht="14.4">
      <c r="AS4550" s="20"/>
    </row>
    <row r="4551" spans="45:45" ht="14.4">
      <c r="AS4551" s="20"/>
    </row>
    <row r="4552" spans="45:45" ht="14.4">
      <c r="AS4552" s="20"/>
    </row>
    <row r="4553" spans="45:45" ht="14.4">
      <c r="AS4553" s="20"/>
    </row>
    <row r="4554" spans="45:45" ht="14.4">
      <c r="AS4554" s="20"/>
    </row>
    <row r="4555" spans="45:45" ht="14.4">
      <c r="AS4555" s="20"/>
    </row>
    <row r="4556" spans="45:45" ht="14.4">
      <c r="AS4556" s="20"/>
    </row>
    <row r="4557" spans="45:45" ht="14.4">
      <c r="AS4557" s="20"/>
    </row>
    <row r="4558" spans="45:45" ht="14.4">
      <c r="AS4558" s="20"/>
    </row>
    <row r="4559" spans="45:45" ht="14.4">
      <c r="AS4559" s="20"/>
    </row>
    <row r="4560" spans="45:45" ht="14.4">
      <c r="AS4560" s="20"/>
    </row>
    <row r="4561" spans="45:45" ht="14.4">
      <c r="AS4561" s="20"/>
    </row>
    <row r="4562" spans="45:45" ht="14.4">
      <c r="AS4562" s="20"/>
    </row>
    <row r="4563" spans="45:45" ht="14.4">
      <c r="AS4563" s="20"/>
    </row>
    <row r="4564" spans="45:45" ht="14.4">
      <c r="AS4564" s="20"/>
    </row>
    <row r="4565" spans="45:45" ht="14.4">
      <c r="AS4565" s="20"/>
    </row>
    <row r="4566" spans="45:45" ht="14.4">
      <c r="AS4566" s="20"/>
    </row>
    <row r="4567" spans="45:45" ht="14.4">
      <c r="AS4567" s="20"/>
    </row>
    <row r="4568" spans="45:45" ht="14.4">
      <c r="AS4568" s="20"/>
    </row>
    <row r="4569" spans="45:45" ht="14.4">
      <c r="AS4569" s="20"/>
    </row>
    <row r="4570" spans="45:45" ht="14.4">
      <c r="AS4570" s="20"/>
    </row>
    <row r="4571" spans="45:45" ht="14.4">
      <c r="AS4571" s="20"/>
    </row>
    <row r="4572" spans="45:45" ht="14.4">
      <c r="AS4572" s="20"/>
    </row>
    <row r="4573" spans="45:45" ht="14.4">
      <c r="AS4573" s="20"/>
    </row>
    <row r="4574" spans="45:45" ht="14.4">
      <c r="AS4574" s="20"/>
    </row>
    <row r="4575" spans="45:45" ht="14.4">
      <c r="AS4575" s="20"/>
    </row>
    <row r="4576" spans="45:45" ht="14.4">
      <c r="AS4576" s="20"/>
    </row>
    <row r="4577" spans="45:45" ht="14.4">
      <c r="AS4577" s="20"/>
    </row>
    <row r="4578" spans="45:45" ht="14.4">
      <c r="AS4578" s="20"/>
    </row>
    <row r="4579" spans="45:45" ht="14.4">
      <c r="AS4579" s="20"/>
    </row>
    <row r="4580" spans="45:45" ht="14.4">
      <c r="AS4580" s="20"/>
    </row>
    <row r="4581" spans="45:45" ht="14.4">
      <c r="AS4581" s="20"/>
    </row>
    <row r="4582" spans="45:45" ht="14.4">
      <c r="AS4582" s="20"/>
    </row>
    <row r="4583" spans="45:45" ht="14.4">
      <c r="AS4583" s="20"/>
    </row>
    <row r="4584" spans="45:45" ht="14.4">
      <c r="AS4584" s="20"/>
    </row>
    <row r="4585" spans="45:45" ht="14.4">
      <c r="AS4585" s="20"/>
    </row>
    <row r="4586" spans="45:45" ht="14.4">
      <c r="AS4586" s="20"/>
    </row>
    <row r="4587" spans="45:45" ht="14.4">
      <c r="AS4587" s="20"/>
    </row>
    <row r="4588" spans="45:45" ht="14.4">
      <c r="AS4588" s="20"/>
    </row>
    <row r="4589" spans="45:45" ht="14.4">
      <c r="AS4589" s="20"/>
    </row>
    <row r="4590" spans="45:45" ht="14.4">
      <c r="AS4590" s="20"/>
    </row>
    <row r="4591" spans="45:45" ht="14.4">
      <c r="AS4591" s="20"/>
    </row>
    <row r="4592" spans="45:45" ht="14.4">
      <c r="AS4592" s="20"/>
    </row>
    <row r="4593" spans="45:45" ht="14.4">
      <c r="AS4593" s="20"/>
    </row>
    <row r="4594" spans="45:45" ht="14.4">
      <c r="AS4594" s="20"/>
    </row>
    <row r="4595" spans="45:45" ht="14.4">
      <c r="AS4595" s="20"/>
    </row>
    <row r="4596" spans="45:45" ht="14.4">
      <c r="AS4596" s="20"/>
    </row>
    <row r="4597" spans="45:45" ht="14.4">
      <c r="AS4597" s="20"/>
    </row>
    <row r="4598" spans="45:45" ht="14.4">
      <c r="AS4598" s="20"/>
    </row>
    <row r="4599" spans="45:45" ht="14.4">
      <c r="AS4599" s="20"/>
    </row>
    <row r="4600" spans="45:45" ht="14.4">
      <c r="AS4600" s="20"/>
    </row>
    <row r="4601" spans="45:45" ht="14.4">
      <c r="AS4601" s="20"/>
    </row>
    <row r="4602" spans="45:45" ht="14.4">
      <c r="AS4602" s="20"/>
    </row>
    <row r="4603" spans="45:45" ht="14.4">
      <c r="AS4603" s="20"/>
    </row>
    <row r="4604" spans="45:45" ht="14.4">
      <c r="AS4604" s="20"/>
    </row>
    <row r="4605" spans="45:45" ht="14.4">
      <c r="AS4605" s="20"/>
    </row>
    <row r="4606" spans="45:45" ht="14.4">
      <c r="AS4606" s="20"/>
    </row>
    <row r="4607" spans="45:45" ht="14.4">
      <c r="AS4607" s="20"/>
    </row>
    <row r="4608" spans="45:45" ht="14.4">
      <c r="AS4608" s="20"/>
    </row>
    <row r="4609" spans="45:45" ht="14.4">
      <c r="AS4609" s="20"/>
    </row>
    <row r="4610" spans="45:45" ht="14.4">
      <c r="AS4610" s="20"/>
    </row>
    <row r="4611" spans="45:45" ht="14.4">
      <c r="AS4611" s="20"/>
    </row>
    <row r="4612" spans="45:45" ht="14.4">
      <c r="AS4612" s="20"/>
    </row>
    <row r="4613" spans="45:45" ht="14.4">
      <c r="AS4613" s="20"/>
    </row>
    <row r="4614" spans="45:45" ht="14.4">
      <c r="AS4614" s="20"/>
    </row>
    <row r="4615" spans="45:45" ht="14.4">
      <c r="AS4615" s="20"/>
    </row>
    <row r="4616" spans="45:45" ht="14.4">
      <c r="AS4616" s="20"/>
    </row>
    <row r="4617" spans="45:45" ht="14.4">
      <c r="AS4617" s="20"/>
    </row>
    <row r="4618" spans="45:45" ht="14.4">
      <c r="AS4618" s="20"/>
    </row>
    <row r="4619" spans="45:45" ht="14.4">
      <c r="AS4619" s="20"/>
    </row>
    <row r="4620" spans="45:45" ht="14.4">
      <c r="AS4620" s="20"/>
    </row>
    <row r="4621" spans="45:45" ht="14.4">
      <c r="AS4621" s="20"/>
    </row>
    <row r="4622" spans="45:45" ht="14.4">
      <c r="AS4622" s="20"/>
    </row>
    <row r="4623" spans="45:45" ht="14.4">
      <c r="AS4623" s="20"/>
    </row>
    <row r="4624" spans="45:45" ht="14.4">
      <c r="AS4624" s="20"/>
    </row>
    <row r="4625" spans="45:45" ht="14.4">
      <c r="AS4625" s="20"/>
    </row>
    <row r="4626" spans="45:45" ht="14.4">
      <c r="AS4626" s="20"/>
    </row>
    <row r="4627" spans="45:45" ht="14.4">
      <c r="AS4627" s="20"/>
    </row>
    <row r="4628" spans="45:45" ht="14.4">
      <c r="AS4628" s="20"/>
    </row>
    <row r="4629" spans="45:45" ht="14.4">
      <c r="AS4629" s="20"/>
    </row>
    <row r="4630" spans="45:45" ht="14.4">
      <c r="AS4630" s="20"/>
    </row>
    <row r="4631" spans="45:45" ht="14.4">
      <c r="AS4631" s="20"/>
    </row>
    <row r="4632" spans="45:45" ht="14.4">
      <c r="AS4632" s="20"/>
    </row>
    <row r="4633" spans="45:45" ht="14.4">
      <c r="AS4633" s="20"/>
    </row>
    <row r="4634" spans="45:45" ht="14.4">
      <c r="AS4634" s="20"/>
    </row>
    <row r="4635" spans="45:45" ht="14.4">
      <c r="AS4635" s="20"/>
    </row>
    <row r="4636" spans="45:45" ht="14.4">
      <c r="AS4636" s="20"/>
    </row>
    <row r="4637" spans="45:45" ht="14.4">
      <c r="AS4637" s="20"/>
    </row>
    <row r="4638" spans="45:45" ht="14.4">
      <c r="AS4638" s="20"/>
    </row>
    <row r="4639" spans="45:45" ht="14.4">
      <c r="AS4639" s="20"/>
    </row>
    <row r="4640" spans="45:45" ht="14.4">
      <c r="AS4640" s="20"/>
    </row>
    <row r="4641" spans="45:45" ht="14.4">
      <c r="AS4641" s="20"/>
    </row>
    <row r="4642" spans="45:45" ht="14.4">
      <c r="AS4642" s="20"/>
    </row>
    <row r="4643" spans="45:45" ht="14.4">
      <c r="AS4643" s="20"/>
    </row>
    <row r="4644" spans="45:45" ht="14.4">
      <c r="AS4644" s="20"/>
    </row>
    <row r="4645" spans="45:45" ht="14.4">
      <c r="AS4645" s="20"/>
    </row>
    <row r="4646" spans="45:45" ht="14.4">
      <c r="AS4646" s="20"/>
    </row>
    <row r="4647" spans="45:45" ht="14.4">
      <c r="AS4647" s="20"/>
    </row>
    <row r="4648" spans="45:45" ht="14.4">
      <c r="AS4648" s="20"/>
    </row>
    <row r="4649" spans="45:45" ht="14.4">
      <c r="AS4649" s="20"/>
    </row>
    <row r="4650" spans="45:45" ht="14.4">
      <c r="AS4650" s="20"/>
    </row>
    <row r="4651" spans="45:45" ht="14.4">
      <c r="AS4651" s="20"/>
    </row>
    <row r="4652" spans="45:45" ht="14.4">
      <c r="AS4652" s="20"/>
    </row>
    <row r="4653" spans="45:45" ht="14.4">
      <c r="AS4653" s="20"/>
    </row>
    <row r="4654" spans="45:45" ht="14.4">
      <c r="AS4654" s="20"/>
    </row>
    <row r="4655" spans="45:45" ht="14.4">
      <c r="AS4655" s="20"/>
    </row>
    <row r="4656" spans="45:45" ht="14.4">
      <c r="AS4656" s="20"/>
    </row>
    <row r="4657" spans="45:45" ht="14.4">
      <c r="AS4657" s="20"/>
    </row>
    <row r="4658" spans="45:45" ht="14.4">
      <c r="AS4658" s="20"/>
    </row>
    <row r="4659" spans="45:45" ht="14.4">
      <c r="AS4659" s="20"/>
    </row>
    <row r="4660" spans="45:45" ht="14.4">
      <c r="AS4660" s="20"/>
    </row>
    <row r="4661" spans="45:45" ht="14.4">
      <c r="AS4661" s="20"/>
    </row>
    <row r="4662" spans="45:45" ht="14.4">
      <c r="AS4662" s="20"/>
    </row>
    <row r="4663" spans="45:45" ht="14.4">
      <c r="AS4663" s="20"/>
    </row>
    <row r="4664" spans="45:45" ht="14.4">
      <c r="AS4664" s="20"/>
    </row>
    <row r="4665" spans="45:45" ht="14.4">
      <c r="AS4665" s="20"/>
    </row>
    <row r="4666" spans="45:45" ht="14.4">
      <c r="AS4666" s="20"/>
    </row>
    <row r="4667" spans="45:45" ht="14.4">
      <c r="AS4667" s="20"/>
    </row>
    <row r="4668" spans="45:45" ht="14.4">
      <c r="AS4668" s="20"/>
    </row>
    <row r="4669" spans="45:45" ht="14.4">
      <c r="AS4669" s="20"/>
    </row>
    <row r="4670" spans="45:45" ht="14.4">
      <c r="AS4670" s="20"/>
    </row>
    <row r="4671" spans="45:45" ht="14.4">
      <c r="AS4671" s="20"/>
    </row>
    <row r="4672" spans="45:45" ht="14.4">
      <c r="AS4672" s="20"/>
    </row>
    <row r="4673" spans="45:45" ht="14.4">
      <c r="AS4673" s="20"/>
    </row>
    <row r="4674" spans="45:45" ht="14.4">
      <c r="AS4674" s="20"/>
    </row>
    <row r="4675" spans="45:45" ht="14.4">
      <c r="AS4675" s="20"/>
    </row>
    <row r="4676" spans="45:45" ht="14.4">
      <c r="AS4676" s="20"/>
    </row>
    <row r="4677" spans="45:45" ht="14.4">
      <c r="AS4677" s="20"/>
    </row>
    <row r="4678" spans="45:45" ht="14.4">
      <c r="AS4678" s="20"/>
    </row>
    <row r="4679" spans="45:45" ht="14.4">
      <c r="AS4679" s="20"/>
    </row>
    <row r="4680" spans="45:45" ht="14.4">
      <c r="AS4680" s="20"/>
    </row>
    <row r="4681" spans="45:45" ht="14.4">
      <c r="AS4681" s="20"/>
    </row>
    <row r="4682" spans="45:45" ht="14.4">
      <c r="AS4682" s="20"/>
    </row>
    <row r="4683" spans="45:45" ht="14.4">
      <c r="AS4683" s="20"/>
    </row>
    <row r="4684" spans="45:45" ht="14.4">
      <c r="AS4684" s="20"/>
    </row>
    <row r="4685" spans="45:45" ht="14.4">
      <c r="AS4685" s="20"/>
    </row>
    <row r="4686" spans="45:45" ht="14.4">
      <c r="AS4686" s="20"/>
    </row>
    <row r="4687" spans="45:45" ht="14.4">
      <c r="AS4687" s="20"/>
    </row>
    <row r="4688" spans="45:45" ht="14.4">
      <c r="AS4688" s="20"/>
    </row>
    <row r="4689" spans="45:45" ht="14.4">
      <c r="AS4689" s="20"/>
    </row>
    <row r="4690" spans="45:45" ht="14.4">
      <c r="AS4690" s="20"/>
    </row>
    <row r="4691" spans="45:45" ht="14.4">
      <c r="AS4691" s="20"/>
    </row>
    <row r="4692" spans="45:45" ht="14.4">
      <c r="AS4692" s="20"/>
    </row>
    <row r="4693" spans="45:45" ht="14.4">
      <c r="AS4693" s="20"/>
    </row>
    <row r="4694" spans="45:45" ht="14.4">
      <c r="AS4694" s="20"/>
    </row>
    <row r="4695" spans="45:45" ht="14.4">
      <c r="AS4695" s="20"/>
    </row>
    <row r="4696" spans="45:45" ht="14.4">
      <c r="AS4696" s="20"/>
    </row>
    <row r="4697" spans="45:45" ht="14.4">
      <c r="AS4697" s="20"/>
    </row>
    <row r="4698" spans="45:45" ht="14.4">
      <c r="AS4698" s="20"/>
    </row>
    <row r="4699" spans="45:45" ht="14.4">
      <c r="AS4699" s="20"/>
    </row>
    <row r="4700" spans="45:45" ht="14.4">
      <c r="AS4700" s="20"/>
    </row>
    <row r="4701" spans="45:45" ht="14.4">
      <c r="AS4701" s="20"/>
    </row>
    <row r="4702" spans="45:45" ht="14.4">
      <c r="AS4702" s="20"/>
    </row>
    <row r="4703" spans="45:45" ht="14.4">
      <c r="AS4703" s="20"/>
    </row>
    <row r="4704" spans="45:45" ht="14.4">
      <c r="AS4704" s="20"/>
    </row>
    <row r="4705" spans="45:45" ht="14.4">
      <c r="AS4705" s="20"/>
    </row>
    <row r="4706" spans="45:45" ht="14.4">
      <c r="AS4706" s="20"/>
    </row>
    <row r="4707" spans="45:45" ht="14.4">
      <c r="AS4707" s="20"/>
    </row>
    <row r="4708" spans="45:45" ht="14.4">
      <c r="AS4708" s="20"/>
    </row>
    <row r="4709" spans="45:45" ht="14.4">
      <c r="AS4709" s="20"/>
    </row>
    <row r="4710" spans="45:45" ht="14.4">
      <c r="AS4710" s="20"/>
    </row>
    <row r="4711" spans="45:45" ht="14.4">
      <c r="AS4711" s="20"/>
    </row>
    <row r="4712" spans="45:45" ht="14.4">
      <c r="AS4712" s="20"/>
    </row>
    <row r="4713" spans="45:45" ht="14.4">
      <c r="AS4713" s="20"/>
    </row>
    <row r="4714" spans="45:45" ht="14.4">
      <c r="AS4714" s="20"/>
    </row>
    <row r="4715" spans="45:45" ht="14.4">
      <c r="AS4715" s="20"/>
    </row>
    <row r="4716" spans="45:45" ht="14.4">
      <c r="AS4716" s="20"/>
    </row>
    <row r="4717" spans="45:45" ht="14.4">
      <c r="AS4717" s="20"/>
    </row>
    <row r="4718" spans="45:45" ht="14.4">
      <c r="AS4718" s="20"/>
    </row>
    <row r="4719" spans="45:45" ht="14.4">
      <c r="AS4719" s="20"/>
    </row>
    <row r="4720" spans="45:45" ht="14.4">
      <c r="AS4720" s="20"/>
    </row>
    <row r="4721" spans="45:45" ht="14.4">
      <c r="AS4721" s="20"/>
    </row>
    <row r="4722" spans="45:45" ht="14.4">
      <c r="AS4722" s="20"/>
    </row>
    <row r="4723" spans="45:45" ht="14.4">
      <c r="AS4723" s="20"/>
    </row>
    <row r="4724" spans="45:45" ht="14.4">
      <c r="AS4724" s="20"/>
    </row>
    <row r="4725" spans="45:45" ht="14.4">
      <c r="AS4725" s="20"/>
    </row>
    <row r="4726" spans="45:45" ht="14.4">
      <c r="AS4726" s="20"/>
    </row>
    <row r="4727" spans="45:45" ht="14.4">
      <c r="AS4727" s="20"/>
    </row>
    <row r="4728" spans="45:45" ht="14.4">
      <c r="AS4728" s="20"/>
    </row>
    <row r="4729" spans="45:45" ht="14.4">
      <c r="AS4729" s="20"/>
    </row>
    <row r="4730" spans="45:45" ht="14.4">
      <c r="AS4730" s="20"/>
    </row>
    <row r="4731" spans="45:45" ht="14.4">
      <c r="AS4731" s="20"/>
    </row>
    <row r="4732" spans="45:45" ht="14.4">
      <c r="AS4732" s="20"/>
    </row>
    <row r="4733" spans="45:45" ht="14.4">
      <c r="AS4733" s="20"/>
    </row>
    <row r="4734" spans="45:45" ht="14.4">
      <c r="AS4734" s="20"/>
    </row>
    <row r="4735" spans="45:45" ht="14.4">
      <c r="AS4735" s="20"/>
    </row>
    <row r="4736" spans="45:45" ht="14.4">
      <c r="AS4736" s="20"/>
    </row>
    <row r="4737" spans="45:45" ht="14.4">
      <c r="AS4737" s="20"/>
    </row>
    <row r="4738" spans="45:45" ht="14.4">
      <c r="AS4738" s="20"/>
    </row>
    <row r="4739" spans="45:45" ht="14.4">
      <c r="AS4739" s="20"/>
    </row>
    <row r="4740" spans="45:45" ht="14.4">
      <c r="AS4740" s="20"/>
    </row>
    <row r="4741" spans="45:45" ht="14.4">
      <c r="AS4741" s="20"/>
    </row>
    <row r="4742" spans="45:45" ht="14.4">
      <c r="AS4742" s="20"/>
    </row>
    <row r="4743" spans="45:45" ht="14.4">
      <c r="AS4743" s="20"/>
    </row>
    <row r="4744" spans="45:45" ht="14.4">
      <c r="AS4744" s="20"/>
    </row>
    <row r="4745" spans="45:45" ht="14.4">
      <c r="AS4745" s="20"/>
    </row>
    <row r="4746" spans="45:45" ht="14.4">
      <c r="AS4746" s="20"/>
    </row>
    <row r="4747" spans="45:45" ht="14.4">
      <c r="AS4747" s="20"/>
    </row>
    <row r="4748" spans="45:45" ht="14.4">
      <c r="AS4748" s="20"/>
    </row>
    <row r="4749" spans="45:45" ht="14.4">
      <c r="AS4749" s="20"/>
    </row>
    <row r="4750" spans="45:45" ht="14.4">
      <c r="AS4750" s="20"/>
    </row>
    <row r="4751" spans="45:45" ht="14.4">
      <c r="AS4751" s="20"/>
    </row>
    <row r="4752" spans="45:45" ht="14.4">
      <c r="AS4752" s="20"/>
    </row>
    <row r="4753" spans="45:45" ht="14.4">
      <c r="AS4753" s="20"/>
    </row>
    <row r="4754" spans="45:45" ht="14.4">
      <c r="AS4754" s="20"/>
    </row>
    <row r="4755" spans="45:45" ht="14.4">
      <c r="AS4755" s="20"/>
    </row>
    <row r="4756" spans="45:45" ht="14.4">
      <c r="AS4756" s="20"/>
    </row>
    <row r="4757" spans="45:45" ht="14.4">
      <c r="AS4757" s="20"/>
    </row>
    <row r="4758" spans="45:45" ht="14.4">
      <c r="AS4758" s="20"/>
    </row>
    <row r="4759" spans="45:45" ht="14.4">
      <c r="AS4759" s="20"/>
    </row>
    <row r="4760" spans="45:45" ht="14.4">
      <c r="AS4760" s="20"/>
    </row>
    <row r="4761" spans="45:45" ht="14.4">
      <c r="AS4761" s="20"/>
    </row>
    <row r="4762" spans="45:45" ht="14.4">
      <c r="AS4762" s="20"/>
    </row>
    <row r="4763" spans="45:45" ht="14.4">
      <c r="AS4763" s="20"/>
    </row>
    <row r="4764" spans="45:45" ht="14.4">
      <c r="AS4764" s="20"/>
    </row>
    <row r="4765" spans="45:45" ht="14.4">
      <c r="AS4765" s="20"/>
    </row>
    <row r="4766" spans="45:45" ht="14.4">
      <c r="AS4766" s="20"/>
    </row>
    <row r="4767" spans="45:45" ht="14.4">
      <c r="AS4767" s="20"/>
    </row>
    <row r="4768" spans="45:45" ht="14.4">
      <c r="AS4768" s="20"/>
    </row>
    <row r="4769" spans="45:45" ht="14.4">
      <c r="AS4769" s="20"/>
    </row>
    <row r="4770" spans="45:45" ht="14.4">
      <c r="AS4770" s="20"/>
    </row>
    <row r="4771" spans="45:45" ht="14.4">
      <c r="AS4771" s="20"/>
    </row>
    <row r="4772" spans="45:45" ht="14.4">
      <c r="AS4772" s="20"/>
    </row>
    <row r="4773" spans="45:45" ht="14.4">
      <c r="AS4773" s="20"/>
    </row>
    <row r="4774" spans="45:45" ht="14.4">
      <c r="AS4774" s="20"/>
    </row>
    <row r="4775" spans="45:45" ht="14.4">
      <c r="AS4775" s="20"/>
    </row>
    <row r="4776" spans="45:45" ht="14.4">
      <c r="AS4776" s="20"/>
    </row>
    <row r="4777" spans="45:45" ht="14.4">
      <c r="AS4777" s="20"/>
    </row>
    <row r="4778" spans="45:45" ht="14.4">
      <c r="AS4778" s="20"/>
    </row>
    <row r="4779" spans="45:45" ht="14.4">
      <c r="AS4779" s="20"/>
    </row>
    <row r="4780" spans="45:45" ht="14.4">
      <c r="AS4780" s="20"/>
    </row>
    <row r="4781" spans="45:45" ht="14.4">
      <c r="AS4781" s="20"/>
    </row>
    <row r="4782" spans="45:45" ht="14.4">
      <c r="AS4782" s="20"/>
    </row>
    <row r="4783" spans="45:45" ht="14.4">
      <c r="AS4783" s="20"/>
    </row>
    <row r="4784" spans="45:45" ht="14.4">
      <c r="AS4784" s="20"/>
    </row>
    <row r="4785" spans="45:45" ht="14.4">
      <c r="AS4785" s="20"/>
    </row>
    <row r="4786" spans="45:45" ht="14.4">
      <c r="AS4786" s="20"/>
    </row>
    <row r="4787" spans="45:45" ht="14.4">
      <c r="AS4787" s="20"/>
    </row>
    <row r="4788" spans="45:45" ht="14.4">
      <c r="AS4788" s="20"/>
    </row>
    <row r="4789" spans="45:45" ht="14.4">
      <c r="AS4789" s="20"/>
    </row>
    <row r="4790" spans="45:45" ht="14.4">
      <c r="AS4790" s="20"/>
    </row>
    <row r="4791" spans="45:45" ht="14.4">
      <c r="AS4791" s="20"/>
    </row>
    <row r="4792" spans="45:45" ht="14.4">
      <c r="AS4792" s="20"/>
    </row>
    <row r="4793" spans="45:45" ht="14.4">
      <c r="AS4793" s="20"/>
    </row>
    <row r="4794" spans="45:45" ht="14.4">
      <c r="AS4794" s="20"/>
    </row>
    <row r="4795" spans="45:45" ht="14.4">
      <c r="AS4795" s="20"/>
    </row>
    <row r="4796" spans="45:45" ht="14.4">
      <c r="AS4796" s="20"/>
    </row>
    <row r="4797" spans="45:45" ht="14.4">
      <c r="AS4797" s="20"/>
    </row>
    <row r="4798" spans="45:45" ht="14.4">
      <c r="AS4798" s="20"/>
    </row>
    <row r="4799" spans="45:45" ht="14.4">
      <c r="AS4799" s="20"/>
    </row>
    <row r="4800" spans="45:45" ht="14.4">
      <c r="AS4800" s="20"/>
    </row>
    <row r="4801" spans="45:45" ht="14.4">
      <c r="AS4801" s="20"/>
    </row>
    <row r="4802" spans="45:45" ht="14.4">
      <c r="AS4802" s="20"/>
    </row>
    <row r="4803" spans="45:45" ht="14.4">
      <c r="AS4803" s="20"/>
    </row>
    <row r="4804" spans="45:45" ht="14.4">
      <c r="AS4804" s="20"/>
    </row>
    <row r="4805" spans="45:45" ht="14.4">
      <c r="AS4805" s="20"/>
    </row>
    <row r="4806" spans="45:45" ht="14.4">
      <c r="AS4806" s="20"/>
    </row>
    <row r="4807" spans="45:45" ht="14.4">
      <c r="AS4807" s="20"/>
    </row>
    <row r="4808" spans="45:45" ht="14.4">
      <c r="AS4808" s="20"/>
    </row>
    <row r="4809" spans="45:45" ht="14.4">
      <c r="AS4809" s="20"/>
    </row>
    <row r="4810" spans="45:45" ht="14.4">
      <c r="AS4810" s="20"/>
    </row>
    <row r="4811" spans="45:45" ht="14.4">
      <c r="AS4811" s="20"/>
    </row>
    <row r="4812" spans="45:45" ht="14.4">
      <c r="AS4812" s="20"/>
    </row>
    <row r="4813" spans="45:45" ht="14.4">
      <c r="AS4813" s="20"/>
    </row>
    <row r="4814" spans="45:45" ht="14.4">
      <c r="AS4814" s="20"/>
    </row>
    <row r="4815" spans="45:45" ht="14.4">
      <c r="AS4815" s="20"/>
    </row>
    <row r="4816" spans="45:45" ht="14.4">
      <c r="AS4816" s="20"/>
    </row>
    <row r="4817" spans="45:45" ht="14.4">
      <c r="AS4817" s="20"/>
    </row>
    <row r="4818" spans="45:45" ht="14.4">
      <c r="AS4818" s="20"/>
    </row>
    <row r="4819" spans="45:45" ht="14.4">
      <c r="AS4819" s="20"/>
    </row>
    <row r="4820" spans="45:45" ht="14.4">
      <c r="AS4820" s="20"/>
    </row>
    <row r="4821" spans="45:45" ht="14.4">
      <c r="AS4821" s="20"/>
    </row>
    <row r="4822" spans="45:45" ht="14.4">
      <c r="AS4822" s="20"/>
    </row>
    <row r="4823" spans="45:45" ht="14.4">
      <c r="AS4823" s="20"/>
    </row>
    <row r="4824" spans="45:45" ht="14.4">
      <c r="AS4824" s="20"/>
    </row>
    <row r="4825" spans="45:45" ht="14.4">
      <c r="AS4825" s="20"/>
    </row>
    <row r="4826" spans="45:45" ht="14.4">
      <c r="AS4826" s="20"/>
    </row>
    <row r="4827" spans="45:45" ht="14.4">
      <c r="AS4827" s="20"/>
    </row>
    <row r="4828" spans="45:45" ht="14.4">
      <c r="AS4828" s="20"/>
    </row>
    <row r="4829" spans="45:45" ht="14.4">
      <c r="AS4829" s="20"/>
    </row>
    <row r="4830" spans="45:45" ht="14.4">
      <c r="AS4830" s="20"/>
    </row>
    <row r="4831" spans="45:45" ht="14.4">
      <c r="AS4831" s="20"/>
    </row>
    <row r="4832" spans="45:45" ht="14.4">
      <c r="AS4832" s="20"/>
    </row>
    <row r="4833" spans="45:45" ht="14.4">
      <c r="AS4833" s="20"/>
    </row>
    <row r="4834" spans="45:45" ht="14.4">
      <c r="AS4834" s="20"/>
    </row>
    <row r="4835" spans="45:45" ht="14.4">
      <c r="AS4835" s="20"/>
    </row>
    <row r="4836" spans="45:45" ht="14.4">
      <c r="AS4836" s="20"/>
    </row>
    <row r="4837" spans="45:45" ht="14.4">
      <c r="AS4837" s="20"/>
    </row>
    <row r="4838" spans="45:45" ht="14.4">
      <c r="AS4838" s="20"/>
    </row>
    <row r="4839" spans="45:45" ht="14.4">
      <c r="AS4839" s="20"/>
    </row>
    <row r="4840" spans="45:45" ht="14.4">
      <c r="AS4840" s="20"/>
    </row>
    <row r="4841" spans="45:45" ht="14.4">
      <c r="AS4841" s="20"/>
    </row>
    <row r="4842" spans="45:45" ht="14.4">
      <c r="AS4842" s="20"/>
    </row>
    <row r="4843" spans="45:45" ht="14.4">
      <c r="AS4843" s="20"/>
    </row>
    <row r="4844" spans="45:45" ht="14.4">
      <c r="AS4844" s="20"/>
    </row>
    <row r="4845" spans="45:45" ht="14.4">
      <c r="AS4845" s="20"/>
    </row>
    <row r="4846" spans="45:45" ht="14.4">
      <c r="AS4846" s="20"/>
    </row>
    <row r="4847" spans="45:45" ht="14.4">
      <c r="AS4847" s="20"/>
    </row>
    <row r="4848" spans="45:45" ht="14.4">
      <c r="AS4848" s="20"/>
    </row>
    <row r="4849" spans="45:45" ht="14.4">
      <c r="AS4849" s="20"/>
    </row>
    <row r="4850" spans="45:45" ht="14.4">
      <c r="AS4850" s="20"/>
    </row>
    <row r="4851" spans="45:45" ht="14.4">
      <c r="AS4851" s="20"/>
    </row>
    <row r="4852" spans="45:45" ht="14.4">
      <c r="AS4852" s="20"/>
    </row>
    <row r="4853" spans="45:45" ht="14.4">
      <c r="AS4853" s="20"/>
    </row>
    <row r="4854" spans="45:45" ht="14.4">
      <c r="AS4854" s="20"/>
    </row>
    <row r="4855" spans="45:45" ht="14.4">
      <c r="AS4855" s="20"/>
    </row>
    <row r="4856" spans="45:45" ht="14.4">
      <c r="AS4856" s="20"/>
    </row>
    <row r="4857" spans="45:45" ht="14.4">
      <c r="AS4857" s="20"/>
    </row>
    <row r="4858" spans="45:45" ht="14.4">
      <c r="AS4858" s="20"/>
    </row>
    <row r="4859" spans="45:45" ht="14.4">
      <c r="AS4859" s="20"/>
    </row>
    <row r="4860" spans="45:45" ht="14.4">
      <c r="AS4860" s="20"/>
    </row>
    <row r="4861" spans="45:45" ht="14.4">
      <c r="AS4861" s="20"/>
    </row>
    <row r="4862" spans="45:45" ht="14.4">
      <c r="AS4862" s="20"/>
    </row>
    <row r="4863" spans="45:45" ht="14.4">
      <c r="AS4863" s="20"/>
    </row>
    <row r="4864" spans="45:45" ht="14.4">
      <c r="AS4864" s="20"/>
    </row>
    <row r="4865" spans="45:45" ht="14.4">
      <c r="AS4865" s="20"/>
    </row>
    <row r="4866" spans="45:45" ht="14.4">
      <c r="AS4866" s="20"/>
    </row>
    <row r="4867" spans="45:45" ht="14.4">
      <c r="AS4867" s="20"/>
    </row>
    <row r="4868" spans="45:45" ht="14.4">
      <c r="AS4868" s="20"/>
    </row>
    <row r="4869" spans="45:45" ht="14.4">
      <c r="AS4869" s="20"/>
    </row>
    <row r="4870" spans="45:45" ht="14.4">
      <c r="AS4870" s="20"/>
    </row>
    <row r="4871" spans="45:45" ht="14.4">
      <c r="AS4871" s="20"/>
    </row>
    <row r="4872" spans="45:45" ht="14.4">
      <c r="AS4872" s="20"/>
    </row>
    <row r="4873" spans="45:45" ht="14.4">
      <c r="AS4873" s="20"/>
    </row>
    <row r="4874" spans="45:45" ht="14.4">
      <c r="AS4874" s="20"/>
    </row>
    <row r="4875" spans="45:45" ht="14.4">
      <c r="AS4875" s="20"/>
    </row>
    <row r="4876" spans="45:45" ht="14.4">
      <c r="AS4876" s="20"/>
    </row>
    <row r="4877" spans="45:45" ht="14.4">
      <c r="AS4877" s="20"/>
    </row>
    <row r="4878" spans="45:45" ht="14.4">
      <c r="AS4878" s="20"/>
    </row>
    <row r="4879" spans="45:45" ht="14.4">
      <c r="AS4879" s="20"/>
    </row>
    <row r="4880" spans="45:45" ht="14.4">
      <c r="AS4880" s="20"/>
    </row>
    <row r="4881" spans="45:45" ht="14.4">
      <c r="AS4881" s="20"/>
    </row>
    <row r="4882" spans="45:45" ht="14.4">
      <c r="AS4882" s="20"/>
    </row>
    <row r="4883" spans="45:45" ht="14.4">
      <c r="AS4883" s="20"/>
    </row>
    <row r="4884" spans="45:45" ht="14.4">
      <c r="AS4884" s="20"/>
    </row>
    <row r="4885" spans="45:45" ht="14.4">
      <c r="AS4885" s="20"/>
    </row>
    <row r="4886" spans="45:45" ht="14.4">
      <c r="AS4886" s="20"/>
    </row>
    <row r="4887" spans="45:45" ht="14.4">
      <c r="AS4887" s="20"/>
    </row>
    <row r="4888" spans="45:45" ht="14.4">
      <c r="AS4888" s="20"/>
    </row>
    <row r="4889" spans="45:45" ht="14.4">
      <c r="AS4889" s="20"/>
    </row>
    <row r="4890" spans="45:45" ht="14.4">
      <c r="AS4890" s="20"/>
    </row>
    <row r="4891" spans="45:45" ht="14.4">
      <c r="AS4891" s="20"/>
    </row>
    <row r="4892" spans="45:45" ht="14.4">
      <c r="AS4892" s="20"/>
    </row>
    <row r="4893" spans="45:45" ht="14.4">
      <c r="AS4893" s="20"/>
    </row>
    <row r="4894" spans="45:45" ht="14.4">
      <c r="AS4894" s="20"/>
    </row>
    <row r="4895" spans="45:45" ht="14.4">
      <c r="AS4895" s="20"/>
    </row>
    <row r="4896" spans="45:45" ht="14.4">
      <c r="AS4896" s="20"/>
    </row>
    <row r="4897" spans="45:45" ht="14.4">
      <c r="AS4897" s="20"/>
    </row>
    <row r="4898" spans="45:45" ht="14.4">
      <c r="AS4898" s="20"/>
    </row>
    <row r="4899" spans="45:45" ht="14.4">
      <c r="AS4899" s="20"/>
    </row>
    <row r="4900" spans="45:45" ht="14.4">
      <c r="AS4900" s="20"/>
    </row>
    <row r="4901" spans="45:45" ht="14.4">
      <c r="AS4901" s="20"/>
    </row>
    <row r="4902" spans="45:45" ht="14.4">
      <c r="AS4902" s="20"/>
    </row>
    <row r="4903" spans="45:45" ht="14.4">
      <c r="AS4903" s="20"/>
    </row>
    <row r="4904" spans="45:45" ht="14.4">
      <c r="AS4904" s="20"/>
    </row>
    <row r="4905" spans="45:45" ht="14.4">
      <c r="AS4905" s="20"/>
    </row>
    <row r="4906" spans="45:45" ht="14.4">
      <c r="AS4906" s="20"/>
    </row>
    <row r="4907" spans="45:45" ht="14.4">
      <c r="AS4907" s="20"/>
    </row>
    <row r="4908" spans="45:45" ht="14.4">
      <c r="AS4908" s="20"/>
    </row>
    <row r="4909" spans="45:45" ht="14.4">
      <c r="AS4909" s="20"/>
    </row>
    <row r="4910" spans="45:45" ht="14.4">
      <c r="AS4910" s="20"/>
    </row>
    <row r="4911" spans="45:45" ht="14.4">
      <c r="AS4911" s="20"/>
    </row>
    <row r="4912" spans="45:45" ht="14.4">
      <c r="AS4912" s="20"/>
    </row>
    <row r="4913" spans="45:45" ht="14.4">
      <c r="AS4913" s="20"/>
    </row>
    <row r="4914" spans="45:45" ht="14.4">
      <c r="AS4914" s="20"/>
    </row>
    <row r="4915" spans="45:45" ht="14.4">
      <c r="AS4915" s="20"/>
    </row>
    <row r="4916" spans="45:45" ht="14.4">
      <c r="AS4916" s="20"/>
    </row>
    <row r="4917" spans="45:45" ht="14.4">
      <c r="AS4917" s="20"/>
    </row>
    <row r="4918" spans="45:45" ht="14.4">
      <c r="AS4918" s="20"/>
    </row>
    <row r="4919" spans="45:45" ht="14.4">
      <c r="AS4919" s="20"/>
    </row>
    <row r="4920" spans="45:45" ht="14.4">
      <c r="AS4920" s="20"/>
    </row>
    <row r="4921" spans="45:45" ht="14.4">
      <c r="AS4921" s="20"/>
    </row>
    <row r="4922" spans="45:45" ht="14.4">
      <c r="AS4922" s="20"/>
    </row>
    <row r="4923" spans="45:45" ht="14.4">
      <c r="AS4923" s="20"/>
    </row>
    <row r="4924" spans="45:45" ht="14.4">
      <c r="AS4924" s="20"/>
    </row>
    <row r="4925" spans="45:45" ht="14.4">
      <c r="AS4925" s="20"/>
    </row>
    <row r="4926" spans="45:45" ht="14.4">
      <c r="AS4926" s="20"/>
    </row>
    <row r="4927" spans="45:45" ht="14.4">
      <c r="AS4927" s="20"/>
    </row>
    <row r="4928" spans="45:45" ht="14.4">
      <c r="AS4928" s="20"/>
    </row>
    <row r="4929" spans="45:45" ht="14.4">
      <c r="AS4929" s="20"/>
    </row>
    <row r="4930" spans="45:45" ht="14.4">
      <c r="AS4930" s="20"/>
    </row>
    <row r="4931" spans="45:45" ht="14.4">
      <c r="AS4931" s="20"/>
    </row>
    <row r="4932" spans="45:45" ht="14.4">
      <c r="AS4932" s="20"/>
    </row>
    <row r="4933" spans="45:45" ht="14.4">
      <c r="AS4933" s="20"/>
    </row>
    <row r="4934" spans="45:45" ht="14.4">
      <c r="AS4934" s="20"/>
    </row>
    <row r="4935" spans="45:45" ht="14.4">
      <c r="AS4935" s="20"/>
    </row>
    <row r="4936" spans="45:45" ht="14.4">
      <c r="AS4936" s="20"/>
    </row>
    <row r="4937" spans="45:45" ht="14.4">
      <c r="AS4937" s="20"/>
    </row>
    <row r="4938" spans="45:45" ht="14.4">
      <c r="AS4938" s="20"/>
    </row>
    <row r="4939" spans="45:45" ht="14.4">
      <c r="AS4939" s="20"/>
    </row>
    <row r="4940" spans="45:45" ht="14.4">
      <c r="AS4940" s="20"/>
    </row>
    <row r="4941" spans="45:45" ht="14.4">
      <c r="AS4941" s="20"/>
    </row>
    <row r="4942" spans="45:45" ht="14.4">
      <c r="AS4942" s="20"/>
    </row>
    <row r="4943" spans="45:45" ht="14.4">
      <c r="AS4943" s="20"/>
    </row>
    <row r="4944" spans="45:45" ht="14.4">
      <c r="AS4944" s="20"/>
    </row>
    <row r="4945" spans="45:45" ht="14.4">
      <c r="AS4945" s="20"/>
    </row>
    <row r="4946" spans="45:45" ht="14.4">
      <c r="AS4946" s="20"/>
    </row>
    <row r="4947" spans="45:45" ht="14.4">
      <c r="AS4947" s="20"/>
    </row>
    <row r="4948" spans="45:45" ht="14.4">
      <c r="AS4948" s="20"/>
    </row>
    <row r="4949" spans="45:45" ht="14.4">
      <c r="AS4949" s="20"/>
    </row>
    <row r="4950" spans="45:45" ht="14.4">
      <c r="AS4950" s="20"/>
    </row>
    <row r="4951" spans="45:45" ht="14.4">
      <c r="AS4951" s="20"/>
    </row>
    <row r="4952" spans="45:45" ht="14.4">
      <c r="AS4952" s="20"/>
    </row>
    <row r="4953" spans="45:45" ht="14.4">
      <c r="AS4953" s="20"/>
    </row>
    <row r="4954" spans="45:45" ht="14.4">
      <c r="AS4954" s="20"/>
    </row>
    <row r="4955" spans="45:45" ht="14.4">
      <c r="AS4955" s="20"/>
    </row>
    <row r="4956" spans="45:45" ht="14.4">
      <c r="AS4956" s="20"/>
    </row>
    <row r="4957" spans="45:45" ht="14.4">
      <c r="AS4957" s="20"/>
    </row>
    <row r="4958" spans="45:45" ht="14.4">
      <c r="AS4958" s="20"/>
    </row>
    <row r="4959" spans="45:45" ht="14.4">
      <c r="AS4959" s="20"/>
    </row>
    <row r="4960" spans="45:45" ht="14.4">
      <c r="AS4960" s="20"/>
    </row>
    <row r="4961" spans="45:45" ht="14.4">
      <c r="AS4961" s="20"/>
    </row>
    <row r="4962" spans="45:45" ht="14.4">
      <c r="AS4962" s="20"/>
    </row>
    <row r="4963" spans="45:45" ht="14.4">
      <c r="AS4963" s="20"/>
    </row>
    <row r="4964" spans="45:45" ht="14.4">
      <c r="AS4964" s="20"/>
    </row>
    <row r="4965" spans="45:45" ht="14.4">
      <c r="AS4965" s="20"/>
    </row>
    <row r="4966" spans="45:45" ht="14.4">
      <c r="AS4966" s="20"/>
    </row>
    <row r="4967" spans="45:45" ht="14.4">
      <c r="AS4967" s="20"/>
    </row>
    <row r="4968" spans="45:45" ht="14.4">
      <c r="AS4968" s="20"/>
    </row>
    <row r="4969" spans="45:45" ht="14.4">
      <c r="AS4969" s="20"/>
    </row>
    <row r="4970" spans="45:45" ht="14.4">
      <c r="AS4970" s="20"/>
    </row>
    <row r="4971" spans="45:45" ht="14.4">
      <c r="AS4971" s="20"/>
    </row>
    <row r="4972" spans="45:45" ht="14.4">
      <c r="AS4972" s="20"/>
    </row>
    <row r="4973" spans="45:45" ht="14.4">
      <c r="AS4973" s="20"/>
    </row>
    <row r="4974" spans="45:45" ht="14.4">
      <c r="AS4974" s="20"/>
    </row>
    <row r="4975" spans="45:45" ht="14.4">
      <c r="AS4975" s="20"/>
    </row>
    <row r="4976" spans="45:45" ht="14.4">
      <c r="AS4976" s="20"/>
    </row>
    <row r="4977" spans="45:45" ht="14.4">
      <c r="AS4977" s="20"/>
    </row>
    <row r="4978" spans="45:45" ht="14.4">
      <c r="AS4978" s="20"/>
    </row>
    <row r="4979" spans="45:45" ht="14.4">
      <c r="AS4979" s="20"/>
    </row>
    <row r="4980" spans="45:45" ht="14.4">
      <c r="AS4980" s="20"/>
    </row>
    <row r="4981" spans="45:45" ht="14.4">
      <c r="AS4981" s="20"/>
    </row>
    <row r="4982" spans="45:45" ht="14.4">
      <c r="AS4982" s="20"/>
    </row>
    <row r="4983" spans="45:45" ht="14.4">
      <c r="AS4983" s="20"/>
    </row>
    <row r="4984" spans="45:45" ht="14.4">
      <c r="AS4984" s="20"/>
    </row>
    <row r="4985" spans="45:45" ht="14.4">
      <c r="AS4985" s="20"/>
    </row>
    <row r="4986" spans="45:45" ht="14.4">
      <c r="AS4986" s="20"/>
    </row>
    <row r="4987" spans="45:45" ht="14.4">
      <c r="AS4987" s="20"/>
    </row>
    <row r="4988" spans="45:45" ht="14.4">
      <c r="AS4988" s="20"/>
    </row>
    <row r="4989" spans="45:45" ht="14.4">
      <c r="AS4989" s="20"/>
    </row>
    <row r="4990" spans="45:45" ht="14.4">
      <c r="AS4990" s="20"/>
    </row>
    <row r="4991" spans="45:45" ht="14.4">
      <c r="AS4991" s="20"/>
    </row>
    <row r="4992" spans="45:45" ht="14.4">
      <c r="AS4992" s="20"/>
    </row>
    <row r="4993" spans="45:45" ht="14.4">
      <c r="AS4993" s="20"/>
    </row>
    <row r="4994" spans="45:45" ht="14.4">
      <c r="AS4994" s="20"/>
    </row>
    <row r="4995" spans="45:45" ht="14.4">
      <c r="AS4995" s="20"/>
    </row>
    <row r="4996" spans="45:45" ht="14.4">
      <c r="AS4996" s="20"/>
    </row>
    <row r="4997" spans="45:45" ht="14.4">
      <c r="AS4997" s="20"/>
    </row>
    <row r="4998" spans="45:45" ht="14.4">
      <c r="AS4998" s="20"/>
    </row>
    <row r="4999" spans="45:45" ht="14.4">
      <c r="AS4999" s="20"/>
    </row>
    <row r="5000" spans="45:45" ht="14.4">
      <c r="AS5000" s="20"/>
    </row>
    <row r="5001" spans="45:45" ht="14.4">
      <c r="AS5001" s="20"/>
    </row>
    <row r="5002" spans="45:45" ht="14.4">
      <c r="AS5002" s="20"/>
    </row>
    <row r="5003" spans="45:45" ht="14.4">
      <c r="AS5003" s="20"/>
    </row>
    <row r="5004" spans="45:45" ht="14.4">
      <c r="AS5004" s="20"/>
    </row>
    <row r="5005" spans="45:45" ht="14.4">
      <c r="AS5005" s="20"/>
    </row>
    <row r="5006" spans="45:45" ht="14.4">
      <c r="AS5006" s="20"/>
    </row>
    <row r="5007" spans="45:45" ht="14.4">
      <c r="AS5007" s="20"/>
    </row>
    <row r="5008" spans="45:45" ht="14.4">
      <c r="AS5008" s="20"/>
    </row>
    <row r="5009" spans="45:45" ht="14.4">
      <c r="AS5009" s="20"/>
    </row>
    <row r="5010" spans="45:45" ht="14.4">
      <c r="AS5010" s="20"/>
    </row>
    <row r="5011" spans="45:45" ht="14.4">
      <c r="AS5011" s="20"/>
    </row>
    <row r="5012" spans="45:45" ht="14.4">
      <c r="AS5012" s="20"/>
    </row>
    <row r="5013" spans="45:45" ht="14.4">
      <c r="AS5013" s="20"/>
    </row>
    <row r="5014" spans="45:45" ht="14.4">
      <c r="AS5014" s="20"/>
    </row>
    <row r="5015" spans="45:45" ht="14.4">
      <c r="AS5015" s="20"/>
    </row>
    <row r="5016" spans="45:45" ht="14.4">
      <c r="AS5016" s="20"/>
    </row>
    <row r="5017" spans="45:45" ht="14.4">
      <c r="AS5017" s="20"/>
    </row>
    <row r="5018" spans="45:45" ht="14.4">
      <c r="AS5018" s="20"/>
    </row>
    <row r="5019" spans="45:45" ht="14.4">
      <c r="AS5019" s="20"/>
    </row>
    <row r="5020" spans="45:45" ht="14.4">
      <c r="AS5020" s="20"/>
    </row>
    <row r="5021" spans="45:45" ht="14.4">
      <c r="AS5021" s="20"/>
    </row>
    <row r="5022" spans="45:45" ht="14.4">
      <c r="AS5022" s="20"/>
    </row>
    <row r="5023" spans="45:45" ht="14.4">
      <c r="AS5023" s="20"/>
    </row>
    <row r="5024" spans="45:45" ht="14.4">
      <c r="AS5024" s="20"/>
    </row>
    <row r="5025" spans="45:45" ht="14.4">
      <c r="AS5025" s="20"/>
    </row>
    <row r="5026" spans="45:45" ht="14.4">
      <c r="AS5026" s="20"/>
    </row>
    <row r="5027" spans="45:45" ht="14.4">
      <c r="AS5027" s="20"/>
    </row>
    <row r="5028" spans="45:45" ht="14.4">
      <c r="AS5028" s="20"/>
    </row>
    <row r="5029" spans="45:45" ht="14.4">
      <c r="AS5029" s="20"/>
    </row>
    <row r="5030" spans="45:45" ht="14.4">
      <c r="AS5030" s="20"/>
    </row>
    <row r="5031" spans="45:45" ht="14.4">
      <c r="AS5031" s="20"/>
    </row>
    <row r="5032" spans="45:45" ht="14.4">
      <c r="AS5032" s="20"/>
    </row>
    <row r="5033" spans="45:45" ht="14.4">
      <c r="AS5033" s="20"/>
    </row>
    <row r="5034" spans="45:45" ht="14.4">
      <c r="AS5034" s="20"/>
    </row>
    <row r="5035" spans="45:45" ht="14.4">
      <c r="AS5035" s="20"/>
    </row>
    <row r="5036" spans="45:45" ht="14.4">
      <c r="AS5036" s="20"/>
    </row>
    <row r="5037" spans="45:45" ht="14.4">
      <c r="AS5037" s="20"/>
    </row>
    <row r="5038" spans="45:45" ht="14.4">
      <c r="AS5038" s="20"/>
    </row>
    <row r="5039" spans="45:45" ht="14.4">
      <c r="AS5039" s="20"/>
    </row>
    <row r="5040" spans="45:45" ht="14.4">
      <c r="AS5040" s="20"/>
    </row>
    <row r="5041" spans="45:45" ht="14.4">
      <c r="AS5041" s="20"/>
    </row>
    <row r="5042" spans="45:45" ht="14.4">
      <c r="AS5042" s="20"/>
    </row>
    <row r="5043" spans="45:45" ht="14.4">
      <c r="AS5043" s="20"/>
    </row>
    <row r="5044" spans="45:45" ht="14.4">
      <c r="AS5044" s="20"/>
    </row>
    <row r="5045" spans="45:45" ht="14.4">
      <c r="AS5045" s="20"/>
    </row>
    <row r="5046" spans="45:45" ht="14.4">
      <c r="AS5046" s="20"/>
    </row>
    <row r="5047" spans="45:45" ht="14.4">
      <c r="AS5047" s="20"/>
    </row>
    <row r="5048" spans="45:45" ht="14.4">
      <c r="AS5048" s="20"/>
    </row>
    <row r="5049" spans="45:45" ht="14.4">
      <c r="AS5049" s="20"/>
    </row>
    <row r="5050" spans="45:45" ht="14.4">
      <c r="AS5050" s="20"/>
    </row>
    <row r="5051" spans="45:45" ht="14.4">
      <c r="AS5051" s="20"/>
    </row>
    <row r="5052" spans="45:45" ht="14.4">
      <c r="AS5052" s="20"/>
    </row>
    <row r="5053" spans="45:45" ht="14.4">
      <c r="AS5053" s="20"/>
    </row>
    <row r="5054" spans="45:45" ht="14.4">
      <c r="AS5054" s="20"/>
    </row>
    <row r="5055" spans="45:45" ht="14.4">
      <c r="AS5055" s="20"/>
    </row>
    <row r="5056" spans="45:45" ht="14.4">
      <c r="AS5056" s="20"/>
    </row>
    <row r="5057" spans="45:45" ht="14.4">
      <c r="AS5057" s="20"/>
    </row>
    <row r="5058" spans="45:45" ht="14.4">
      <c r="AS5058" s="20"/>
    </row>
    <row r="5059" spans="45:45" ht="14.4">
      <c r="AS5059" s="20"/>
    </row>
    <row r="5060" spans="45:45" ht="14.4">
      <c r="AS5060" s="20"/>
    </row>
    <row r="5061" spans="45:45" ht="14.4">
      <c r="AS5061" s="20"/>
    </row>
    <row r="5062" spans="45:45" ht="14.4">
      <c r="AS5062" s="20"/>
    </row>
    <row r="5063" spans="45:45" ht="14.4">
      <c r="AS5063" s="20"/>
    </row>
    <row r="5064" spans="45:45" ht="14.4">
      <c r="AS5064" s="20"/>
    </row>
    <row r="5065" spans="45:45" ht="14.4">
      <c r="AS5065" s="20"/>
    </row>
    <row r="5066" spans="45:45" ht="14.4">
      <c r="AS5066" s="20"/>
    </row>
    <row r="5067" spans="45:45" ht="14.4">
      <c r="AS5067" s="20"/>
    </row>
    <row r="5068" spans="45:45" ht="14.4">
      <c r="AS5068" s="20"/>
    </row>
    <row r="5069" spans="45:45" ht="14.4">
      <c r="AS5069" s="20"/>
    </row>
    <row r="5070" spans="45:45" ht="14.4">
      <c r="AS5070" s="20"/>
    </row>
    <row r="5071" spans="45:45" ht="14.4">
      <c r="AS5071" s="20"/>
    </row>
    <row r="5072" spans="45:45" ht="14.4">
      <c r="AS5072" s="20"/>
    </row>
    <row r="5073" spans="45:45" ht="14.4">
      <c r="AS5073" s="20"/>
    </row>
    <row r="5074" spans="45:45" ht="14.4">
      <c r="AS5074" s="20"/>
    </row>
    <row r="5075" spans="45:45" ht="14.4">
      <c r="AS5075" s="20"/>
    </row>
    <row r="5076" spans="45:45" ht="14.4">
      <c r="AS5076" s="20"/>
    </row>
    <row r="5077" spans="45:45" ht="14.4">
      <c r="AS5077" s="20"/>
    </row>
    <row r="5078" spans="45:45" ht="14.4">
      <c r="AS5078" s="20"/>
    </row>
    <row r="5079" spans="45:45" ht="14.4">
      <c r="AS5079" s="20"/>
    </row>
    <row r="5080" spans="45:45" ht="14.4">
      <c r="AS5080" s="20"/>
    </row>
    <row r="5081" spans="45:45" ht="14.4">
      <c r="AS5081" s="20"/>
    </row>
    <row r="5082" spans="45:45" ht="14.4">
      <c r="AS5082" s="20"/>
    </row>
    <row r="5083" spans="45:45" ht="14.4">
      <c r="AS5083" s="20"/>
    </row>
    <row r="5084" spans="45:45" ht="14.4">
      <c r="AS5084" s="20"/>
    </row>
    <row r="5085" spans="45:45" ht="14.4">
      <c r="AS5085" s="20"/>
    </row>
    <row r="5086" spans="45:45" ht="14.4">
      <c r="AS5086" s="20"/>
    </row>
    <row r="5087" spans="45:45" ht="14.4">
      <c r="AS5087" s="20"/>
    </row>
    <row r="5088" spans="45:45" ht="14.4">
      <c r="AS5088" s="20"/>
    </row>
    <row r="5089" spans="45:45" ht="14.4">
      <c r="AS5089" s="20"/>
    </row>
    <row r="5090" spans="45:45" ht="14.4">
      <c r="AS5090" s="20"/>
    </row>
    <row r="5091" spans="45:45" ht="14.4">
      <c r="AS5091" s="20"/>
    </row>
    <row r="5092" spans="45:45" ht="14.4">
      <c r="AS5092" s="20"/>
    </row>
    <row r="5093" spans="45:45" ht="14.4">
      <c r="AS5093" s="20"/>
    </row>
    <row r="5094" spans="45:45" ht="14.4">
      <c r="AS5094" s="20"/>
    </row>
    <row r="5095" spans="45:45" ht="14.4">
      <c r="AS5095" s="20"/>
    </row>
    <row r="5096" spans="45:45" ht="14.4">
      <c r="AS5096" s="20"/>
    </row>
    <row r="5097" spans="45:45" ht="14.4">
      <c r="AS5097" s="20"/>
    </row>
    <row r="5098" spans="45:45" ht="14.4">
      <c r="AS5098" s="20"/>
    </row>
    <row r="5099" spans="45:45" ht="14.4">
      <c r="AS5099" s="20"/>
    </row>
    <row r="5100" spans="45:45" ht="14.4">
      <c r="AS5100" s="20"/>
    </row>
    <row r="5101" spans="45:45" ht="14.4">
      <c r="AS5101" s="20"/>
    </row>
    <row r="5102" spans="45:45" ht="14.4">
      <c r="AS5102" s="20"/>
    </row>
    <row r="5103" spans="45:45" ht="14.4">
      <c r="AS5103" s="20"/>
    </row>
    <row r="5104" spans="45:45" ht="14.4">
      <c r="AS5104" s="20"/>
    </row>
    <row r="5105" spans="45:45" ht="14.4">
      <c r="AS5105" s="20"/>
    </row>
    <row r="5106" spans="45:45" ht="14.4">
      <c r="AS5106" s="20"/>
    </row>
    <row r="5107" spans="45:45" ht="14.4">
      <c r="AS5107" s="20"/>
    </row>
    <row r="5108" spans="45:45" ht="14.4">
      <c r="AS5108" s="20"/>
    </row>
    <row r="5109" spans="45:45" ht="14.4">
      <c r="AS5109" s="20"/>
    </row>
    <row r="5110" spans="45:45" ht="14.4">
      <c r="AS5110" s="20"/>
    </row>
    <row r="5111" spans="45:45" ht="14.4">
      <c r="AS5111" s="20"/>
    </row>
    <row r="5112" spans="45:45" ht="14.4">
      <c r="AS5112" s="20"/>
    </row>
    <row r="5113" spans="45:45" ht="14.4">
      <c r="AS5113" s="20"/>
    </row>
    <row r="5114" spans="45:45" ht="14.4">
      <c r="AS5114" s="20"/>
    </row>
    <row r="5115" spans="45:45" ht="14.4">
      <c r="AS5115" s="20"/>
    </row>
    <row r="5116" spans="45:45" ht="14.4">
      <c r="AS5116" s="20"/>
    </row>
    <row r="5117" spans="45:45" ht="14.4">
      <c r="AS5117" s="20"/>
    </row>
    <row r="5118" spans="45:45" ht="14.4">
      <c r="AS5118" s="20"/>
    </row>
    <row r="5119" spans="45:45" ht="14.4">
      <c r="AS5119" s="20"/>
    </row>
    <row r="5120" spans="45:45" ht="14.4">
      <c r="AS5120" s="20"/>
    </row>
    <row r="5121" spans="45:45" ht="14.4">
      <c r="AS5121" s="20"/>
    </row>
    <row r="5122" spans="45:45" ht="14.4">
      <c r="AS5122" s="20"/>
    </row>
    <row r="5123" spans="45:45" ht="14.4">
      <c r="AS5123" s="20"/>
    </row>
    <row r="5124" spans="45:45" ht="14.4">
      <c r="AS5124" s="20"/>
    </row>
    <row r="5125" spans="45:45" ht="14.4">
      <c r="AS5125" s="20"/>
    </row>
    <row r="5126" spans="45:45" ht="14.4">
      <c r="AS5126" s="20"/>
    </row>
    <row r="5127" spans="45:45" ht="14.4">
      <c r="AS5127" s="20"/>
    </row>
    <row r="5128" spans="45:45" ht="14.4">
      <c r="AS5128" s="20"/>
    </row>
    <row r="5129" spans="45:45" ht="14.4">
      <c r="AS5129" s="20"/>
    </row>
    <row r="5130" spans="45:45" ht="14.4">
      <c r="AS5130" s="20"/>
    </row>
    <row r="5131" spans="45:45" ht="14.4">
      <c r="AS5131" s="20"/>
    </row>
    <row r="5132" spans="45:45" ht="14.4">
      <c r="AS5132" s="20"/>
    </row>
    <row r="5133" spans="45:45" ht="14.4">
      <c r="AS5133" s="20"/>
    </row>
    <row r="5134" spans="45:45" ht="14.4">
      <c r="AS5134" s="20"/>
    </row>
    <row r="5135" spans="45:45" ht="14.4">
      <c r="AS5135" s="20"/>
    </row>
    <row r="5136" spans="45:45" ht="14.4">
      <c r="AS5136" s="20"/>
    </row>
    <row r="5137" spans="45:45" ht="14.4">
      <c r="AS5137" s="20"/>
    </row>
    <row r="5138" spans="45:45" ht="14.4">
      <c r="AS5138" s="20"/>
    </row>
    <row r="5139" spans="45:45" ht="14.4">
      <c r="AS5139" s="20"/>
    </row>
    <row r="5140" spans="45:45" ht="14.4">
      <c r="AS5140" s="20"/>
    </row>
    <row r="5141" spans="45:45" ht="14.4">
      <c r="AS5141" s="20"/>
    </row>
    <row r="5142" spans="45:45" ht="14.4">
      <c r="AS5142" s="20"/>
    </row>
    <row r="5143" spans="45:45" ht="14.4">
      <c r="AS5143" s="20"/>
    </row>
    <row r="5144" spans="45:45" ht="14.4">
      <c r="AS5144" s="20"/>
    </row>
    <row r="5145" spans="45:45" ht="14.4">
      <c r="AS5145" s="20"/>
    </row>
    <row r="5146" spans="45:45" ht="14.4">
      <c r="AS5146" s="20"/>
    </row>
    <row r="5147" spans="45:45" ht="14.4">
      <c r="AS5147" s="20"/>
    </row>
    <row r="5148" spans="45:45" ht="14.4">
      <c r="AS5148" s="20"/>
    </row>
    <row r="5149" spans="45:45" ht="14.4">
      <c r="AS5149" s="20"/>
    </row>
    <row r="5150" spans="45:45" ht="14.4">
      <c r="AS5150" s="20"/>
    </row>
    <row r="5151" spans="45:45" ht="14.4">
      <c r="AS5151" s="20"/>
    </row>
    <row r="5152" spans="45:45" ht="14.4">
      <c r="AS5152" s="20"/>
    </row>
    <row r="5153" spans="45:45" ht="14.4">
      <c r="AS5153" s="20"/>
    </row>
    <row r="5154" spans="45:45" ht="14.4">
      <c r="AS5154" s="20"/>
    </row>
    <row r="5155" spans="45:45" ht="14.4">
      <c r="AS5155" s="20"/>
    </row>
    <row r="5156" spans="45:45" ht="14.4">
      <c r="AS5156" s="20"/>
    </row>
    <row r="5157" spans="45:45" ht="14.4">
      <c r="AS5157" s="20"/>
    </row>
    <row r="5158" spans="45:45" ht="14.4">
      <c r="AS5158" s="20"/>
    </row>
    <row r="5159" spans="45:45" ht="14.4">
      <c r="AS5159" s="20"/>
    </row>
    <row r="5160" spans="45:45" ht="14.4">
      <c r="AS5160" s="20"/>
    </row>
    <row r="5161" spans="45:45" ht="14.4">
      <c r="AS5161" s="20"/>
    </row>
    <row r="5162" spans="45:45" ht="14.4">
      <c r="AS5162" s="20"/>
    </row>
    <row r="5163" spans="45:45" ht="14.4">
      <c r="AS5163" s="20"/>
    </row>
    <row r="5164" spans="45:45" ht="14.4">
      <c r="AS5164" s="20"/>
    </row>
    <row r="5165" spans="45:45" ht="14.4">
      <c r="AS5165" s="20"/>
    </row>
    <row r="5166" spans="45:45" ht="14.4">
      <c r="AS5166" s="20"/>
    </row>
    <row r="5167" spans="45:45" ht="14.4">
      <c r="AS5167" s="20"/>
    </row>
    <row r="5168" spans="45:45" ht="14.4">
      <c r="AS5168" s="20"/>
    </row>
    <row r="5169" spans="45:45" ht="14.4">
      <c r="AS5169" s="20"/>
    </row>
    <row r="5170" spans="45:45" ht="14.4">
      <c r="AS5170" s="20"/>
    </row>
    <row r="5171" spans="45:45" ht="14.4">
      <c r="AS5171" s="20"/>
    </row>
    <row r="5172" spans="45:45" ht="14.4">
      <c r="AS5172" s="20"/>
    </row>
    <row r="5173" spans="45:45" ht="14.4">
      <c r="AS5173" s="20"/>
    </row>
    <row r="5174" spans="45:45" ht="14.4">
      <c r="AS5174" s="20"/>
    </row>
    <row r="5175" spans="45:45" ht="14.4">
      <c r="AS5175" s="20"/>
    </row>
    <row r="5176" spans="45:45" ht="14.4">
      <c r="AS5176" s="20"/>
    </row>
    <row r="5177" spans="45:45" ht="14.4">
      <c r="AS5177" s="20"/>
    </row>
    <row r="5178" spans="45:45" ht="14.4">
      <c r="AS5178" s="20"/>
    </row>
    <row r="5179" spans="45:45" ht="14.4">
      <c r="AS5179" s="20"/>
    </row>
    <row r="5180" spans="45:45" ht="14.4">
      <c r="AS5180" s="20"/>
    </row>
    <row r="5181" spans="45:45" ht="14.4">
      <c r="AS5181" s="20"/>
    </row>
    <row r="5182" spans="45:45" ht="14.4">
      <c r="AS5182" s="20"/>
    </row>
    <row r="5183" spans="45:45" ht="14.4">
      <c r="AS5183" s="20"/>
    </row>
    <row r="5184" spans="45:45" ht="14.4">
      <c r="AS5184" s="20"/>
    </row>
    <row r="5185" spans="45:45" ht="14.4">
      <c r="AS5185" s="20"/>
    </row>
    <row r="5186" spans="45:45" ht="14.4">
      <c r="AS5186" s="20"/>
    </row>
    <row r="5187" spans="45:45" ht="14.4">
      <c r="AS5187" s="20"/>
    </row>
    <row r="5188" spans="45:45" ht="14.4">
      <c r="AS5188" s="20"/>
    </row>
    <row r="5189" spans="45:45" ht="14.4">
      <c r="AS5189" s="20"/>
    </row>
    <row r="5190" spans="45:45" ht="14.4">
      <c r="AS5190" s="20"/>
    </row>
    <row r="5191" spans="45:45" ht="14.4">
      <c r="AS5191" s="20"/>
    </row>
    <row r="5192" spans="45:45" ht="14.4">
      <c r="AS5192" s="20"/>
    </row>
    <row r="5193" spans="45:45" ht="14.4">
      <c r="AS5193" s="20"/>
    </row>
    <row r="5194" spans="45:45" ht="14.4">
      <c r="AS5194" s="20"/>
    </row>
    <row r="5195" spans="45:45" ht="14.4">
      <c r="AS5195" s="20"/>
    </row>
    <row r="5196" spans="45:45" ht="14.4">
      <c r="AS5196" s="20"/>
    </row>
    <row r="5197" spans="45:45" ht="14.4">
      <c r="AS5197" s="20"/>
    </row>
    <row r="5198" spans="45:45" ht="14.4">
      <c r="AS5198" s="20"/>
    </row>
    <row r="5199" spans="45:45" ht="14.4">
      <c r="AS5199" s="20"/>
    </row>
    <row r="5200" spans="45:45" ht="14.4">
      <c r="AS5200" s="20"/>
    </row>
    <row r="5201" spans="45:45" ht="14.4">
      <c r="AS5201" s="20"/>
    </row>
    <row r="5202" spans="45:45" ht="14.4">
      <c r="AS5202" s="20"/>
    </row>
    <row r="5203" spans="45:45" ht="14.4">
      <c r="AS5203" s="20"/>
    </row>
    <row r="5204" spans="45:45" ht="14.4">
      <c r="AS5204" s="20"/>
    </row>
    <row r="5205" spans="45:45" ht="14.4">
      <c r="AS5205" s="20"/>
    </row>
    <row r="5206" spans="45:45" ht="14.4">
      <c r="AS5206" s="20"/>
    </row>
    <row r="5207" spans="45:45" ht="14.4">
      <c r="AS5207" s="20"/>
    </row>
    <row r="5208" spans="45:45" ht="14.4">
      <c r="AS5208" s="20"/>
    </row>
    <row r="5209" spans="45:45" ht="14.4">
      <c r="AS5209" s="20"/>
    </row>
    <row r="5210" spans="45:45" ht="14.4">
      <c r="AS5210" s="20"/>
    </row>
    <row r="5211" spans="45:45" ht="14.4">
      <c r="AS5211" s="20"/>
    </row>
    <row r="5212" spans="45:45" ht="14.4">
      <c r="AS5212" s="20"/>
    </row>
    <row r="5213" spans="45:45" ht="14.4">
      <c r="AS5213" s="20"/>
    </row>
    <row r="5214" spans="45:45" ht="14.4">
      <c r="AS5214" s="20"/>
    </row>
    <row r="5215" spans="45:45" ht="14.4">
      <c r="AS5215" s="20"/>
    </row>
    <row r="5216" spans="45:45" ht="14.4">
      <c r="AS5216" s="20"/>
    </row>
    <row r="5217" spans="45:45" ht="14.4">
      <c r="AS5217" s="20"/>
    </row>
    <row r="5218" spans="45:45" ht="14.4">
      <c r="AS5218" s="20"/>
    </row>
    <row r="5219" spans="45:45" ht="14.4">
      <c r="AS5219" s="20"/>
    </row>
    <row r="5220" spans="45:45" ht="14.4">
      <c r="AS5220" s="20"/>
    </row>
    <row r="5221" spans="45:45" ht="14.4">
      <c r="AS5221" s="20"/>
    </row>
    <row r="5222" spans="45:45" ht="14.4">
      <c r="AS5222" s="20"/>
    </row>
    <row r="5223" spans="45:45" ht="14.4">
      <c r="AS5223" s="20"/>
    </row>
    <row r="5224" spans="45:45" ht="14.4">
      <c r="AS5224" s="20"/>
    </row>
    <row r="5225" spans="45:45" ht="14.4">
      <c r="AS5225" s="20"/>
    </row>
    <row r="5226" spans="45:45" ht="14.4">
      <c r="AS5226" s="20"/>
    </row>
    <row r="5227" spans="45:45" ht="14.4">
      <c r="AS5227" s="20"/>
    </row>
    <row r="5228" spans="45:45" ht="14.4">
      <c r="AS5228" s="20"/>
    </row>
    <row r="5229" spans="45:45" ht="14.4">
      <c r="AS5229" s="20"/>
    </row>
    <row r="5230" spans="45:45" ht="14.4">
      <c r="AS5230" s="20"/>
    </row>
    <row r="5231" spans="45:45" ht="14.4">
      <c r="AS5231" s="20"/>
    </row>
    <row r="5232" spans="45:45" ht="14.4">
      <c r="AS5232" s="20"/>
    </row>
    <row r="5233" spans="45:45" ht="14.4">
      <c r="AS5233" s="20"/>
    </row>
    <row r="5234" spans="45:45" ht="14.4">
      <c r="AS5234" s="20"/>
    </row>
    <row r="5235" spans="45:45" ht="14.4">
      <c r="AS5235" s="20"/>
    </row>
    <row r="5236" spans="45:45" ht="14.4">
      <c r="AS5236" s="20"/>
    </row>
    <row r="5237" spans="45:45" ht="14.4">
      <c r="AS5237" s="20"/>
    </row>
    <row r="5238" spans="45:45" ht="14.4">
      <c r="AS5238" s="20"/>
    </row>
    <row r="5239" spans="45:45" ht="14.4">
      <c r="AS5239" s="20"/>
    </row>
    <row r="5240" spans="45:45" ht="14.4">
      <c r="AS5240" s="20"/>
    </row>
    <row r="5241" spans="45:45" ht="14.4">
      <c r="AS5241" s="20"/>
    </row>
    <row r="5242" spans="45:45" ht="14.4">
      <c r="AS5242" s="20"/>
    </row>
    <row r="5243" spans="45:45" ht="14.4">
      <c r="AS5243" s="20"/>
    </row>
    <row r="5244" spans="45:45" ht="14.4">
      <c r="AS5244" s="20"/>
    </row>
    <row r="5245" spans="45:45" ht="14.4">
      <c r="AS5245" s="20"/>
    </row>
    <row r="5246" spans="45:45" ht="14.4">
      <c r="AS5246" s="20"/>
    </row>
    <row r="5247" spans="45:45" ht="14.4">
      <c r="AS5247" s="20"/>
    </row>
    <row r="5248" spans="45:45" ht="14.4">
      <c r="AS5248" s="20"/>
    </row>
    <row r="5249" spans="45:45" ht="14.4">
      <c r="AS5249" s="20"/>
    </row>
    <row r="5250" spans="45:45" ht="14.4">
      <c r="AS5250" s="20"/>
    </row>
    <row r="5251" spans="45:45" ht="14.4">
      <c r="AS5251" s="20"/>
    </row>
    <row r="5252" spans="45:45" ht="14.4">
      <c r="AS5252" s="20"/>
    </row>
    <row r="5253" spans="45:45" ht="14.4">
      <c r="AS5253" s="20"/>
    </row>
    <row r="5254" spans="45:45" ht="14.4">
      <c r="AS5254" s="20"/>
    </row>
    <row r="5255" spans="45:45" ht="14.4">
      <c r="AS5255" s="20"/>
    </row>
    <row r="5256" spans="45:45" ht="14.4">
      <c r="AS5256" s="20"/>
    </row>
    <row r="5257" spans="45:45" ht="14.4">
      <c r="AS5257" s="20"/>
    </row>
    <row r="5258" spans="45:45" ht="14.4">
      <c r="AS5258" s="20"/>
    </row>
    <row r="5259" spans="45:45" ht="14.4">
      <c r="AS5259" s="20"/>
    </row>
    <row r="5260" spans="45:45" ht="14.4">
      <c r="AS5260" s="20"/>
    </row>
    <row r="5261" spans="45:45" ht="14.4">
      <c r="AS5261" s="20"/>
    </row>
    <row r="5262" spans="45:45" ht="14.4">
      <c r="AS5262" s="20"/>
    </row>
    <row r="5263" spans="45:45" ht="14.4">
      <c r="AS5263" s="20"/>
    </row>
    <row r="5264" spans="45:45" ht="14.4">
      <c r="AS5264" s="20"/>
    </row>
    <row r="5265" spans="45:45" ht="14.4">
      <c r="AS5265" s="20"/>
    </row>
    <row r="5266" spans="45:45" ht="14.4">
      <c r="AS5266" s="20"/>
    </row>
    <row r="5267" spans="45:45" ht="14.4">
      <c r="AS5267" s="20"/>
    </row>
    <row r="5268" spans="45:45" ht="14.4">
      <c r="AS5268" s="20"/>
    </row>
    <row r="5269" spans="45:45" ht="14.4">
      <c r="AS5269" s="20"/>
    </row>
    <row r="5270" spans="45:45" ht="14.4">
      <c r="AS5270" s="20"/>
    </row>
    <row r="5271" spans="45:45" ht="14.4">
      <c r="AS5271" s="20"/>
    </row>
    <row r="5272" spans="45:45" ht="14.4">
      <c r="AS5272" s="20"/>
    </row>
    <row r="5273" spans="45:45" ht="14.4">
      <c r="AS5273" s="20"/>
    </row>
    <row r="5274" spans="45:45" ht="14.4">
      <c r="AS5274" s="20"/>
    </row>
    <row r="5275" spans="45:45" ht="14.4">
      <c r="AS5275" s="20"/>
    </row>
    <row r="5276" spans="45:45" ht="14.4">
      <c r="AS5276" s="20"/>
    </row>
    <row r="5277" spans="45:45" ht="14.4">
      <c r="AS5277" s="20"/>
    </row>
    <row r="5278" spans="45:45" ht="14.4">
      <c r="AS5278" s="20"/>
    </row>
    <row r="5279" spans="45:45" ht="14.4">
      <c r="AS5279" s="20"/>
    </row>
    <row r="5280" spans="45:45" ht="14.4">
      <c r="AS5280" s="20"/>
    </row>
    <row r="5281" spans="45:45" ht="14.4">
      <c r="AS5281" s="20"/>
    </row>
    <row r="5282" spans="45:45" ht="14.4">
      <c r="AS5282" s="20"/>
    </row>
    <row r="5283" spans="45:45" ht="14.4">
      <c r="AS5283" s="20"/>
    </row>
    <row r="5284" spans="45:45" ht="14.4">
      <c r="AS5284" s="20"/>
    </row>
    <row r="5285" spans="45:45" ht="14.4">
      <c r="AS5285" s="20"/>
    </row>
    <row r="5286" spans="45:45" ht="14.4">
      <c r="AS5286" s="20"/>
    </row>
    <row r="5287" spans="45:45" ht="14.4">
      <c r="AS5287" s="20"/>
    </row>
    <row r="5288" spans="45:45" ht="14.4">
      <c r="AS5288" s="20"/>
    </row>
    <row r="5289" spans="45:45" ht="14.4">
      <c r="AS5289" s="20"/>
    </row>
    <row r="5290" spans="45:45" ht="14.4">
      <c r="AS5290" s="20"/>
    </row>
    <row r="5291" spans="45:45" ht="14.4">
      <c r="AS5291" s="20"/>
    </row>
    <row r="5292" spans="45:45" ht="14.4">
      <c r="AS5292" s="20"/>
    </row>
    <row r="5293" spans="45:45" ht="14.4">
      <c r="AS5293" s="20"/>
    </row>
    <row r="5294" spans="45:45" ht="14.4">
      <c r="AS5294" s="20"/>
    </row>
    <row r="5295" spans="45:45" ht="14.4">
      <c r="AS5295" s="20"/>
    </row>
    <row r="5296" spans="45:45" ht="14.4">
      <c r="AS5296" s="20"/>
    </row>
    <row r="5297" spans="45:45" ht="14.4">
      <c r="AS5297" s="20"/>
    </row>
    <row r="5298" spans="45:45" ht="14.4">
      <c r="AS5298" s="20"/>
    </row>
    <row r="5299" spans="45:45" ht="14.4">
      <c r="AS5299" s="20"/>
    </row>
    <row r="5300" spans="45:45" ht="14.4">
      <c r="AS5300" s="20"/>
    </row>
    <row r="5301" spans="45:45" ht="14.4">
      <c r="AS5301" s="20"/>
    </row>
    <row r="5302" spans="45:45" ht="14.4">
      <c r="AS5302" s="20"/>
    </row>
    <row r="5303" spans="45:45" ht="14.4">
      <c r="AS5303" s="20"/>
    </row>
    <row r="5304" spans="45:45" ht="14.4">
      <c r="AS5304" s="20"/>
    </row>
    <row r="5305" spans="45:45" ht="14.4">
      <c r="AS5305" s="20"/>
    </row>
    <row r="5306" spans="45:45" ht="14.4">
      <c r="AS5306" s="20"/>
    </row>
    <row r="5307" spans="45:45" ht="14.4">
      <c r="AS5307" s="20"/>
    </row>
    <row r="5308" spans="45:45" ht="14.4">
      <c r="AS5308" s="20"/>
    </row>
    <row r="5309" spans="45:45" ht="14.4">
      <c r="AS5309" s="20"/>
    </row>
    <row r="5310" spans="45:45" ht="14.4">
      <c r="AS5310" s="20"/>
    </row>
    <row r="5311" spans="45:45" ht="14.4">
      <c r="AS5311" s="20"/>
    </row>
    <row r="5312" spans="45:45" ht="14.4">
      <c r="AS5312" s="20"/>
    </row>
    <row r="5313" spans="45:45" ht="14.4">
      <c r="AS5313" s="20"/>
    </row>
    <row r="5314" spans="45:45" ht="14.4">
      <c r="AS5314" s="20"/>
    </row>
    <row r="5315" spans="45:45" ht="14.4">
      <c r="AS5315" s="20"/>
    </row>
    <row r="5316" spans="45:45" ht="14.4">
      <c r="AS5316" s="20"/>
    </row>
    <row r="5317" spans="45:45" ht="14.4">
      <c r="AS5317" s="20"/>
    </row>
    <row r="5318" spans="45:45" ht="14.4">
      <c r="AS5318" s="20"/>
    </row>
    <row r="5319" spans="45:45" ht="14.4">
      <c r="AS5319" s="20"/>
    </row>
    <row r="5320" spans="45:45" ht="14.4">
      <c r="AS5320" s="20"/>
    </row>
    <row r="5321" spans="45:45" ht="14.4">
      <c r="AS5321" s="20"/>
    </row>
    <row r="5322" spans="45:45" ht="14.4">
      <c r="AS5322" s="20"/>
    </row>
    <row r="5323" spans="45:45" ht="14.4">
      <c r="AS5323" s="20"/>
    </row>
    <row r="5324" spans="45:45" ht="14.4">
      <c r="AS5324" s="20"/>
    </row>
    <row r="5325" spans="45:45" ht="14.4">
      <c r="AS5325" s="20"/>
    </row>
    <row r="5326" spans="45:45" ht="14.4">
      <c r="AS5326" s="20"/>
    </row>
    <row r="5327" spans="45:45" ht="14.4">
      <c r="AS5327" s="20"/>
    </row>
    <row r="5328" spans="45:45" ht="14.4">
      <c r="AS5328" s="20"/>
    </row>
    <row r="5329" spans="45:45" ht="14.4">
      <c r="AS5329" s="20"/>
    </row>
    <row r="5330" spans="45:45" ht="14.4">
      <c r="AS5330" s="20"/>
    </row>
    <row r="5331" spans="45:45" ht="14.4">
      <c r="AS5331" s="20"/>
    </row>
    <row r="5332" spans="45:45" ht="14.4">
      <c r="AS5332" s="20"/>
    </row>
    <row r="5333" spans="45:45" ht="14.4">
      <c r="AS5333" s="20"/>
    </row>
    <row r="5334" spans="45:45" ht="14.4">
      <c r="AS5334" s="20"/>
    </row>
    <row r="5335" spans="45:45" ht="14.4">
      <c r="AS5335" s="20"/>
    </row>
    <row r="5336" spans="45:45" ht="14.4">
      <c r="AS5336" s="20"/>
    </row>
    <row r="5337" spans="45:45" ht="14.4">
      <c r="AS5337" s="20"/>
    </row>
    <row r="5338" spans="45:45" ht="14.4">
      <c r="AS5338" s="20"/>
    </row>
    <row r="5339" spans="45:45" ht="14.4">
      <c r="AS5339" s="20"/>
    </row>
    <row r="5340" spans="45:45" ht="14.4">
      <c r="AS5340" s="20"/>
    </row>
    <row r="5341" spans="45:45" ht="14.4">
      <c r="AS5341" s="20"/>
    </row>
    <row r="5342" spans="45:45" ht="14.4">
      <c r="AS5342" s="20"/>
    </row>
    <row r="5343" spans="45:45" ht="14.4">
      <c r="AS5343" s="20"/>
    </row>
    <row r="5344" spans="45:45" ht="14.4">
      <c r="AS5344" s="20"/>
    </row>
    <row r="5345" spans="45:45" ht="14.4">
      <c r="AS5345" s="20"/>
    </row>
    <row r="5346" spans="45:45" ht="14.4">
      <c r="AS5346" s="20"/>
    </row>
    <row r="5347" spans="45:45" ht="14.4">
      <c r="AS5347" s="20"/>
    </row>
    <row r="5348" spans="45:45" ht="14.4">
      <c r="AS5348" s="20"/>
    </row>
    <row r="5349" spans="45:45" ht="14.4">
      <c r="AS5349" s="20"/>
    </row>
    <row r="5350" spans="45:45" ht="14.4">
      <c r="AS5350" s="20"/>
    </row>
    <row r="5351" spans="45:45" ht="14.4">
      <c r="AS5351" s="20"/>
    </row>
    <row r="5352" spans="45:45" ht="14.4">
      <c r="AS5352" s="20"/>
    </row>
    <row r="5353" spans="45:45" ht="14.4">
      <c r="AS5353" s="20"/>
    </row>
    <row r="5354" spans="45:45" ht="14.4">
      <c r="AS5354" s="20"/>
    </row>
    <row r="5355" spans="45:45" ht="14.4">
      <c r="AS5355" s="20"/>
    </row>
    <row r="5356" spans="45:45" ht="14.4">
      <c r="AS5356" s="20"/>
    </row>
    <row r="5357" spans="45:45" ht="14.4">
      <c r="AS5357" s="20"/>
    </row>
    <row r="5358" spans="45:45" ht="14.4">
      <c r="AS5358" s="20"/>
    </row>
    <row r="5359" spans="45:45" ht="14.4">
      <c r="AS5359" s="20"/>
    </row>
    <row r="5360" spans="45:45" ht="14.4">
      <c r="AS5360" s="20"/>
    </row>
    <row r="5361" spans="45:45" ht="14.4">
      <c r="AS5361" s="20"/>
    </row>
    <row r="5362" spans="45:45" ht="14.4">
      <c r="AS5362" s="20"/>
    </row>
    <row r="5363" spans="45:45" ht="14.4">
      <c r="AS5363" s="20"/>
    </row>
    <row r="5364" spans="45:45" ht="14.4">
      <c r="AS5364" s="20"/>
    </row>
    <row r="5365" spans="45:45" ht="14.4">
      <c r="AS5365" s="20"/>
    </row>
    <row r="5366" spans="45:45" ht="14.4">
      <c r="AS5366" s="20"/>
    </row>
    <row r="5367" spans="45:45" ht="14.4">
      <c r="AS5367" s="20"/>
    </row>
    <row r="5368" spans="45:45" ht="14.4">
      <c r="AS5368" s="20"/>
    </row>
    <row r="5369" spans="45:45" ht="14.4">
      <c r="AS5369" s="20"/>
    </row>
    <row r="5370" spans="45:45" ht="14.4">
      <c r="AS5370" s="20"/>
    </row>
    <row r="5371" spans="45:45" ht="14.4">
      <c r="AS5371" s="20"/>
    </row>
    <row r="5372" spans="45:45" ht="14.4">
      <c r="AS5372" s="20"/>
    </row>
    <row r="5373" spans="45:45" ht="14.4">
      <c r="AS5373" s="20"/>
    </row>
    <row r="5374" spans="45:45" ht="14.4">
      <c r="AS5374" s="20"/>
    </row>
    <row r="5375" spans="45:45" ht="14.4">
      <c r="AS5375" s="20"/>
    </row>
    <row r="5376" spans="45:45" ht="14.4">
      <c r="AS5376" s="20"/>
    </row>
    <row r="5377" spans="45:45" ht="14.4">
      <c r="AS5377" s="20"/>
    </row>
    <row r="5378" spans="45:45" ht="14.4">
      <c r="AS5378" s="20"/>
    </row>
    <row r="5379" spans="45:45" ht="14.4">
      <c r="AS5379" s="20"/>
    </row>
    <row r="5380" spans="45:45" ht="14.4">
      <c r="AS5380" s="20"/>
    </row>
    <row r="5381" spans="45:45" ht="14.4">
      <c r="AS5381" s="20"/>
    </row>
    <row r="5382" spans="45:45" ht="14.4">
      <c r="AS5382" s="20"/>
    </row>
    <row r="5383" spans="45:45" ht="14.4">
      <c r="AS5383" s="20"/>
    </row>
    <row r="5384" spans="45:45" ht="14.4">
      <c r="AS5384" s="20"/>
    </row>
    <row r="5385" spans="45:45" ht="14.4">
      <c r="AS5385" s="20"/>
    </row>
    <row r="5386" spans="45:45" ht="14.4">
      <c r="AS5386" s="20"/>
    </row>
    <row r="5387" spans="45:45" ht="14.4">
      <c r="AS5387" s="20"/>
    </row>
    <row r="5388" spans="45:45" ht="14.4">
      <c r="AS5388" s="20"/>
    </row>
    <row r="5389" spans="45:45" ht="14.4">
      <c r="AS5389" s="20"/>
    </row>
    <row r="5390" spans="45:45" ht="14.4">
      <c r="AS5390" s="20"/>
    </row>
    <row r="5391" spans="45:45" ht="14.4">
      <c r="AS5391" s="20"/>
    </row>
    <row r="5392" spans="45:45" ht="14.4">
      <c r="AS5392" s="20"/>
    </row>
    <row r="5393" spans="45:45" ht="14.4">
      <c r="AS5393" s="20"/>
    </row>
    <row r="5394" spans="45:45" ht="14.4">
      <c r="AS5394" s="20"/>
    </row>
    <row r="5395" spans="45:45" ht="14.4">
      <c r="AS5395" s="20"/>
    </row>
    <row r="5396" spans="45:45" ht="14.4">
      <c r="AS5396" s="20"/>
    </row>
    <row r="5397" spans="45:45" ht="14.4">
      <c r="AS5397" s="20"/>
    </row>
    <row r="5398" spans="45:45" ht="14.4">
      <c r="AS5398" s="20"/>
    </row>
    <row r="5399" spans="45:45" ht="14.4">
      <c r="AS5399" s="20"/>
    </row>
    <row r="5400" spans="45:45" ht="14.4">
      <c r="AS5400" s="20"/>
    </row>
    <row r="5401" spans="45:45" ht="14.4">
      <c r="AS5401" s="20"/>
    </row>
    <row r="5402" spans="45:45" ht="14.4">
      <c r="AS5402" s="20"/>
    </row>
    <row r="5403" spans="45:45" ht="14.4">
      <c r="AS5403" s="20"/>
    </row>
    <row r="5404" spans="45:45" ht="14.4">
      <c r="AS5404" s="20"/>
    </row>
    <row r="5405" spans="45:45" ht="14.4">
      <c r="AS5405" s="20"/>
    </row>
    <row r="5406" spans="45:45" ht="14.4">
      <c r="AS5406" s="20"/>
    </row>
    <row r="5407" spans="45:45" ht="14.4">
      <c r="AS5407" s="20"/>
    </row>
    <row r="5408" spans="45:45" ht="14.4">
      <c r="AS5408" s="20"/>
    </row>
    <row r="5409" spans="45:45" ht="14.4">
      <c r="AS5409" s="20"/>
    </row>
    <row r="5410" spans="45:45" ht="14.4">
      <c r="AS5410" s="20"/>
    </row>
    <row r="5411" spans="45:45" ht="14.4">
      <c r="AS5411" s="20"/>
    </row>
    <row r="5412" spans="45:45" ht="14.4">
      <c r="AS5412" s="20"/>
    </row>
    <row r="5413" spans="45:45" ht="14.4">
      <c r="AS5413" s="20"/>
    </row>
    <row r="5414" spans="45:45" ht="14.4">
      <c r="AS5414" s="20"/>
    </row>
    <row r="5415" spans="45:45" ht="14.4">
      <c r="AS5415" s="20"/>
    </row>
    <row r="5416" spans="45:45" ht="14.4">
      <c r="AS5416" s="20"/>
    </row>
    <row r="5417" spans="45:45" ht="14.4">
      <c r="AS5417" s="20"/>
    </row>
    <row r="5418" spans="45:45" ht="14.4">
      <c r="AS5418" s="20"/>
    </row>
    <row r="5419" spans="45:45" ht="14.4">
      <c r="AS5419" s="20"/>
    </row>
    <row r="5420" spans="45:45" ht="14.4">
      <c r="AS5420" s="20"/>
    </row>
    <row r="5421" spans="45:45" ht="14.4">
      <c r="AS5421" s="20"/>
    </row>
    <row r="5422" spans="45:45" ht="14.4">
      <c r="AS5422" s="20"/>
    </row>
    <row r="5423" spans="45:45" ht="14.4">
      <c r="AS5423" s="20"/>
    </row>
    <row r="5424" spans="45:45" ht="14.4">
      <c r="AS5424" s="20"/>
    </row>
    <row r="5425" spans="45:45" ht="14.4">
      <c r="AS5425" s="20"/>
    </row>
    <row r="5426" spans="45:45" ht="14.4">
      <c r="AS5426" s="20"/>
    </row>
    <row r="5427" spans="45:45" ht="14.4">
      <c r="AS5427" s="20"/>
    </row>
    <row r="5428" spans="45:45" ht="14.4">
      <c r="AS5428" s="20"/>
    </row>
    <row r="5429" spans="45:45" ht="14.4">
      <c r="AS5429" s="20"/>
    </row>
    <row r="5430" spans="45:45" ht="14.4">
      <c r="AS5430" s="20"/>
    </row>
    <row r="5431" spans="45:45" ht="14.4">
      <c r="AS5431" s="20"/>
    </row>
    <row r="5432" spans="45:45" ht="14.4">
      <c r="AS5432" s="20"/>
    </row>
    <row r="5433" spans="45:45" ht="14.4">
      <c r="AS5433" s="20"/>
    </row>
    <row r="5434" spans="45:45" ht="14.4">
      <c r="AS5434" s="20"/>
    </row>
    <row r="5435" spans="45:45" ht="14.4">
      <c r="AS5435" s="20"/>
    </row>
    <row r="5436" spans="45:45" ht="14.4">
      <c r="AS5436" s="20"/>
    </row>
    <row r="5437" spans="45:45" ht="14.4">
      <c r="AS5437" s="20"/>
    </row>
    <row r="5438" spans="45:45" ht="14.4">
      <c r="AS5438" s="20"/>
    </row>
    <row r="5439" spans="45:45" ht="14.4">
      <c r="AS5439" s="20"/>
    </row>
    <row r="5440" spans="45:45" ht="14.4">
      <c r="AS5440" s="20"/>
    </row>
    <row r="5441" spans="45:45" ht="14.4">
      <c r="AS5441" s="20"/>
    </row>
    <row r="5442" spans="45:45" ht="14.4">
      <c r="AS5442" s="20"/>
    </row>
    <row r="5443" spans="45:45" ht="14.4">
      <c r="AS5443" s="20"/>
    </row>
    <row r="5444" spans="45:45" ht="14.4">
      <c r="AS5444" s="20"/>
    </row>
    <row r="5445" spans="45:45" ht="14.4">
      <c r="AS5445" s="20"/>
    </row>
    <row r="5446" spans="45:45" ht="14.4">
      <c r="AS5446" s="20"/>
    </row>
    <row r="5447" spans="45:45" ht="14.4">
      <c r="AS5447" s="20"/>
    </row>
    <row r="5448" spans="45:45" ht="14.4">
      <c r="AS5448" s="20"/>
    </row>
    <row r="5449" spans="45:45" ht="14.4">
      <c r="AS5449" s="20"/>
    </row>
    <row r="5450" spans="45:45" ht="14.4">
      <c r="AS5450" s="20"/>
    </row>
    <row r="5451" spans="45:45" ht="14.4">
      <c r="AS5451" s="20"/>
    </row>
    <row r="5452" spans="45:45" ht="14.4">
      <c r="AS5452" s="20"/>
    </row>
    <row r="5453" spans="45:45" ht="14.4">
      <c r="AS5453" s="20"/>
    </row>
    <row r="5454" spans="45:45" ht="14.4">
      <c r="AS5454" s="20"/>
    </row>
    <row r="5455" spans="45:45" ht="14.4">
      <c r="AS5455" s="20"/>
    </row>
    <row r="5456" spans="45:45" ht="14.4">
      <c r="AS5456" s="20"/>
    </row>
    <row r="5457" spans="45:45" ht="14.4">
      <c r="AS5457" s="20"/>
    </row>
    <row r="5458" spans="45:45" ht="14.4">
      <c r="AS5458" s="20"/>
    </row>
    <row r="5459" spans="45:45" ht="14.4">
      <c r="AS5459" s="20"/>
    </row>
    <row r="5460" spans="45:45" ht="14.4">
      <c r="AS5460" s="20"/>
    </row>
    <row r="5461" spans="45:45" ht="14.4">
      <c r="AS5461" s="20"/>
    </row>
    <row r="5462" spans="45:45" ht="14.4">
      <c r="AS5462" s="20"/>
    </row>
    <row r="5463" spans="45:45" ht="14.4">
      <c r="AS5463" s="20"/>
    </row>
    <row r="5464" spans="45:45" ht="14.4">
      <c r="AS5464" s="20"/>
    </row>
    <row r="5465" spans="45:45" ht="14.4">
      <c r="AS5465" s="20"/>
    </row>
    <row r="5466" spans="45:45" ht="14.4">
      <c r="AS5466" s="20"/>
    </row>
    <row r="5467" spans="45:45" ht="14.4">
      <c r="AS5467" s="20"/>
    </row>
    <row r="5468" spans="45:45" ht="14.4">
      <c r="AS5468" s="20"/>
    </row>
    <row r="5469" spans="45:45" ht="14.4">
      <c r="AS5469" s="20"/>
    </row>
    <row r="5470" spans="45:45" ht="14.4">
      <c r="AS5470" s="20"/>
    </row>
    <row r="5471" spans="45:45" ht="14.4">
      <c r="AS5471" s="20"/>
    </row>
    <row r="5472" spans="45:45" ht="14.4">
      <c r="AS5472" s="20"/>
    </row>
    <row r="5473" spans="45:45" ht="14.4">
      <c r="AS5473" s="20"/>
    </row>
    <row r="5474" spans="45:45" ht="14.4">
      <c r="AS5474" s="20"/>
    </row>
    <row r="5475" spans="45:45" ht="14.4">
      <c r="AS5475" s="20"/>
    </row>
    <row r="5476" spans="45:45" ht="14.4">
      <c r="AS5476" s="20"/>
    </row>
    <row r="5477" spans="45:45" ht="14.4">
      <c r="AS5477" s="20"/>
    </row>
    <row r="5478" spans="45:45" ht="14.4">
      <c r="AS5478" s="20"/>
    </row>
    <row r="5479" spans="45:45" ht="14.4">
      <c r="AS5479" s="20"/>
    </row>
    <row r="5480" spans="45:45" ht="14.4">
      <c r="AS5480" s="20"/>
    </row>
    <row r="5481" spans="45:45" ht="14.4">
      <c r="AS5481" s="20"/>
    </row>
    <row r="5482" spans="45:45" ht="14.4">
      <c r="AS5482" s="20"/>
    </row>
    <row r="5483" spans="45:45" ht="14.4">
      <c r="AS5483" s="20"/>
    </row>
    <row r="5484" spans="45:45" ht="14.4">
      <c r="AS5484" s="20"/>
    </row>
    <row r="5485" spans="45:45" ht="14.4">
      <c r="AS5485" s="20"/>
    </row>
    <row r="5486" spans="45:45" ht="14.4">
      <c r="AS5486" s="20"/>
    </row>
    <row r="5487" spans="45:45" ht="14.4">
      <c r="AS5487" s="20"/>
    </row>
    <row r="5488" spans="45:45" ht="14.4">
      <c r="AS5488" s="20"/>
    </row>
    <row r="5489" spans="45:45" ht="14.4">
      <c r="AS5489" s="20"/>
    </row>
    <row r="5490" spans="45:45" ht="14.4">
      <c r="AS5490" s="20"/>
    </row>
    <row r="5491" spans="45:45" ht="14.4">
      <c r="AS5491" s="20"/>
    </row>
    <row r="5492" spans="45:45" ht="14.4">
      <c r="AS5492" s="20"/>
    </row>
    <row r="5493" spans="45:45" ht="14.4">
      <c r="AS5493" s="20"/>
    </row>
    <row r="5494" spans="45:45" ht="14.4">
      <c r="AS5494" s="20"/>
    </row>
    <row r="5495" spans="45:45" ht="14.4">
      <c r="AS5495" s="20"/>
    </row>
    <row r="5496" spans="45:45" ht="14.4">
      <c r="AS5496" s="20"/>
    </row>
    <row r="5497" spans="45:45" ht="14.4">
      <c r="AS5497" s="20"/>
    </row>
    <row r="5498" spans="45:45" ht="14.4">
      <c r="AS5498" s="20"/>
    </row>
    <row r="5499" spans="45:45" ht="14.4">
      <c r="AS5499" s="20"/>
    </row>
    <row r="5500" spans="45:45" ht="14.4">
      <c r="AS5500" s="20"/>
    </row>
    <row r="5501" spans="45:45" ht="14.4">
      <c r="AS5501" s="20"/>
    </row>
    <row r="5502" spans="45:45" ht="14.4">
      <c r="AS5502" s="20"/>
    </row>
    <row r="5503" spans="45:45" ht="14.4">
      <c r="AS5503" s="20"/>
    </row>
    <row r="5504" spans="45:45" ht="14.4">
      <c r="AS5504" s="20"/>
    </row>
    <row r="5505" spans="45:45" ht="14.4">
      <c r="AS5505" s="20"/>
    </row>
    <row r="5506" spans="45:45" ht="14.4">
      <c r="AS5506" s="20"/>
    </row>
    <row r="5507" spans="45:45" ht="14.4">
      <c r="AS5507" s="20"/>
    </row>
    <row r="5508" spans="45:45" ht="14.4">
      <c r="AS5508" s="20"/>
    </row>
    <row r="5509" spans="45:45" ht="14.4">
      <c r="AS5509" s="20"/>
    </row>
    <row r="5510" spans="45:45" ht="14.4">
      <c r="AS5510" s="20"/>
    </row>
    <row r="5511" spans="45:45" ht="14.4">
      <c r="AS5511" s="20"/>
    </row>
    <row r="5512" spans="45:45" ht="14.4">
      <c r="AS5512" s="20"/>
    </row>
    <row r="5513" spans="45:45" ht="14.4">
      <c r="AS5513" s="20"/>
    </row>
    <row r="5514" spans="45:45" ht="14.4">
      <c r="AS5514" s="20"/>
    </row>
    <row r="5515" spans="45:45" ht="14.4">
      <c r="AS5515" s="20"/>
    </row>
    <row r="5516" spans="45:45" ht="14.4">
      <c r="AS5516" s="20"/>
    </row>
    <row r="5517" spans="45:45" ht="14.4">
      <c r="AS5517" s="20"/>
    </row>
    <row r="5518" spans="45:45" ht="14.4">
      <c r="AS5518" s="20"/>
    </row>
    <row r="5519" spans="45:45" ht="14.4">
      <c r="AS5519" s="20"/>
    </row>
    <row r="5520" spans="45:45" ht="14.4">
      <c r="AS5520" s="20"/>
    </row>
    <row r="5521" spans="45:45" ht="14.4">
      <c r="AS5521" s="20"/>
    </row>
    <row r="5522" spans="45:45" ht="14.4">
      <c r="AS5522" s="20"/>
    </row>
    <row r="5523" spans="45:45" ht="14.4">
      <c r="AS5523" s="20"/>
    </row>
    <row r="5524" spans="45:45" ht="14.4">
      <c r="AS5524" s="20"/>
    </row>
    <row r="5525" spans="45:45" ht="14.4">
      <c r="AS5525" s="20"/>
    </row>
    <row r="5526" spans="45:45" ht="14.4">
      <c r="AS5526" s="20"/>
    </row>
    <row r="5527" spans="45:45" ht="14.4">
      <c r="AS5527" s="20"/>
    </row>
    <row r="5528" spans="45:45" ht="14.4">
      <c r="AS5528" s="20"/>
    </row>
    <row r="5529" spans="45:45" ht="14.4">
      <c r="AS5529" s="20"/>
    </row>
    <row r="5530" spans="45:45" ht="14.4">
      <c r="AS5530" s="20"/>
    </row>
    <row r="5531" spans="45:45" ht="14.4">
      <c r="AS5531" s="20"/>
    </row>
    <row r="5532" spans="45:45" ht="14.4">
      <c r="AS5532" s="20"/>
    </row>
    <row r="5533" spans="45:45" ht="14.4">
      <c r="AS5533" s="20"/>
    </row>
    <row r="5534" spans="45:45" ht="14.4">
      <c r="AS5534" s="20"/>
    </row>
    <row r="5535" spans="45:45" ht="14.4">
      <c r="AS5535" s="20"/>
    </row>
    <row r="5536" spans="45:45" ht="14.4">
      <c r="AS5536" s="20"/>
    </row>
    <row r="5537" spans="45:45" ht="14.4">
      <c r="AS5537" s="20"/>
    </row>
    <row r="5538" spans="45:45" ht="14.4">
      <c r="AS5538" s="20"/>
    </row>
    <row r="5539" spans="45:45" ht="14.4">
      <c r="AS5539" s="20"/>
    </row>
    <row r="5540" spans="45:45" ht="14.4">
      <c r="AS5540" s="20"/>
    </row>
    <row r="5541" spans="45:45" ht="14.4">
      <c r="AS5541" s="20"/>
    </row>
    <row r="5542" spans="45:45" ht="14.4">
      <c r="AS5542" s="20"/>
    </row>
    <row r="5543" spans="45:45" ht="14.4">
      <c r="AS5543" s="20"/>
    </row>
    <row r="5544" spans="45:45" ht="14.4">
      <c r="AS5544" s="20"/>
    </row>
    <row r="5545" spans="45:45" ht="14.4">
      <c r="AS5545" s="20"/>
    </row>
    <row r="5546" spans="45:45" ht="14.4">
      <c r="AS5546" s="20"/>
    </row>
    <row r="5547" spans="45:45" ht="14.4">
      <c r="AS5547" s="20"/>
    </row>
    <row r="5548" spans="45:45" ht="14.4">
      <c r="AS5548" s="20"/>
    </row>
    <row r="5549" spans="45:45" ht="14.4">
      <c r="AS5549" s="20"/>
    </row>
    <row r="5550" spans="45:45" ht="14.4">
      <c r="AS5550" s="20"/>
    </row>
    <row r="5551" spans="45:45" ht="14.4">
      <c r="AS5551" s="20"/>
    </row>
    <row r="5552" spans="45:45" ht="14.4">
      <c r="AS5552" s="20"/>
    </row>
    <row r="5553" spans="45:45" ht="14.4">
      <c r="AS5553" s="20"/>
    </row>
    <row r="5554" spans="45:45" ht="14.4">
      <c r="AS5554" s="20"/>
    </row>
    <row r="5555" spans="45:45" ht="14.4">
      <c r="AS5555" s="20"/>
    </row>
    <row r="5556" spans="45:45" ht="14.4">
      <c r="AS5556" s="20"/>
    </row>
    <row r="5557" spans="45:45" ht="14.4">
      <c r="AS5557" s="20"/>
    </row>
    <row r="5558" spans="45:45" ht="14.4">
      <c r="AS5558" s="20"/>
    </row>
    <row r="5559" spans="45:45" ht="14.4">
      <c r="AS5559" s="20"/>
    </row>
    <row r="5560" spans="45:45" ht="14.4">
      <c r="AS5560" s="20"/>
    </row>
    <row r="5561" spans="45:45" ht="14.4">
      <c r="AS5561" s="20"/>
    </row>
    <row r="5562" spans="45:45" ht="14.4">
      <c r="AS5562" s="20"/>
    </row>
    <row r="5563" spans="45:45" ht="14.4">
      <c r="AS5563" s="20"/>
    </row>
    <row r="5564" spans="45:45" ht="14.4">
      <c r="AS5564" s="20"/>
    </row>
    <row r="5565" spans="45:45" ht="14.4">
      <c r="AS5565" s="20"/>
    </row>
    <row r="5566" spans="45:45" ht="14.4">
      <c r="AS5566" s="20"/>
    </row>
    <row r="5567" spans="45:45" ht="14.4">
      <c r="AS5567" s="20"/>
    </row>
    <row r="5568" spans="45:45" ht="14.4">
      <c r="AS5568" s="20"/>
    </row>
    <row r="5569" spans="45:45" ht="14.4">
      <c r="AS5569" s="20"/>
    </row>
    <row r="5570" spans="45:45" ht="14.4">
      <c r="AS5570" s="20"/>
    </row>
    <row r="5571" spans="45:45" ht="14.4">
      <c r="AS5571" s="20"/>
    </row>
    <row r="5572" spans="45:45" ht="14.4">
      <c r="AS5572" s="20"/>
    </row>
    <row r="5573" spans="45:45" ht="14.4">
      <c r="AS5573" s="20"/>
    </row>
    <row r="5574" spans="45:45" ht="14.4">
      <c r="AS5574" s="20"/>
    </row>
    <row r="5575" spans="45:45" ht="14.4">
      <c r="AS5575" s="20"/>
    </row>
    <row r="5576" spans="45:45" ht="14.4">
      <c r="AS5576" s="20"/>
    </row>
    <row r="5577" spans="45:45" ht="14.4">
      <c r="AS5577" s="20"/>
    </row>
    <row r="5578" spans="45:45" ht="14.4">
      <c r="AS5578" s="20"/>
    </row>
    <row r="5579" spans="45:45" ht="14.4">
      <c r="AS5579" s="20"/>
    </row>
    <row r="5580" spans="45:45" ht="14.4">
      <c r="AS5580" s="20"/>
    </row>
    <row r="5581" spans="45:45" ht="14.4">
      <c r="AS5581" s="20"/>
    </row>
    <row r="5582" spans="45:45" ht="14.4">
      <c r="AS5582" s="20"/>
    </row>
    <row r="5583" spans="45:45" ht="14.4">
      <c r="AS5583" s="20"/>
    </row>
    <row r="5584" spans="45:45" ht="14.4">
      <c r="AS5584" s="20"/>
    </row>
    <row r="5585" spans="45:45" ht="14.4">
      <c r="AS5585" s="20"/>
    </row>
    <row r="5586" spans="45:45" ht="14.4">
      <c r="AS5586" s="20"/>
    </row>
    <row r="5587" spans="45:45" ht="14.4">
      <c r="AS5587" s="20"/>
    </row>
    <row r="5588" spans="45:45" ht="14.4">
      <c r="AS5588" s="20"/>
    </row>
    <row r="5589" spans="45:45" ht="14.4">
      <c r="AS5589" s="20"/>
    </row>
    <row r="5590" spans="45:45" ht="14.4">
      <c r="AS5590" s="20"/>
    </row>
    <row r="5591" spans="45:45" ht="14.4">
      <c r="AS5591" s="20"/>
    </row>
    <row r="5592" spans="45:45" ht="14.4">
      <c r="AS5592" s="20"/>
    </row>
    <row r="5593" spans="45:45" ht="14.4">
      <c r="AS5593" s="20"/>
    </row>
    <row r="5594" spans="45:45" ht="14.4">
      <c r="AS5594" s="20"/>
    </row>
    <row r="5595" spans="45:45" ht="14.4">
      <c r="AS5595" s="20"/>
    </row>
    <row r="5596" spans="45:45" ht="14.4">
      <c r="AS5596" s="20"/>
    </row>
    <row r="5597" spans="45:45" ht="14.4">
      <c r="AS5597" s="20"/>
    </row>
    <row r="5598" spans="45:45" ht="14.4">
      <c r="AS5598" s="20"/>
    </row>
    <row r="5599" spans="45:45" ht="14.4">
      <c r="AS5599" s="20"/>
    </row>
    <row r="5600" spans="45:45" ht="14.4">
      <c r="AS5600" s="20"/>
    </row>
    <row r="5601" spans="45:45" ht="14.4">
      <c r="AS5601" s="20"/>
    </row>
    <row r="5602" spans="45:45" ht="14.4">
      <c r="AS5602" s="20"/>
    </row>
    <row r="5603" spans="45:45" ht="14.4">
      <c r="AS5603" s="20"/>
    </row>
    <row r="5604" spans="45:45" ht="14.4">
      <c r="AS5604" s="20"/>
    </row>
    <row r="5605" spans="45:45" ht="14.4">
      <c r="AS5605" s="20"/>
    </row>
    <row r="5606" spans="45:45" ht="14.4">
      <c r="AS5606" s="20"/>
    </row>
    <row r="5607" spans="45:45" ht="14.4">
      <c r="AS5607" s="20"/>
    </row>
    <row r="5608" spans="45:45" ht="14.4">
      <c r="AS5608" s="20"/>
    </row>
    <row r="5609" spans="45:45" ht="14.4">
      <c r="AS5609" s="20"/>
    </row>
    <row r="5610" spans="45:45" ht="14.4">
      <c r="AS5610" s="20"/>
    </row>
    <row r="5611" spans="45:45" ht="14.4">
      <c r="AS5611" s="20"/>
    </row>
    <row r="5612" spans="45:45" ht="14.4">
      <c r="AS5612" s="20"/>
    </row>
    <row r="5613" spans="45:45" ht="14.4">
      <c r="AS5613" s="20"/>
    </row>
    <row r="5614" spans="45:45" ht="14.4">
      <c r="AS5614" s="20"/>
    </row>
    <row r="5615" spans="45:45" ht="14.4">
      <c r="AS5615" s="20"/>
    </row>
    <row r="5616" spans="45:45" ht="14.4">
      <c r="AS5616" s="20"/>
    </row>
    <row r="5617" spans="45:45" ht="14.4">
      <c r="AS5617" s="20"/>
    </row>
    <row r="5618" spans="45:45" ht="14.4">
      <c r="AS5618" s="20"/>
    </row>
    <row r="5619" spans="45:45" ht="14.4">
      <c r="AS5619" s="20"/>
    </row>
    <row r="5620" spans="45:45" ht="14.4">
      <c r="AS5620" s="20"/>
    </row>
    <row r="5621" spans="45:45" ht="14.4">
      <c r="AS5621" s="20"/>
    </row>
    <row r="5622" spans="45:45" ht="14.4">
      <c r="AS5622" s="20"/>
    </row>
    <row r="5623" spans="45:45" ht="14.4">
      <c r="AS5623" s="20"/>
    </row>
    <row r="5624" spans="45:45" ht="14.4">
      <c r="AS5624" s="20"/>
    </row>
    <row r="5625" spans="45:45" ht="14.4">
      <c r="AS5625" s="20"/>
    </row>
    <row r="5626" spans="45:45" ht="14.4">
      <c r="AS5626" s="20"/>
    </row>
    <row r="5627" spans="45:45" ht="14.4">
      <c r="AS5627" s="20"/>
    </row>
    <row r="5628" spans="45:45" ht="14.4">
      <c r="AS5628" s="20"/>
    </row>
    <row r="5629" spans="45:45" ht="14.4">
      <c r="AS5629" s="20"/>
    </row>
    <row r="5630" spans="45:45" ht="14.4">
      <c r="AS5630" s="20"/>
    </row>
    <row r="5631" spans="45:45" ht="14.4">
      <c r="AS5631" s="20"/>
    </row>
    <row r="5632" spans="45:45" ht="14.4">
      <c r="AS5632" s="20"/>
    </row>
    <row r="5633" spans="45:45" ht="14.4">
      <c r="AS5633" s="20"/>
    </row>
    <row r="5634" spans="45:45" ht="14.4">
      <c r="AS5634" s="20"/>
    </row>
    <row r="5635" spans="45:45" ht="14.4">
      <c r="AS5635" s="20"/>
    </row>
    <row r="5636" spans="45:45" ht="14.4">
      <c r="AS5636" s="20"/>
    </row>
    <row r="5637" spans="45:45" ht="14.4">
      <c r="AS5637" s="20"/>
    </row>
    <row r="5638" spans="45:45" ht="14.4">
      <c r="AS5638" s="20"/>
    </row>
    <row r="5639" spans="45:45" ht="14.4">
      <c r="AS5639" s="20"/>
    </row>
    <row r="5640" spans="45:45" ht="14.4">
      <c r="AS5640" s="20"/>
    </row>
    <row r="5641" spans="45:45" ht="14.4">
      <c r="AS5641" s="20"/>
    </row>
    <row r="5642" spans="45:45" ht="14.4">
      <c r="AS5642" s="20"/>
    </row>
    <row r="5643" spans="45:45" ht="14.4">
      <c r="AS5643" s="20"/>
    </row>
    <row r="5644" spans="45:45" ht="14.4">
      <c r="AS5644" s="20"/>
    </row>
    <row r="5645" spans="45:45" ht="14.4">
      <c r="AS5645" s="20"/>
    </row>
    <row r="5646" spans="45:45" ht="14.4">
      <c r="AS5646" s="20"/>
    </row>
    <row r="5647" spans="45:45" ht="14.4">
      <c r="AS5647" s="20"/>
    </row>
    <row r="5648" spans="45:45" ht="14.4">
      <c r="AS5648" s="20"/>
    </row>
    <row r="5649" spans="45:45" ht="14.4">
      <c r="AS5649" s="20"/>
    </row>
    <row r="5650" spans="45:45" ht="14.4">
      <c r="AS5650" s="20"/>
    </row>
    <row r="5651" spans="45:45" ht="14.4">
      <c r="AS5651" s="20"/>
    </row>
    <row r="5652" spans="45:45" ht="14.4">
      <c r="AS5652" s="20"/>
    </row>
    <row r="5653" spans="45:45" ht="14.4">
      <c r="AS5653" s="20"/>
    </row>
    <row r="5654" spans="45:45" ht="14.4">
      <c r="AS5654" s="20"/>
    </row>
    <row r="5655" spans="45:45" ht="14.4">
      <c r="AS5655" s="20"/>
    </row>
    <row r="5656" spans="45:45" ht="14.4">
      <c r="AS5656" s="20"/>
    </row>
    <row r="5657" spans="45:45" ht="14.4">
      <c r="AS5657" s="20"/>
    </row>
    <row r="5658" spans="45:45" ht="14.4">
      <c r="AS5658" s="20"/>
    </row>
    <row r="5659" spans="45:45" ht="14.4">
      <c r="AS5659" s="20"/>
    </row>
    <row r="5660" spans="45:45" ht="14.4">
      <c r="AS5660" s="20"/>
    </row>
    <row r="5661" spans="45:45" ht="14.4">
      <c r="AS5661" s="20"/>
    </row>
    <row r="5662" spans="45:45" ht="14.4">
      <c r="AS5662" s="20"/>
    </row>
    <row r="5663" spans="45:45" ht="14.4">
      <c r="AS5663" s="20"/>
    </row>
    <row r="5664" spans="45:45" ht="14.4">
      <c r="AS5664" s="20"/>
    </row>
    <row r="5665" spans="45:45" ht="14.4">
      <c r="AS5665" s="20"/>
    </row>
    <row r="5666" spans="45:45" ht="14.4">
      <c r="AS5666" s="20"/>
    </row>
    <row r="5667" spans="45:45" ht="14.4">
      <c r="AS5667" s="20"/>
    </row>
    <row r="5668" spans="45:45" ht="14.4">
      <c r="AS5668" s="20"/>
    </row>
    <row r="5669" spans="45:45" ht="14.4">
      <c r="AS5669" s="20"/>
    </row>
    <row r="5670" spans="45:45" ht="14.4">
      <c r="AS5670" s="20"/>
    </row>
    <row r="5671" spans="45:45" ht="14.4">
      <c r="AS5671" s="20"/>
    </row>
    <row r="5672" spans="45:45" ht="14.4">
      <c r="AS5672" s="20"/>
    </row>
    <row r="5673" spans="45:45" ht="14.4">
      <c r="AS5673" s="20"/>
    </row>
    <row r="5674" spans="45:45" ht="14.4">
      <c r="AS5674" s="20"/>
    </row>
    <row r="5675" spans="45:45" ht="14.4">
      <c r="AS5675" s="20"/>
    </row>
    <row r="5676" spans="45:45" ht="14.4">
      <c r="AS5676" s="20"/>
    </row>
    <row r="5677" spans="45:45" ht="14.4">
      <c r="AS5677" s="20"/>
    </row>
    <row r="5678" spans="45:45" ht="14.4">
      <c r="AS5678" s="20"/>
    </row>
    <row r="5679" spans="45:45" ht="14.4">
      <c r="AS5679" s="20"/>
    </row>
    <row r="5680" spans="45:45" ht="14.4">
      <c r="AS5680" s="20"/>
    </row>
    <row r="5681" spans="45:45" ht="14.4">
      <c r="AS5681" s="20"/>
    </row>
    <row r="5682" spans="45:45" ht="14.4">
      <c r="AS5682" s="20"/>
    </row>
    <row r="5683" spans="45:45" ht="14.4">
      <c r="AS5683" s="20"/>
    </row>
    <row r="5684" spans="45:45" ht="14.4">
      <c r="AS5684" s="20"/>
    </row>
    <row r="5685" spans="45:45" ht="14.4">
      <c r="AS5685" s="20"/>
    </row>
    <row r="5686" spans="45:45" ht="14.4">
      <c r="AS5686" s="20"/>
    </row>
    <row r="5687" spans="45:45" ht="14.4">
      <c r="AS5687" s="20"/>
    </row>
    <row r="5688" spans="45:45" ht="14.4">
      <c r="AS5688" s="20"/>
    </row>
    <row r="5689" spans="45:45" ht="14.4">
      <c r="AS5689" s="20"/>
    </row>
    <row r="5690" spans="45:45" ht="14.4">
      <c r="AS5690" s="20"/>
    </row>
    <row r="5691" spans="45:45" ht="14.4">
      <c r="AS5691" s="20"/>
    </row>
    <row r="5692" spans="45:45" ht="14.4">
      <c r="AS5692" s="20"/>
    </row>
    <row r="5693" spans="45:45" ht="14.4">
      <c r="AS5693" s="20"/>
    </row>
    <row r="5694" spans="45:45" ht="14.4">
      <c r="AS5694" s="20"/>
    </row>
    <row r="5695" spans="45:45" ht="14.4">
      <c r="AS5695" s="20"/>
    </row>
    <row r="5696" spans="45:45" ht="14.4">
      <c r="AS5696" s="20"/>
    </row>
    <row r="5697" spans="45:45" ht="14.4">
      <c r="AS5697" s="20"/>
    </row>
    <row r="5698" spans="45:45" ht="14.4">
      <c r="AS5698" s="20"/>
    </row>
    <row r="5699" spans="45:45" ht="14.4">
      <c r="AS5699" s="20"/>
    </row>
    <row r="5700" spans="45:45" ht="14.4">
      <c r="AS5700" s="20"/>
    </row>
    <row r="5701" spans="45:45" ht="14.4">
      <c r="AS5701" s="20"/>
    </row>
    <row r="5702" spans="45:45" ht="14.4">
      <c r="AS5702" s="20"/>
    </row>
    <row r="5703" spans="45:45" ht="14.4">
      <c r="AS5703" s="20"/>
    </row>
    <row r="5704" spans="45:45" ht="14.4">
      <c r="AS5704" s="20"/>
    </row>
    <row r="5705" spans="45:45" ht="14.4">
      <c r="AS5705" s="20"/>
    </row>
    <row r="5706" spans="45:45" ht="14.4">
      <c r="AS5706" s="20"/>
    </row>
    <row r="5707" spans="45:45" ht="14.4">
      <c r="AS5707" s="20"/>
    </row>
    <row r="5708" spans="45:45" ht="14.4">
      <c r="AS5708" s="20"/>
    </row>
    <row r="5709" spans="45:45" ht="14.4">
      <c r="AS5709" s="20"/>
    </row>
    <row r="5710" spans="45:45" ht="14.4">
      <c r="AS5710" s="20"/>
    </row>
    <row r="5711" spans="45:45" ht="14.4">
      <c r="AS5711" s="20"/>
    </row>
    <row r="5712" spans="45:45" ht="14.4">
      <c r="AS5712" s="20"/>
    </row>
    <row r="5713" spans="45:45" ht="14.4">
      <c r="AS5713" s="20"/>
    </row>
    <row r="5714" spans="45:45" ht="14.4">
      <c r="AS5714" s="20"/>
    </row>
    <row r="5715" spans="45:45" ht="14.4">
      <c r="AS5715" s="20"/>
    </row>
    <row r="5716" spans="45:45" ht="14.4">
      <c r="AS5716" s="20"/>
    </row>
    <row r="5717" spans="45:45" ht="14.4">
      <c r="AS5717" s="20"/>
    </row>
    <row r="5718" spans="45:45" ht="14.4">
      <c r="AS5718" s="20"/>
    </row>
    <row r="5719" spans="45:45" ht="14.4">
      <c r="AS5719" s="20"/>
    </row>
    <row r="5720" spans="45:45" ht="14.4">
      <c r="AS5720" s="20"/>
    </row>
    <row r="5721" spans="45:45" ht="14.4">
      <c r="AS5721" s="20"/>
    </row>
    <row r="5722" spans="45:45" ht="14.4">
      <c r="AS5722" s="20"/>
    </row>
    <row r="5723" spans="45:45" ht="14.4">
      <c r="AS5723" s="20"/>
    </row>
    <row r="5724" spans="45:45" ht="14.4">
      <c r="AS5724" s="20"/>
    </row>
    <row r="5725" spans="45:45" ht="14.4">
      <c r="AS5725" s="20"/>
    </row>
    <row r="5726" spans="45:45" ht="14.4">
      <c r="AS5726" s="20"/>
    </row>
    <row r="5727" spans="45:45" ht="14.4">
      <c r="AS5727" s="20"/>
    </row>
    <row r="5728" spans="45:45" ht="14.4">
      <c r="AS5728" s="20"/>
    </row>
    <row r="5729" spans="45:45" ht="14.4">
      <c r="AS5729" s="20"/>
    </row>
    <row r="5730" spans="45:45" ht="14.4">
      <c r="AS5730" s="20"/>
    </row>
    <row r="5731" spans="45:45" ht="14.4">
      <c r="AS5731" s="20"/>
    </row>
    <row r="5732" spans="45:45" ht="14.4">
      <c r="AS5732" s="20"/>
    </row>
    <row r="5733" spans="45:45" ht="14.4">
      <c r="AS5733" s="20"/>
    </row>
    <row r="5734" spans="45:45" ht="14.4">
      <c r="AS5734" s="20"/>
    </row>
    <row r="5735" spans="45:45" ht="14.4">
      <c r="AS5735" s="20"/>
    </row>
    <row r="5736" spans="45:45" ht="14.4">
      <c r="AS5736" s="20"/>
    </row>
    <row r="5737" spans="45:45" ht="14.4">
      <c r="AS5737" s="20"/>
    </row>
    <row r="5738" spans="45:45" ht="14.4">
      <c r="AS5738" s="20"/>
    </row>
    <row r="5739" spans="45:45" ht="14.4">
      <c r="AS5739" s="20"/>
    </row>
    <row r="5740" spans="45:45" ht="14.4">
      <c r="AS5740" s="20"/>
    </row>
    <row r="5741" spans="45:45" ht="14.4">
      <c r="AS5741" s="20"/>
    </row>
    <row r="5742" spans="45:45" ht="14.4">
      <c r="AS5742" s="20"/>
    </row>
    <row r="5743" spans="45:45" ht="14.4">
      <c r="AS5743" s="20"/>
    </row>
    <row r="5744" spans="45:45" ht="14.4">
      <c r="AS5744" s="20"/>
    </row>
    <row r="5745" spans="45:45" ht="14.4">
      <c r="AS5745" s="20"/>
    </row>
    <row r="5746" spans="45:45" ht="14.4">
      <c r="AS5746" s="20"/>
    </row>
    <row r="5747" spans="45:45" ht="14.4">
      <c r="AS5747" s="20"/>
    </row>
    <row r="5748" spans="45:45" ht="14.4">
      <c r="AS5748" s="20"/>
    </row>
    <row r="5749" spans="45:45" ht="14.4">
      <c r="AS5749" s="20"/>
    </row>
    <row r="5750" spans="45:45" ht="14.4">
      <c r="AS5750" s="20"/>
    </row>
    <row r="5751" spans="45:45" ht="14.4">
      <c r="AS5751" s="20"/>
    </row>
    <row r="5752" spans="45:45" ht="14.4">
      <c r="AS5752" s="20"/>
    </row>
    <row r="5753" spans="45:45" ht="14.4">
      <c r="AS5753" s="20"/>
    </row>
    <row r="5754" spans="45:45" ht="14.4">
      <c r="AS5754" s="20"/>
    </row>
    <row r="5755" spans="45:45" ht="14.4">
      <c r="AS5755" s="20"/>
    </row>
    <row r="5756" spans="45:45" ht="14.4">
      <c r="AS5756" s="20"/>
    </row>
    <row r="5757" spans="45:45" ht="14.4">
      <c r="AS5757" s="20"/>
    </row>
    <row r="5758" spans="45:45" ht="14.4">
      <c r="AS5758" s="20"/>
    </row>
    <row r="5759" spans="45:45" ht="14.4">
      <c r="AS5759" s="20"/>
    </row>
    <row r="5760" spans="45:45" ht="14.4">
      <c r="AS5760" s="20"/>
    </row>
    <row r="5761" spans="45:45" ht="14.4">
      <c r="AS5761" s="20"/>
    </row>
    <row r="5762" spans="45:45" ht="14.4">
      <c r="AS5762" s="20"/>
    </row>
    <row r="5763" spans="45:45" ht="14.4">
      <c r="AS5763" s="20"/>
    </row>
    <row r="5764" spans="45:45" ht="14.4">
      <c r="AS5764" s="20"/>
    </row>
    <row r="5765" spans="45:45" ht="14.4">
      <c r="AS5765" s="20"/>
    </row>
    <row r="5766" spans="45:45" ht="14.4">
      <c r="AS5766" s="20"/>
    </row>
    <row r="5767" spans="45:45" ht="14.4">
      <c r="AS5767" s="20"/>
    </row>
    <row r="5768" spans="45:45" ht="14.4">
      <c r="AS5768" s="20"/>
    </row>
    <row r="5769" spans="45:45" ht="14.4">
      <c r="AS5769" s="20"/>
    </row>
    <row r="5770" spans="45:45" ht="14.4">
      <c r="AS5770" s="20"/>
    </row>
    <row r="5771" spans="45:45" ht="14.4">
      <c r="AS5771" s="20"/>
    </row>
    <row r="5772" spans="45:45" ht="14.4">
      <c r="AS5772" s="20"/>
    </row>
    <row r="5773" spans="45:45" ht="14.4">
      <c r="AS5773" s="20"/>
    </row>
    <row r="5774" spans="45:45" ht="14.4">
      <c r="AS5774" s="20"/>
    </row>
    <row r="5775" spans="45:45" ht="14.4">
      <c r="AS5775" s="20"/>
    </row>
    <row r="5776" spans="45:45" ht="14.4">
      <c r="AS5776" s="20"/>
    </row>
    <row r="5777" spans="45:45" ht="14.4">
      <c r="AS5777" s="20"/>
    </row>
    <row r="5778" spans="45:45" ht="14.4">
      <c r="AS5778" s="20"/>
    </row>
    <row r="5779" spans="45:45" ht="14.4">
      <c r="AS5779" s="20"/>
    </row>
    <row r="5780" spans="45:45" ht="14.4">
      <c r="AS5780" s="20"/>
    </row>
    <row r="5781" spans="45:45" ht="14.4">
      <c r="AS5781" s="20"/>
    </row>
    <row r="5782" spans="45:45" ht="14.4">
      <c r="AS5782" s="20"/>
    </row>
    <row r="5783" spans="45:45" ht="14.4">
      <c r="AS5783" s="20"/>
    </row>
    <row r="5784" spans="45:45" ht="14.4">
      <c r="AS5784" s="20"/>
    </row>
    <row r="5785" spans="45:45" ht="14.4">
      <c r="AS5785" s="20"/>
    </row>
    <row r="5786" spans="45:45" ht="14.4">
      <c r="AS5786" s="20"/>
    </row>
    <row r="5787" spans="45:45" ht="14.4">
      <c r="AS5787" s="20"/>
    </row>
    <row r="5788" spans="45:45" ht="14.4">
      <c r="AS5788" s="20"/>
    </row>
    <row r="5789" spans="45:45" ht="14.4">
      <c r="AS5789" s="20"/>
    </row>
    <row r="5790" spans="45:45" ht="14.4">
      <c r="AS5790" s="20"/>
    </row>
    <row r="5791" spans="45:45" ht="14.4">
      <c r="AS5791" s="20"/>
    </row>
    <row r="5792" spans="45:45" ht="14.4">
      <c r="AS5792" s="20"/>
    </row>
    <row r="5793" spans="45:45" ht="14.4">
      <c r="AS5793" s="20"/>
    </row>
    <row r="5794" spans="45:45" ht="14.4">
      <c r="AS5794" s="20"/>
    </row>
    <row r="5795" spans="45:45" ht="14.4">
      <c r="AS5795" s="20"/>
    </row>
    <row r="5796" spans="45:45" ht="14.4">
      <c r="AS5796" s="20"/>
    </row>
    <row r="5797" spans="45:45" ht="14.4">
      <c r="AS5797" s="20"/>
    </row>
    <row r="5798" spans="45:45" ht="14.4">
      <c r="AS5798" s="20"/>
    </row>
    <row r="5799" spans="45:45" ht="14.4">
      <c r="AS5799" s="20"/>
    </row>
    <row r="5800" spans="45:45" ht="14.4">
      <c r="AS5800" s="20"/>
    </row>
    <row r="5801" spans="45:45" ht="14.4">
      <c r="AS5801" s="20"/>
    </row>
    <row r="5802" spans="45:45" ht="14.4">
      <c r="AS5802" s="20"/>
    </row>
    <row r="5803" spans="45:45" ht="14.4">
      <c r="AS5803" s="20"/>
    </row>
    <row r="5804" spans="45:45" ht="14.4">
      <c r="AS5804" s="20"/>
    </row>
    <row r="5805" spans="45:45" ht="14.4">
      <c r="AS5805" s="20"/>
    </row>
    <row r="5806" spans="45:45" ht="14.4">
      <c r="AS5806" s="20"/>
    </row>
    <row r="5807" spans="45:45" ht="14.4">
      <c r="AS5807" s="20"/>
    </row>
    <row r="5808" spans="45:45" ht="14.4">
      <c r="AS5808" s="20"/>
    </row>
    <row r="5809" spans="45:45" ht="14.4">
      <c r="AS5809" s="20"/>
    </row>
    <row r="5810" spans="45:45" ht="14.4">
      <c r="AS5810" s="20"/>
    </row>
    <row r="5811" spans="45:45" ht="14.4">
      <c r="AS5811" s="20"/>
    </row>
    <row r="5812" spans="45:45" ht="14.4">
      <c r="AS5812" s="20"/>
    </row>
    <row r="5813" spans="45:45" ht="14.4">
      <c r="AS5813" s="20"/>
    </row>
    <row r="5814" spans="45:45" ht="14.4">
      <c r="AS5814" s="20"/>
    </row>
    <row r="5815" spans="45:45" ht="14.4">
      <c r="AS5815" s="20"/>
    </row>
    <row r="5816" spans="45:45" ht="14.4">
      <c r="AS5816" s="20"/>
    </row>
    <row r="5817" spans="45:45" ht="14.4">
      <c r="AS5817" s="20"/>
    </row>
    <row r="5818" spans="45:45" ht="14.4">
      <c r="AS5818" s="20"/>
    </row>
    <row r="5819" spans="45:45" ht="14.4">
      <c r="AS5819" s="20"/>
    </row>
    <row r="5820" spans="45:45" ht="14.4">
      <c r="AS5820" s="20"/>
    </row>
    <row r="5821" spans="45:45" ht="14.4">
      <c r="AS5821" s="20"/>
    </row>
    <row r="5822" spans="45:45" ht="14.4">
      <c r="AS5822" s="20"/>
    </row>
    <row r="5823" spans="45:45" ht="14.4">
      <c r="AS5823" s="20"/>
    </row>
    <row r="5824" spans="45:45" ht="14.4">
      <c r="AS5824" s="20"/>
    </row>
    <row r="5825" spans="45:45" ht="14.4">
      <c r="AS5825" s="20"/>
    </row>
    <row r="5826" spans="45:45" ht="14.4">
      <c r="AS5826" s="20"/>
    </row>
    <row r="5827" spans="45:45" ht="14.4">
      <c r="AS5827" s="20"/>
    </row>
    <row r="5828" spans="45:45" ht="14.4">
      <c r="AS5828" s="20"/>
    </row>
    <row r="5829" spans="45:45" ht="14.4">
      <c r="AS5829" s="20"/>
    </row>
    <row r="5830" spans="45:45" ht="14.4">
      <c r="AS5830" s="20"/>
    </row>
    <row r="5831" spans="45:45" ht="14.4">
      <c r="AS5831" s="20"/>
    </row>
    <row r="5832" spans="45:45" ht="14.4">
      <c r="AS5832" s="20"/>
    </row>
    <row r="5833" spans="45:45" ht="14.4">
      <c r="AS5833" s="20"/>
    </row>
    <row r="5834" spans="45:45" ht="14.4">
      <c r="AS5834" s="20"/>
    </row>
    <row r="5835" spans="45:45" ht="14.4">
      <c r="AS5835" s="20"/>
    </row>
    <row r="5836" spans="45:45" ht="14.4">
      <c r="AS5836" s="20"/>
    </row>
    <row r="5837" spans="45:45" ht="14.4">
      <c r="AS5837" s="20"/>
    </row>
    <row r="5838" spans="45:45" ht="14.4">
      <c r="AS5838" s="20"/>
    </row>
    <row r="5839" spans="45:45" ht="14.4">
      <c r="AS5839" s="20"/>
    </row>
    <row r="5840" spans="45:45" ht="14.4">
      <c r="AS5840" s="20"/>
    </row>
    <row r="5841" spans="45:45" ht="14.4">
      <c r="AS5841" s="20"/>
    </row>
    <row r="5842" spans="45:45" ht="14.4">
      <c r="AS5842" s="20"/>
    </row>
    <row r="5843" spans="45:45" ht="14.4">
      <c r="AS5843" s="20"/>
    </row>
    <row r="5844" spans="45:45" ht="14.4">
      <c r="AS5844" s="20"/>
    </row>
    <row r="5845" spans="45:45" ht="14.4">
      <c r="AS5845" s="20"/>
    </row>
    <row r="5846" spans="45:45" ht="14.4">
      <c r="AS5846" s="20"/>
    </row>
    <row r="5847" spans="45:45" ht="14.4">
      <c r="AS5847" s="20"/>
    </row>
    <row r="5848" spans="45:45" ht="14.4">
      <c r="AS5848" s="20"/>
    </row>
    <row r="5849" spans="45:45" ht="14.4">
      <c r="AS5849" s="20"/>
    </row>
    <row r="5850" spans="45:45" ht="14.4">
      <c r="AS5850" s="20"/>
    </row>
    <row r="5851" spans="45:45" ht="14.4">
      <c r="AS5851" s="20"/>
    </row>
    <row r="5852" spans="45:45" ht="14.4">
      <c r="AS5852" s="20"/>
    </row>
    <row r="5853" spans="45:45" ht="14.4">
      <c r="AS5853" s="20"/>
    </row>
    <row r="5854" spans="45:45" ht="14.4">
      <c r="AS5854" s="20"/>
    </row>
    <row r="5855" spans="45:45" ht="14.4">
      <c r="AS5855" s="20"/>
    </row>
    <row r="5856" spans="45:45" ht="14.4">
      <c r="AS5856" s="20"/>
    </row>
    <row r="5857" spans="45:45" ht="14.4">
      <c r="AS5857" s="20"/>
    </row>
    <row r="5858" spans="45:45" ht="14.4">
      <c r="AS5858" s="20"/>
    </row>
    <row r="5859" spans="45:45" ht="14.4">
      <c r="AS5859" s="20"/>
    </row>
    <row r="5860" spans="45:45" ht="14.4">
      <c r="AS5860" s="20"/>
    </row>
    <row r="5861" spans="45:45" ht="14.4">
      <c r="AS5861" s="20"/>
    </row>
    <row r="5862" spans="45:45" ht="14.4">
      <c r="AS5862" s="20"/>
    </row>
    <row r="5863" spans="45:45" ht="14.4">
      <c r="AS5863" s="20"/>
    </row>
    <row r="5864" spans="45:45" ht="14.4">
      <c r="AS5864" s="20"/>
    </row>
    <row r="5865" spans="45:45" ht="14.4">
      <c r="AS5865" s="20"/>
    </row>
    <row r="5866" spans="45:45" ht="14.4">
      <c r="AS5866" s="20"/>
    </row>
    <row r="5867" spans="45:45" ht="14.4">
      <c r="AS5867" s="20"/>
    </row>
    <row r="5868" spans="45:45" ht="14.4">
      <c r="AS5868" s="20"/>
    </row>
    <row r="5869" spans="45:45" ht="14.4">
      <c r="AS5869" s="20"/>
    </row>
    <row r="5870" spans="45:45" ht="14.4">
      <c r="AS5870" s="20"/>
    </row>
    <row r="5871" spans="45:45" ht="14.4">
      <c r="AS5871" s="20"/>
    </row>
    <row r="5872" spans="45:45" ht="14.4">
      <c r="AS5872" s="20"/>
    </row>
    <row r="5873" spans="45:45" ht="14.4">
      <c r="AS5873" s="20"/>
    </row>
    <row r="5874" spans="45:45" ht="14.4">
      <c r="AS5874" s="20"/>
    </row>
    <row r="5875" spans="45:45" ht="14.4">
      <c r="AS5875" s="20"/>
    </row>
    <row r="5876" spans="45:45" ht="14.4">
      <c r="AS5876" s="20"/>
    </row>
    <row r="5877" spans="45:45" ht="14.4">
      <c r="AS5877" s="20"/>
    </row>
    <row r="5878" spans="45:45" ht="14.4">
      <c r="AS5878" s="20"/>
    </row>
    <row r="5879" spans="45:45" ht="14.4">
      <c r="AS5879" s="20"/>
    </row>
    <row r="5880" spans="45:45" ht="14.4">
      <c r="AS5880" s="20"/>
    </row>
    <row r="5881" spans="45:45" ht="14.4">
      <c r="AS5881" s="20"/>
    </row>
    <row r="5882" spans="45:45" ht="14.4">
      <c r="AS5882" s="20"/>
    </row>
    <row r="5883" spans="45:45" ht="14.4">
      <c r="AS5883" s="20"/>
    </row>
    <row r="5884" spans="45:45" ht="14.4">
      <c r="AS5884" s="20"/>
    </row>
    <row r="5885" spans="45:45" ht="14.4">
      <c r="AS5885" s="20"/>
    </row>
    <row r="5886" spans="45:45" ht="14.4">
      <c r="AS5886" s="20"/>
    </row>
    <row r="5887" spans="45:45" ht="14.4">
      <c r="AS5887" s="20"/>
    </row>
    <row r="5888" spans="45:45" ht="14.4">
      <c r="AS5888" s="20"/>
    </row>
    <row r="5889" spans="45:45" ht="14.4">
      <c r="AS5889" s="20"/>
    </row>
    <row r="5890" spans="45:45" ht="14.4">
      <c r="AS5890" s="20"/>
    </row>
    <row r="5891" spans="45:45" ht="14.4">
      <c r="AS5891" s="20"/>
    </row>
    <row r="5892" spans="45:45" ht="14.4">
      <c r="AS5892" s="20"/>
    </row>
    <row r="5893" spans="45:45" ht="14.4">
      <c r="AS5893" s="20"/>
    </row>
    <row r="5894" spans="45:45" ht="14.4">
      <c r="AS5894" s="20"/>
    </row>
    <row r="5895" spans="45:45" ht="14.4">
      <c r="AS5895" s="20"/>
    </row>
    <row r="5896" spans="45:45" ht="14.4">
      <c r="AS5896" s="20"/>
    </row>
    <row r="5897" spans="45:45" ht="14.4">
      <c r="AS5897" s="20"/>
    </row>
    <row r="5898" spans="45:45" ht="14.4">
      <c r="AS5898" s="20"/>
    </row>
    <row r="5899" spans="45:45" ht="14.4">
      <c r="AS5899" s="20"/>
    </row>
    <row r="5900" spans="45:45" ht="14.4">
      <c r="AS5900" s="20"/>
    </row>
    <row r="5901" spans="45:45" ht="14.4">
      <c r="AS5901" s="20"/>
    </row>
    <row r="5902" spans="45:45" ht="14.4">
      <c r="AS5902" s="20"/>
    </row>
    <row r="5903" spans="45:45" ht="14.4">
      <c r="AS5903" s="20"/>
    </row>
    <row r="5904" spans="45:45" ht="14.4">
      <c r="AS5904" s="20"/>
    </row>
    <row r="5905" spans="45:45" ht="14.4">
      <c r="AS5905" s="20"/>
    </row>
    <row r="5906" spans="45:45" ht="14.4">
      <c r="AS5906" s="20"/>
    </row>
    <row r="5907" spans="45:45" ht="14.4">
      <c r="AS5907" s="20"/>
    </row>
    <row r="5908" spans="45:45" ht="14.4">
      <c r="AS5908" s="20"/>
    </row>
    <row r="5909" spans="45:45" ht="14.4">
      <c r="AS5909" s="20"/>
    </row>
    <row r="5910" spans="45:45" ht="14.4">
      <c r="AS5910" s="20"/>
    </row>
    <row r="5911" spans="45:45" ht="14.4">
      <c r="AS5911" s="20"/>
    </row>
    <row r="5912" spans="45:45" ht="14.4">
      <c r="AS5912" s="20"/>
    </row>
    <row r="5913" spans="45:45" ht="14.4">
      <c r="AS5913" s="20"/>
    </row>
    <row r="5914" spans="45:45" ht="14.4">
      <c r="AS5914" s="20"/>
    </row>
    <row r="5915" spans="45:45" ht="14.4">
      <c r="AS5915" s="20"/>
    </row>
    <row r="5916" spans="45:45" ht="14.4">
      <c r="AS5916" s="20"/>
    </row>
    <row r="5917" spans="45:45" ht="14.4">
      <c r="AS5917" s="20"/>
    </row>
    <row r="5918" spans="45:45" ht="14.4">
      <c r="AS5918" s="20"/>
    </row>
    <row r="5919" spans="45:45" ht="14.4">
      <c r="AS5919" s="20"/>
    </row>
    <row r="5920" spans="45:45" ht="14.4">
      <c r="AS5920" s="20"/>
    </row>
    <row r="5921" spans="45:45" ht="14.4">
      <c r="AS5921" s="20"/>
    </row>
    <row r="5922" spans="45:45" ht="14.4">
      <c r="AS5922" s="20"/>
    </row>
    <row r="5923" spans="45:45" ht="14.4">
      <c r="AS5923" s="20"/>
    </row>
    <row r="5924" spans="45:45" ht="14.4">
      <c r="AS5924" s="20"/>
    </row>
    <row r="5925" spans="45:45" ht="14.4">
      <c r="AS5925" s="20"/>
    </row>
    <row r="5926" spans="45:45" ht="14.4">
      <c r="AS5926" s="20"/>
    </row>
    <row r="5927" spans="45:45" ht="14.4">
      <c r="AS5927" s="20"/>
    </row>
    <row r="5928" spans="45:45" ht="14.4">
      <c r="AS5928" s="20"/>
    </row>
    <row r="5929" spans="45:45" ht="14.4">
      <c r="AS5929" s="20"/>
    </row>
    <row r="5930" spans="45:45" ht="14.4">
      <c r="AS5930" s="20"/>
    </row>
    <row r="5931" spans="45:45" ht="14.4">
      <c r="AS5931" s="20"/>
    </row>
    <row r="5932" spans="45:45" ht="14.4">
      <c r="AS5932" s="20"/>
    </row>
    <row r="5933" spans="45:45" ht="14.4">
      <c r="AS5933" s="20"/>
    </row>
    <row r="5934" spans="45:45" ht="14.4">
      <c r="AS5934" s="20"/>
    </row>
    <row r="5935" spans="45:45" ht="14.4">
      <c r="AS5935" s="20"/>
    </row>
    <row r="5936" spans="45:45" ht="14.4">
      <c r="AS5936" s="20"/>
    </row>
    <row r="5937" spans="45:45" ht="14.4">
      <c r="AS5937" s="20"/>
    </row>
    <row r="5938" spans="45:45" ht="14.4">
      <c r="AS5938" s="20"/>
    </row>
    <row r="5939" spans="45:45" ht="14.4">
      <c r="AS5939" s="20"/>
    </row>
    <row r="5940" spans="45:45" ht="14.4">
      <c r="AS5940" s="20"/>
    </row>
    <row r="5941" spans="45:45" ht="14.4">
      <c r="AS5941" s="20"/>
    </row>
    <row r="5942" spans="45:45" ht="14.4">
      <c r="AS5942" s="20"/>
    </row>
    <row r="5943" spans="45:45" ht="14.4">
      <c r="AS5943" s="20"/>
    </row>
    <row r="5944" spans="45:45" ht="14.4">
      <c r="AS5944" s="20"/>
    </row>
    <row r="5945" spans="45:45" ht="14.4">
      <c r="AS5945" s="20"/>
    </row>
    <row r="5946" spans="45:45" ht="14.4">
      <c r="AS5946" s="20"/>
    </row>
    <row r="5947" spans="45:45" ht="14.4">
      <c r="AS5947" s="20"/>
    </row>
    <row r="5948" spans="45:45" ht="14.4">
      <c r="AS5948" s="20"/>
    </row>
    <row r="5949" spans="45:45" ht="14.4">
      <c r="AS5949" s="20"/>
    </row>
    <row r="5950" spans="45:45" ht="14.4">
      <c r="AS5950" s="20"/>
    </row>
    <row r="5951" spans="45:45" ht="14.4">
      <c r="AS5951" s="20"/>
    </row>
    <row r="5952" spans="45:45" ht="14.4">
      <c r="AS5952" s="20"/>
    </row>
    <row r="5953" spans="45:45" ht="14.4">
      <c r="AS5953" s="20"/>
    </row>
    <row r="5954" spans="45:45" ht="14.4">
      <c r="AS5954" s="20"/>
    </row>
    <row r="5955" spans="45:45" ht="14.4">
      <c r="AS5955" s="20"/>
    </row>
    <row r="5956" spans="45:45" ht="14.4">
      <c r="AS5956" s="20"/>
    </row>
    <row r="5957" spans="45:45" ht="14.4">
      <c r="AS5957" s="20"/>
    </row>
    <row r="5958" spans="45:45" ht="14.4">
      <c r="AS5958" s="20"/>
    </row>
    <row r="5959" spans="45:45" ht="14.4">
      <c r="AS5959" s="20"/>
    </row>
    <row r="5960" spans="45:45" ht="14.4">
      <c r="AS5960" s="20"/>
    </row>
    <row r="5961" spans="45:45" ht="14.4">
      <c r="AS5961" s="20"/>
    </row>
    <row r="5962" spans="45:45" ht="14.4">
      <c r="AS5962" s="20"/>
    </row>
    <row r="5963" spans="45:45" ht="14.4">
      <c r="AS5963" s="20"/>
    </row>
    <row r="5964" spans="45:45" ht="14.4">
      <c r="AS5964" s="20"/>
    </row>
    <row r="5965" spans="45:45" ht="14.4">
      <c r="AS5965" s="20"/>
    </row>
    <row r="5966" spans="45:45" ht="14.4">
      <c r="AS5966" s="20"/>
    </row>
    <row r="5967" spans="45:45" ht="14.4">
      <c r="AS5967" s="20"/>
    </row>
    <row r="5968" spans="45:45" ht="14.4">
      <c r="AS5968" s="20"/>
    </row>
    <row r="5969" spans="45:45" ht="14.4">
      <c r="AS5969" s="20"/>
    </row>
    <row r="5970" spans="45:45" ht="14.4">
      <c r="AS5970" s="20"/>
    </row>
    <row r="5971" spans="45:45" ht="14.4">
      <c r="AS5971" s="20"/>
    </row>
    <row r="5972" spans="45:45" ht="14.4">
      <c r="AS5972" s="20"/>
    </row>
    <row r="5973" spans="45:45" ht="14.4">
      <c r="AS5973" s="20"/>
    </row>
    <row r="5974" spans="45:45" ht="14.4">
      <c r="AS5974" s="20"/>
    </row>
    <row r="5975" spans="45:45" ht="14.4">
      <c r="AS5975" s="20"/>
    </row>
    <row r="5976" spans="45:45" ht="14.4">
      <c r="AS5976" s="20"/>
    </row>
    <row r="5977" spans="45:45" ht="14.4">
      <c r="AS5977" s="20"/>
    </row>
    <row r="5978" spans="45:45" ht="14.4">
      <c r="AS5978" s="20"/>
    </row>
    <row r="5979" spans="45:45" ht="14.4">
      <c r="AS5979" s="20"/>
    </row>
    <row r="5980" spans="45:45" ht="14.4">
      <c r="AS5980" s="20"/>
    </row>
    <row r="5981" spans="45:45" ht="14.4">
      <c r="AS5981" s="20"/>
    </row>
    <row r="5982" spans="45:45" ht="14.4">
      <c r="AS5982" s="20"/>
    </row>
    <row r="5983" spans="45:45" ht="14.4">
      <c r="AS5983" s="20"/>
    </row>
    <row r="5984" spans="45:45" ht="14.4">
      <c r="AS5984" s="20"/>
    </row>
    <row r="5985" spans="45:45" ht="14.4">
      <c r="AS5985" s="20"/>
    </row>
    <row r="5986" spans="45:45" ht="14.4">
      <c r="AS5986" s="20"/>
    </row>
    <row r="5987" spans="45:45" ht="14.4">
      <c r="AS5987" s="20"/>
    </row>
    <row r="5988" spans="45:45" ht="14.4">
      <c r="AS5988" s="20"/>
    </row>
    <row r="5989" spans="45:45" ht="14.4">
      <c r="AS5989" s="20"/>
    </row>
    <row r="5990" spans="45:45" ht="14.4">
      <c r="AS5990" s="20"/>
    </row>
    <row r="5991" spans="45:45" ht="14.4">
      <c r="AS5991" s="20"/>
    </row>
    <row r="5992" spans="45:45" ht="14.4">
      <c r="AS5992" s="20"/>
    </row>
    <row r="5993" spans="45:45" ht="14.4">
      <c r="AS5993" s="20"/>
    </row>
    <row r="5994" spans="45:45" ht="14.4">
      <c r="AS5994" s="20"/>
    </row>
    <row r="5995" spans="45:45" ht="14.4">
      <c r="AS5995" s="20"/>
    </row>
    <row r="5996" spans="45:45" ht="14.4">
      <c r="AS5996" s="20"/>
    </row>
    <row r="5997" spans="45:45" ht="14.4">
      <c r="AS5997" s="20"/>
    </row>
    <row r="5998" spans="45:45" ht="14.4">
      <c r="AS5998" s="20"/>
    </row>
    <row r="5999" spans="45:45" ht="14.4">
      <c r="AS5999" s="20"/>
    </row>
    <row r="6000" spans="45:45" ht="14.4">
      <c r="AS6000" s="20"/>
    </row>
    <row r="6001" spans="45:45" ht="14.4">
      <c r="AS6001" s="20"/>
    </row>
    <row r="6002" spans="45:45" ht="14.4">
      <c r="AS6002" s="20"/>
    </row>
    <row r="6003" spans="45:45" ht="14.4">
      <c r="AS6003" s="20"/>
    </row>
    <row r="6004" spans="45:45" ht="14.4">
      <c r="AS6004" s="20"/>
    </row>
    <row r="6005" spans="45:45" ht="14.4">
      <c r="AS6005" s="20"/>
    </row>
    <row r="6006" spans="45:45" ht="14.4">
      <c r="AS6006" s="20"/>
    </row>
    <row r="6007" spans="45:45" ht="14.4">
      <c r="AS6007" s="20"/>
    </row>
    <row r="6008" spans="45:45" ht="14.4">
      <c r="AS6008" s="20"/>
    </row>
    <row r="6009" spans="45:45" ht="14.4">
      <c r="AS6009" s="20"/>
    </row>
    <row r="6010" spans="45:45" ht="14.4">
      <c r="AS6010" s="20"/>
    </row>
    <row r="6011" spans="45:45" ht="14.4">
      <c r="AS6011" s="20"/>
    </row>
    <row r="6012" spans="45:45" ht="14.4">
      <c r="AS6012" s="20"/>
    </row>
    <row r="6013" spans="45:45" ht="14.4">
      <c r="AS6013" s="20"/>
    </row>
    <row r="6014" spans="45:45" ht="14.4">
      <c r="AS6014" s="20"/>
    </row>
    <row r="6015" spans="45:45" ht="14.4">
      <c r="AS6015" s="20"/>
    </row>
    <row r="6016" spans="45:45" ht="14.4">
      <c r="AS6016" s="20"/>
    </row>
    <row r="6017" spans="45:45" ht="14.4">
      <c r="AS6017" s="20"/>
    </row>
    <row r="6018" spans="45:45" ht="14.4">
      <c r="AS6018" s="20"/>
    </row>
    <row r="6019" spans="45:45" ht="14.4">
      <c r="AS6019" s="20"/>
    </row>
    <row r="6020" spans="45:45" ht="14.4">
      <c r="AS6020" s="20"/>
    </row>
    <row r="6021" spans="45:45" ht="14.4">
      <c r="AS6021" s="20"/>
    </row>
    <row r="6022" spans="45:45" ht="14.4">
      <c r="AS6022" s="20"/>
    </row>
    <row r="6023" spans="45:45" ht="14.4">
      <c r="AS6023" s="20"/>
    </row>
    <row r="6024" spans="45:45" ht="14.4">
      <c r="AS6024" s="20"/>
    </row>
    <row r="6025" spans="45:45" ht="14.4">
      <c r="AS6025" s="20"/>
    </row>
    <row r="6026" spans="45:45" ht="14.4">
      <c r="AS6026" s="20"/>
    </row>
    <row r="6027" spans="45:45" ht="14.4">
      <c r="AS6027" s="20"/>
    </row>
    <row r="6028" spans="45:45" ht="14.4">
      <c r="AS6028" s="20"/>
    </row>
    <row r="6029" spans="45:45" ht="14.4">
      <c r="AS6029" s="20"/>
    </row>
    <row r="6030" spans="45:45" ht="14.4">
      <c r="AS6030" s="20"/>
    </row>
    <row r="6031" spans="45:45" ht="14.4">
      <c r="AS6031" s="20"/>
    </row>
    <row r="6032" spans="45:45" ht="14.4">
      <c r="AS6032" s="20"/>
    </row>
    <row r="6033" spans="45:45" ht="14.4">
      <c r="AS6033" s="20"/>
    </row>
    <row r="6034" spans="45:45" ht="14.4">
      <c r="AS6034" s="20"/>
    </row>
    <row r="6035" spans="45:45" ht="14.4">
      <c r="AS6035" s="20"/>
    </row>
    <row r="6036" spans="45:45" ht="14.4">
      <c r="AS6036" s="20"/>
    </row>
    <row r="6037" spans="45:45" ht="14.4">
      <c r="AS6037" s="20"/>
    </row>
    <row r="6038" spans="45:45" ht="14.4">
      <c r="AS6038" s="20"/>
    </row>
    <row r="6039" spans="45:45" ht="14.4">
      <c r="AS6039" s="20"/>
    </row>
    <row r="6040" spans="45:45" ht="14.4">
      <c r="AS6040" s="20"/>
    </row>
    <row r="6041" spans="45:45" ht="14.4">
      <c r="AS6041" s="20"/>
    </row>
    <row r="6042" spans="45:45" ht="14.4">
      <c r="AS6042" s="20"/>
    </row>
    <row r="6043" spans="45:45" ht="14.4">
      <c r="AS6043" s="20"/>
    </row>
    <row r="6044" spans="45:45" ht="14.4">
      <c r="AS6044" s="20"/>
    </row>
    <row r="6045" spans="45:45" ht="14.4">
      <c r="AS6045" s="20"/>
    </row>
    <row r="6046" spans="45:45" ht="14.4">
      <c r="AS6046" s="20"/>
    </row>
    <row r="6047" spans="45:45" ht="14.4">
      <c r="AS6047" s="20"/>
    </row>
    <row r="6048" spans="45:45" ht="14.4">
      <c r="AS6048" s="20"/>
    </row>
    <row r="6049" spans="45:45" ht="14.4">
      <c r="AS6049" s="20"/>
    </row>
    <row r="6050" spans="45:45" ht="14.4">
      <c r="AS6050" s="20"/>
    </row>
    <row r="6051" spans="45:45" ht="14.4">
      <c r="AS6051" s="20"/>
    </row>
    <row r="6052" spans="45:45" ht="14.4">
      <c r="AS6052" s="20"/>
    </row>
    <row r="6053" spans="45:45" ht="14.4">
      <c r="AS6053" s="20"/>
    </row>
    <row r="6054" spans="45:45" ht="14.4">
      <c r="AS6054" s="20"/>
    </row>
    <row r="6055" spans="45:45" ht="14.4">
      <c r="AS6055" s="20"/>
    </row>
    <row r="6056" spans="45:45" ht="14.4">
      <c r="AS6056" s="20"/>
    </row>
    <row r="6057" spans="45:45" ht="14.4">
      <c r="AS6057" s="20"/>
    </row>
    <row r="6058" spans="45:45" ht="14.4">
      <c r="AS6058" s="20"/>
    </row>
    <row r="6059" spans="45:45" ht="14.4">
      <c r="AS6059" s="20"/>
    </row>
    <row r="6060" spans="45:45" ht="14.4">
      <c r="AS6060" s="20"/>
    </row>
    <row r="6061" spans="45:45" ht="14.4">
      <c r="AS6061" s="20"/>
    </row>
    <row r="6062" spans="45:45" ht="14.4">
      <c r="AS6062" s="20"/>
    </row>
    <row r="6063" spans="45:45" ht="14.4">
      <c r="AS6063" s="20"/>
    </row>
    <row r="6064" spans="45:45" ht="14.4">
      <c r="AS6064" s="20"/>
    </row>
    <row r="6065" spans="45:45" ht="14.4">
      <c r="AS6065" s="20"/>
    </row>
    <row r="6066" spans="45:45" ht="14.4">
      <c r="AS6066" s="20"/>
    </row>
    <row r="6067" spans="45:45" ht="14.4">
      <c r="AS6067" s="20"/>
    </row>
    <row r="6068" spans="45:45" ht="14.4">
      <c r="AS6068" s="20"/>
    </row>
    <row r="6069" spans="45:45" ht="14.4">
      <c r="AS6069" s="20"/>
    </row>
    <row r="6070" spans="45:45" ht="14.4">
      <c r="AS6070" s="20"/>
    </row>
    <row r="6071" spans="45:45" ht="14.4">
      <c r="AS6071" s="20"/>
    </row>
    <row r="6072" spans="45:45" ht="14.4">
      <c r="AS6072" s="20"/>
    </row>
    <row r="6073" spans="45:45" ht="14.4">
      <c r="AS6073" s="20"/>
    </row>
    <row r="6074" spans="45:45" ht="14.4">
      <c r="AS6074" s="20"/>
    </row>
    <row r="6075" spans="45:45" ht="14.4">
      <c r="AS6075" s="20"/>
    </row>
    <row r="6076" spans="45:45" ht="14.4">
      <c r="AS6076" s="20"/>
    </row>
    <row r="6077" spans="45:45" ht="14.4">
      <c r="AS6077" s="20"/>
    </row>
    <row r="6078" spans="45:45" ht="14.4">
      <c r="AS6078" s="20"/>
    </row>
    <row r="6079" spans="45:45" ht="14.4">
      <c r="AS6079" s="20"/>
    </row>
    <row r="6080" spans="45:45" ht="14.4">
      <c r="AS6080" s="20"/>
    </row>
    <row r="6081" spans="45:45" ht="14.4">
      <c r="AS6081" s="20"/>
    </row>
    <row r="6082" spans="45:45" ht="14.4">
      <c r="AS6082" s="20"/>
    </row>
    <row r="6083" spans="45:45" ht="14.4">
      <c r="AS6083" s="20"/>
    </row>
    <row r="6084" spans="45:45" ht="14.4">
      <c r="AS6084" s="20"/>
    </row>
    <row r="6085" spans="45:45" ht="14.4">
      <c r="AS6085" s="20"/>
    </row>
    <row r="6086" spans="45:45" ht="14.4">
      <c r="AS6086" s="20"/>
    </row>
    <row r="6087" spans="45:45" ht="14.4">
      <c r="AS6087" s="20"/>
    </row>
    <row r="6088" spans="45:45" ht="14.4">
      <c r="AS6088" s="20"/>
    </row>
    <row r="6089" spans="45:45" ht="14.4">
      <c r="AS6089" s="20"/>
    </row>
    <row r="6090" spans="45:45" ht="14.4">
      <c r="AS6090" s="20"/>
    </row>
    <row r="6091" spans="45:45" ht="14.4">
      <c r="AS6091" s="20"/>
    </row>
    <row r="6092" spans="45:45" ht="14.4">
      <c r="AS6092" s="20"/>
    </row>
    <row r="6093" spans="45:45" ht="14.4">
      <c r="AS6093" s="20"/>
    </row>
    <row r="6094" spans="45:45" ht="14.4">
      <c r="AS6094" s="20"/>
    </row>
    <row r="6095" spans="45:45" ht="14.4">
      <c r="AS6095" s="20"/>
    </row>
    <row r="6096" spans="45:45" ht="14.4">
      <c r="AS6096" s="20"/>
    </row>
    <row r="6097" spans="45:45" ht="14.4">
      <c r="AS6097" s="20"/>
    </row>
    <row r="6098" spans="45:45" ht="14.4">
      <c r="AS6098" s="20"/>
    </row>
    <row r="6099" spans="45:45" ht="14.4">
      <c r="AS6099" s="20"/>
    </row>
    <row r="6100" spans="45:45" ht="14.4">
      <c r="AS6100" s="20"/>
    </row>
    <row r="6101" spans="45:45" ht="14.4">
      <c r="AS6101" s="20"/>
    </row>
    <row r="6102" spans="45:45" ht="14.4">
      <c r="AS6102" s="20"/>
    </row>
    <row r="6103" spans="45:45" ht="14.4">
      <c r="AS6103" s="20"/>
    </row>
    <row r="6104" spans="45:45" ht="14.4">
      <c r="AS6104" s="20"/>
    </row>
    <row r="6105" spans="45:45" ht="14.4">
      <c r="AS6105" s="20"/>
    </row>
    <row r="6106" spans="45:45" ht="14.4">
      <c r="AS6106" s="20"/>
    </row>
    <row r="6107" spans="45:45" ht="14.4">
      <c r="AS6107" s="20"/>
    </row>
    <row r="6108" spans="45:45" ht="14.4">
      <c r="AS6108" s="20"/>
    </row>
    <row r="6109" spans="45:45" ht="14.4">
      <c r="AS6109" s="20"/>
    </row>
    <row r="6110" spans="45:45" ht="14.4">
      <c r="AS6110" s="20"/>
    </row>
    <row r="6111" spans="45:45" ht="14.4">
      <c r="AS6111" s="20"/>
    </row>
    <row r="6112" spans="45:45" ht="14.4">
      <c r="AS6112" s="20"/>
    </row>
    <row r="6113" spans="45:45" ht="14.4">
      <c r="AS6113" s="20"/>
    </row>
    <row r="6114" spans="45:45" ht="14.4">
      <c r="AS6114" s="20"/>
    </row>
    <row r="6115" spans="45:45" ht="14.4">
      <c r="AS6115" s="20"/>
    </row>
    <row r="6116" spans="45:45" ht="14.4">
      <c r="AS6116" s="20"/>
    </row>
    <row r="6117" spans="45:45" ht="14.4">
      <c r="AS6117" s="20"/>
    </row>
    <row r="6118" spans="45:45" ht="14.4">
      <c r="AS6118" s="20"/>
    </row>
    <row r="6119" spans="45:45" ht="14.4">
      <c r="AS6119" s="20"/>
    </row>
    <row r="6120" spans="45:45" ht="14.4">
      <c r="AS6120" s="20"/>
    </row>
    <row r="6121" spans="45:45" ht="14.4">
      <c r="AS6121" s="20"/>
    </row>
    <row r="6122" spans="45:45" ht="14.4">
      <c r="AS6122" s="20"/>
    </row>
    <row r="6123" spans="45:45" ht="14.4">
      <c r="AS6123" s="20"/>
    </row>
    <row r="6124" spans="45:45" ht="14.4">
      <c r="AS6124" s="20"/>
    </row>
    <row r="6125" spans="45:45" ht="14.4">
      <c r="AS6125" s="20"/>
    </row>
    <row r="6126" spans="45:45" ht="14.4">
      <c r="AS6126" s="20"/>
    </row>
    <row r="6127" spans="45:45" ht="14.4">
      <c r="AS6127" s="20"/>
    </row>
    <row r="6128" spans="45:45" ht="14.4">
      <c r="AS6128" s="20"/>
    </row>
    <row r="6129" spans="45:45" ht="14.4">
      <c r="AS6129" s="20"/>
    </row>
    <row r="6130" spans="45:45" ht="14.4">
      <c r="AS6130" s="20"/>
    </row>
    <row r="6131" spans="45:45" ht="14.4">
      <c r="AS6131" s="20"/>
    </row>
    <row r="6132" spans="45:45" ht="14.4">
      <c r="AS6132" s="20"/>
    </row>
    <row r="6133" spans="45:45" ht="14.4">
      <c r="AS6133" s="20"/>
    </row>
    <row r="6134" spans="45:45" ht="14.4">
      <c r="AS6134" s="20"/>
    </row>
    <row r="6135" spans="45:45" ht="14.4">
      <c r="AS6135" s="20"/>
    </row>
    <row r="6136" spans="45:45" ht="14.4">
      <c r="AS6136" s="20"/>
    </row>
    <row r="6137" spans="45:45" ht="14.4">
      <c r="AS6137" s="20"/>
    </row>
    <row r="6138" spans="45:45" ht="14.4">
      <c r="AS6138" s="20"/>
    </row>
    <row r="6139" spans="45:45" ht="14.4">
      <c r="AS6139" s="20"/>
    </row>
    <row r="6140" spans="45:45" ht="14.4">
      <c r="AS6140" s="20"/>
    </row>
    <row r="6141" spans="45:45" ht="14.4">
      <c r="AS6141" s="20"/>
    </row>
    <row r="6142" spans="45:45" ht="14.4">
      <c r="AS6142" s="20"/>
    </row>
    <row r="6143" spans="45:45" ht="14.4">
      <c r="AS6143" s="20"/>
    </row>
    <row r="6144" spans="45:45" ht="14.4">
      <c r="AS6144" s="20"/>
    </row>
    <row r="6145" spans="45:45" ht="14.4">
      <c r="AS6145" s="20"/>
    </row>
    <row r="6146" spans="45:45" ht="14.4">
      <c r="AS6146" s="20"/>
    </row>
    <row r="6147" spans="45:45" ht="14.4">
      <c r="AS6147" s="20"/>
    </row>
    <row r="6148" spans="45:45" ht="14.4">
      <c r="AS6148" s="20"/>
    </row>
    <row r="6149" spans="45:45" ht="14.4">
      <c r="AS6149" s="20"/>
    </row>
    <row r="6150" spans="45:45" ht="14.4">
      <c r="AS6150" s="20"/>
    </row>
    <row r="6151" spans="45:45" ht="14.4">
      <c r="AS6151" s="20"/>
    </row>
    <row r="6152" spans="45:45" ht="14.4">
      <c r="AS6152" s="20"/>
    </row>
    <row r="6153" spans="45:45" ht="14.4">
      <c r="AS6153" s="20"/>
    </row>
    <row r="6154" spans="45:45" ht="14.4">
      <c r="AS6154" s="20"/>
    </row>
    <row r="6155" spans="45:45" ht="14.4">
      <c r="AS6155" s="20"/>
    </row>
    <row r="6156" spans="45:45" ht="14.4">
      <c r="AS6156" s="20"/>
    </row>
    <row r="6157" spans="45:45" ht="14.4">
      <c r="AS6157" s="20"/>
    </row>
    <row r="6158" spans="45:45" ht="14.4">
      <c r="AS6158" s="20"/>
    </row>
    <row r="6159" spans="45:45" ht="14.4">
      <c r="AS6159" s="20"/>
    </row>
    <row r="6160" spans="45:45" ht="14.4">
      <c r="AS6160" s="20"/>
    </row>
    <row r="6161" spans="45:45" ht="14.4">
      <c r="AS6161" s="20"/>
    </row>
    <row r="6162" spans="45:45" ht="14.4">
      <c r="AS6162" s="20"/>
    </row>
    <row r="6163" spans="45:45" ht="14.4">
      <c r="AS6163" s="20"/>
    </row>
    <row r="6164" spans="45:45" ht="14.4">
      <c r="AS6164" s="20"/>
    </row>
    <row r="6165" spans="45:45" ht="14.4">
      <c r="AS6165" s="20"/>
    </row>
    <row r="6166" spans="45:45" ht="14.4">
      <c r="AS6166" s="20"/>
    </row>
    <row r="6167" spans="45:45" ht="14.4">
      <c r="AS6167" s="20"/>
    </row>
    <row r="6168" spans="45:45" ht="14.4">
      <c r="AS6168" s="20"/>
    </row>
    <row r="6169" spans="45:45" ht="14.4">
      <c r="AS6169" s="20"/>
    </row>
    <row r="6170" spans="45:45" ht="14.4">
      <c r="AS6170" s="20"/>
    </row>
    <row r="6171" spans="45:45" ht="14.4">
      <c r="AS6171" s="20"/>
    </row>
    <row r="6172" spans="45:45" ht="14.4">
      <c r="AS6172" s="20"/>
    </row>
    <row r="6173" spans="45:45" ht="14.4">
      <c r="AS6173" s="20"/>
    </row>
    <row r="6174" spans="45:45" ht="14.4">
      <c r="AS6174" s="20"/>
    </row>
    <row r="6175" spans="45:45" ht="14.4">
      <c r="AS6175" s="20"/>
    </row>
    <row r="6176" spans="45:45" ht="14.4">
      <c r="AS6176" s="20"/>
    </row>
    <row r="6177" spans="45:45" ht="14.4">
      <c r="AS6177" s="20"/>
    </row>
    <row r="6178" spans="45:45" ht="14.4">
      <c r="AS6178" s="20"/>
    </row>
    <row r="6179" spans="45:45" ht="14.4">
      <c r="AS6179" s="20"/>
    </row>
    <row r="6180" spans="45:45" ht="14.4">
      <c r="AS6180" s="20"/>
    </row>
    <row r="6181" spans="45:45" ht="14.4">
      <c r="AS6181" s="20"/>
    </row>
    <row r="6182" spans="45:45" ht="14.4">
      <c r="AS6182" s="20"/>
    </row>
    <row r="6183" spans="45:45" ht="14.4">
      <c r="AS6183" s="20"/>
    </row>
    <row r="6184" spans="45:45" ht="14.4">
      <c r="AS6184" s="20"/>
    </row>
    <row r="6185" spans="45:45" ht="14.4">
      <c r="AS6185" s="20"/>
    </row>
    <row r="6186" spans="45:45" ht="14.4">
      <c r="AS6186" s="20"/>
    </row>
    <row r="6187" spans="45:45" ht="14.4">
      <c r="AS6187" s="20"/>
    </row>
    <row r="6188" spans="45:45" ht="14.4">
      <c r="AS6188" s="20"/>
    </row>
    <row r="6189" spans="45:45" ht="14.4">
      <c r="AS6189" s="20"/>
    </row>
    <row r="6190" spans="45:45" ht="14.4">
      <c r="AS6190" s="20"/>
    </row>
    <row r="6191" spans="45:45" ht="14.4">
      <c r="AS6191" s="20"/>
    </row>
    <row r="6192" spans="45:45" ht="14.4">
      <c r="AS6192" s="20"/>
    </row>
    <row r="6193" spans="45:45" ht="14.4">
      <c r="AS6193" s="20"/>
    </row>
    <row r="6194" spans="45:45" ht="14.4">
      <c r="AS6194" s="20"/>
    </row>
    <row r="6195" spans="45:45" ht="14.4">
      <c r="AS6195" s="20"/>
    </row>
    <row r="6196" spans="45:45" ht="14.4">
      <c r="AS6196" s="20"/>
    </row>
    <row r="6197" spans="45:45" ht="14.4">
      <c r="AS6197" s="20"/>
    </row>
    <row r="6198" spans="45:45" ht="14.4">
      <c r="AS6198" s="20"/>
    </row>
    <row r="6199" spans="45:45" ht="14.4">
      <c r="AS6199" s="20"/>
    </row>
    <row r="6200" spans="45:45" ht="14.4">
      <c r="AS6200" s="20"/>
    </row>
    <row r="6201" spans="45:45" ht="14.4">
      <c r="AS6201" s="20"/>
    </row>
    <row r="6202" spans="45:45" ht="14.4">
      <c r="AS6202" s="20"/>
    </row>
    <row r="6203" spans="45:45" ht="14.4">
      <c r="AS6203" s="20"/>
    </row>
    <row r="6204" spans="45:45" ht="14.4">
      <c r="AS6204" s="20"/>
    </row>
    <row r="6205" spans="45:45" ht="14.4">
      <c r="AS6205" s="20"/>
    </row>
    <row r="6206" spans="45:45" ht="14.4">
      <c r="AS6206" s="20"/>
    </row>
    <row r="6207" spans="45:45" ht="14.4">
      <c r="AS6207" s="20"/>
    </row>
    <row r="6208" spans="45:45" ht="14.4">
      <c r="AS6208" s="20"/>
    </row>
    <row r="6209" spans="45:45" ht="14.4">
      <c r="AS6209" s="20"/>
    </row>
    <row r="6210" spans="45:45" ht="14.4">
      <c r="AS6210" s="20"/>
    </row>
    <row r="6211" spans="45:45" ht="14.4">
      <c r="AS6211" s="20"/>
    </row>
    <row r="6212" spans="45:45" ht="14.4">
      <c r="AS6212" s="20"/>
    </row>
    <row r="6213" spans="45:45" ht="14.4">
      <c r="AS6213" s="20"/>
    </row>
    <row r="6214" spans="45:45" ht="14.4">
      <c r="AS6214" s="20"/>
    </row>
    <row r="6215" spans="45:45" ht="14.4">
      <c r="AS6215" s="20"/>
    </row>
    <row r="6216" spans="45:45" ht="14.4">
      <c r="AS6216" s="20"/>
    </row>
    <row r="6217" spans="45:45" ht="14.4">
      <c r="AS6217" s="20"/>
    </row>
    <row r="6218" spans="45:45" ht="14.4">
      <c r="AS6218" s="20"/>
    </row>
    <row r="6219" spans="45:45" ht="14.4">
      <c r="AS6219" s="20"/>
    </row>
    <row r="6220" spans="45:45" ht="14.4">
      <c r="AS6220" s="20"/>
    </row>
    <row r="6221" spans="45:45" ht="14.4">
      <c r="AS6221" s="20"/>
    </row>
    <row r="6222" spans="45:45" ht="14.4">
      <c r="AS6222" s="20"/>
    </row>
    <row r="6223" spans="45:45" ht="14.4">
      <c r="AS6223" s="20"/>
    </row>
    <row r="6224" spans="45:45" ht="14.4">
      <c r="AS6224" s="20"/>
    </row>
    <row r="6225" spans="45:45" ht="14.4">
      <c r="AS6225" s="20"/>
    </row>
    <row r="6226" spans="45:45" ht="14.4">
      <c r="AS6226" s="20"/>
    </row>
    <row r="6227" spans="45:45" ht="14.4">
      <c r="AS6227" s="20"/>
    </row>
    <row r="6228" spans="45:45" ht="14.4">
      <c r="AS6228" s="20"/>
    </row>
    <row r="6229" spans="45:45" ht="14.4">
      <c r="AS6229" s="20"/>
    </row>
    <row r="6230" spans="45:45" ht="14.4">
      <c r="AS6230" s="20"/>
    </row>
    <row r="6231" spans="45:45" ht="14.4">
      <c r="AS6231" s="20"/>
    </row>
    <row r="6232" spans="45:45" ht="14.4">
      <c r="AS6232" s="20"/>
    </row>
    <row r="6233" spans="45:45" ht="14.4">
      <c r="AS6233" s="20"/>
    </row>
    <row r="6234" spans="45:45" ht="14.4">
      <c r="AS6234" s="20"/>
    </row>
    <row r="6235" spans="45:45" ht="14.4">
      <c r="AS6235" s="20"/>
    </row>
    <row r="6236" spans="45:45" ht="14.4">
      <c r="AS6236" s="20"/>
    </row>
    <row r="6237" spans="45:45" ht="14.4">
      <c r="AS6237" s="20"/>
    </row>
    <row r="6238" spans="45:45" ht="14.4">
      <c r="AS6238" s="20"/>
    </row>
    <row r="6239" spans="45:45" ht="14.4">
      <c r="AS6239" s="20"/>
    </row>
    <row r="6240" spans="45:45" ht="14.4">
      <c r="AS6240" s="20"/>
    </row>
    <row r="6241" spans="45:45" ht="14.4">
      <c r="AS6241" s="20"/>
    </row>
    <row r="6242" spans="45:45" ht="14.4">
      <c r="AS6242" s="20"/>
    </row>
    <row r="6243" spans="45:45" ht="14.4">
      <c r="AS6243" s="20"/>
    </row>
    <row r="6244" spans="45:45" ht="14.4">
      <c r="AS6244" s="20"/>
    </row>
    <row r="6245" spans="45:45" ht="14.4">
      <c r="AS6245" s="20"/>
    </row>
    <row r="6246" spans="45:45" ht="14.4">
      <c r="AS6246" s="20"/>
    </row>
    <row r="6247" spans="45:45" ht="14.4">
      <c r="AS6247" s="20"/>
    </row>
    <row r="6248" spans="45:45" ht="14.4">
      <c r="AS6248" s="20"/>
    </row>
    <row r="6249" spans="45:45" ht="14.4">
      <c r="AS6249" s="20"/>
    </row>
    <row r="6250" spans="45:45" ht="14.4">
      <c r="AS6250" s="20"/>
    </row>
    <row r="6251" spans="45:45" ht="14.4">
      <c r="AS6251" s="20"/>
    </row>
    <row r="6252" spans="45:45" ht="14.4">
      <c r="AS6252" s="20"/>
    </row>
    <row r="6253" spans="45:45" ht="14.4">
      <c r="AS6253" s="20"/>
    </row>
    <row r="6254" spans="45:45" ht="14.4">
      <c r="AS6254" s="20"/>
    </row>
    <row r="6255" spans="45:45" ht="14.4">
      <c r="AS6255" s="20"/>
    </row>
    <row r="6256" spans="45:45" ht="14.4">
      <c r="AS6256" s="20"/>
    </row>
    <row r="6257" spans="45:45" ht="14.4">
      <c r="AS6257" s="20"/>
    </row>
    <row r="6258" spans="45:45" ht="14.4">
      <c r="AS6258" s="20"/>
    </row>
    <row r="6259" spans="45:45" ht="14.4">
      <c r="AS6259" s="20"/>
    </row>
    <row r="6260" spans="45:45" ht="14.4">
      <c r="AS6260" s="20"/>
    </row>
    <row r="6261" spans="45:45" ht="14.4">
      <c r="AS6261" s="20"/>
    </row>
    <row r="6262" spans="45:45" ht="14.4">
      <c r="AS6262" s="20"/>
    </row>
    <row r="6263" spans="45:45" ht="14.4">
      <c r="AS6263" s="20"/>
    </row>
    <row r="6264" spans="45:45" ht="14.4">
      <c r="AS6264" s="20"/>
    </row>
    <row r="6265" spans="45:45" ht="14.4">
      <c r="AS6265" s="20"/>
    </row>
    <row r="6266" spans="45:45" ht="14.4">
      <c r="AS6266" s="20"/>
    </row>
    <row r="6267" spans="45:45" ht="14.4">
      <c r="AS6267" s="20"/>
    </row>
    <row r="6268" spans="45:45" ht="14.4">
      <c r="AS6268" s="20"/>
    </row>
    <row r="6269" spans="45:45" ht="14.4">
      <c r="AS6269" s="20"/>
    </row>
    <row r="6270" spans="45:45" ht="14.4">
      <c r="AS6270" s="20"/>
    </row>
    <row r="6271" spans="45:45" ht="14.4">
      <c r="AS6271" s="20"/>
    </row>
    <row r="6272" spans="45:45" ht="14.4">
      <c r="AS6272" s="20"/>
    </row>
    <row r="6273" spans="45:45" ht="14.4">
      <c r="AS6273" s="20"/>
    </row>
    <row r="6274" spans="45:45" ht="14.4">
      <c r="AS6274" s="20"/>
    </row>
    <row r="6275" spans="45:45" ht="14.4">
      <c r="AS6275" s="20"/>
    </row>
    <row r="6276" spans="45:45" ht="14.4">
      <c r="AS6276" s="20"/>
    </row>
    <row r="6277" spans="45:45" ht="14.4">
      <c r="AS6277" s="20"/>
    </row>
    <row r="6278" spans="45:45" ht="14.4">
      <c r="AS6278" s="20"/>
    </row>
    <row r="6279" spans="45:45" ht="14.4">
      <c r="AS6279" s="20"/>
    </row>
    <row r="6280" spans="45:45" ht="14.4">
      <c r="AS6280" s="20"/>
    </row>
    <row r="6281" spans="45:45" ht="14.4">
      <c r="AS6281" s="20"/>
    </row>
    <row r="6282" spans="45:45" ht="14.4">
      <c r="AS6282" s="20"/>
    </row>
    <row r="6283" spans="45:45" ht="14.4">
      <c r="AS6283" s="20"/>
    </row>
    <row r="6284" spans="45:45" ht="14.4">
      <c r="AS6284" s="20"/>
    </row>
    <row r="6285" spans="45:45" ht="14.4">
      <c r="AS6285" s="20"/>
    </row>
    <row r="6286" spans="45:45" ht="14.4">
      <c r="AS6286" s="20"/>
    </row>
    <row r="6287" spans="45:45" ht="14.4">
      <c r="AS6287" s="20"/>
    </row>
    <row r="6288" spans="45:45" ht="14.4">
      <c r="AS6288" s="20"/>
    </row>
    <row r="6289" spans="45:45" ht="14.4">
      <c r="AS6289" s="20"/>
    </row>
    <row r="6290" spans="45:45" ht="14.4">
      <c r="AS6290" s="20"/>
    </row>
    <row r="6291" spans="45:45" ht="14.4">
      <c r="AS6291" s="20"/>
    </row>
    <row r="6292" spans="45:45" ht="14.4">
      <c r="AS6292" s="20"/>
    </row>
    <row r="6293" spans="45:45" ht="14.4">
      <c r="AS6293" s="20"/>
    </row>
    <row r="6294" spans="45:45" ht="14.4">
      <c r="AS6294" s="20"/>
    </row>
    <row r="6295" spans="45:45" ht="14.4">
      <c r="AS6295" s="20"/>
    </row>
    <row r="6296" spans="45:45" ht="14.4">
      <c r="AS6296" s="20"/>
    </row>
    <row r="6297" spans="45:45" ht="14.4">
      <c r="AS6297" s="20"/>
    </row>
    <row r="6298" spans="45:45" ht="14.4">
      <c r="AS6298" s="20"/>
    </row>
    <row r="6299" spans="45:45" ht="14.4">
      <c r="AS6299" s="20"/>
    </row>
    <row r="6300" spans="45:45" ht="14.4">
      <c r="AS6300" s="20"/>
    </row>
    <row r="6301" spans="45:45" ht="14.4">
      <c r="AS6301" s="20"/>
    </row>
    <row r="6302" spans="45:45" ht="14.4">
      <c r="AS6302" s="20"/>
    </row>
    <row r="6303" spans="45:45" ht="14.4">
      <c r="AS6303" s="20"/>
    </row>
    <row r="6304" spans="45:45" ht="14.4">
      <c r="AS6304" s="20"/>
    </row>
    <row r="6305" spans="45:45" ht="14.4">
      <c r="AS6305" s="20"/>
    </row>
    <row r="6306" spans="45:45" ht="14.4">
      <c r="AS6306" s="20"/>
    </row>
    <row r="6307" spans="45:45" ht="14.4">
      <c r="AS6307" s="20"/>
    </row>
    <row r="6308" spans="45:45" ht="14.4">
      <c r="AS6308" s="20"/>
    </row>
    <row r="6309" spans="45:45" ht="14.4">
      <c r="AS6309" s="20"/>
    </row>
    <row r="6310" spans="45:45" ht="14.4">
      <c r="AS6310" s="20"/>
    </row>
    <row r="6311" spans="45:45" ht="14.4">
      <c r="AS6311" s="20"/>
    </row>
    <row r="6312" spans="45:45" ht="14.4">
      <c r="AS6312" s="20"/>
    </row>
    <row r="6313" spans="45:45" ht="14.4">
      <c r="AS6313" s="20"/>
    </row>
    <row r="6314" spans="45:45" ht="14.4">
      <c r="AS6314" s="20"/>
    </row>
    <row r="6315" spans="45:45" ht="14.4">
      <c r="AS6315" s="20"/>
    </row>
    <row r="6316" spans="45:45" ht="14.4">
      <c r="AS6316" s="20"/>
    </row>
    <row r="6317" spans="45:45" ht="14.4">
      <c r="AS6317" s="20"/>
    </row>
    <row r="6318" spans="45:45" ht="14.4">
      <c r="AS6318" s="20"/>
    </row>
    <row r="6319" spans="45:45" ht="14.4">
      <c r="AS6319" s="20"/>
    </row>
    <row r="6320" spans="45:45" ht="14.4">
      <c r="AS6320" s="20"/>
    </row>
    <row r="6321" spans="45:45" ht="14.4">
      <c r="AS6321" s="20"/>
    </row>
    <row r="6322" spans="45:45" ht="14.4">
      <c r="AS6322" s="20"/>
    </row>
    <row r="6323" spans="45:45" ht="14.4">
      <c r="AS6323" s="20"/>
    </row>
    <row r="6324" spans="45:45" ht="14.4">
      <c r="AS6324" s="20"/>
    </row>
    <row r="6325" spans="45:45" ht="14.4">
      <c r="AS6325" s="20"/>
    </row>
    <row r="6326" spans="45:45" ht="14.4">
      <c r="AS6326" s="20"/>
    </row>
    <row r="6327" spans="45:45" ht="14.4">
      <c r="AS6327" s="20"/>
    </row>
    <row r="6328" spans="45:45" ht="14.4">
      <c r="AS6328" s="20"/>
    </row>
    <row r="6329" spans="45:45" ht="14.4">
      <c r="AS6329" s="20"/>
    </row>
    <row r="6330" spans="45:45" ht="14.4">
      <c r="AS6330" s="20"/>
    </row>
    <row r="6331" spans="45:45" ht="14.4">
      <c r="AS6331" s="20"/>
    </row>
    <row r="6332" spans="45:45" ht="14.4">
      <c r="AS6332" s="20"/>
    </row>
    <row r="6333" spans="45:45" ht="14.4">
      <c r="AS6333" s="20"/>
    </row>
    <row r="6334" spans="45:45" ht="14.4">
      <c r="AS6334" s="20"/>
    </row>
    <row r="6335" spans="45:45" ht="14.4">
      <c r="AS6335" s="20"/>
    </row>
    <row r="6336" spans="45:45" ht="14.4">
      <c r="AS6336" s="20"/>
    </row>
    <row r="6337" spans="45:45" ht="14.4">
      <c r="AS6337" s="20"/>
    </row>
    <row r="6338" spans="45:45" ht="14.4">
      <c r="AS6338" s="20"/>
    </row>
    <row r="6339" spans="45:45" ht="14.4">
      <c r="AS6339" s="20"/>
    </row>
    <row r="6340" spans="45:45" ht="14.4">
      <c r="AS6340" s="20"/>
    </row>
    <row r="6341" spans="45:45" ht="14.4">
      <c r="AS6341" s="20"/>
    </row>
    <row r="6342" spans="45:45" ht="14.4">
      <c r="AS6342" s="20"/>
    </row>
    <row r="6343" spans="45:45" ht="14.4">
      <c r="AS6343" s="20"/>
    </row>
    <row r="6344" spans="45:45" ht="14.4">
      <c r="AS6344" s="20"/>
    </row>
    <row r="6345" spans="45:45" ht="14.4">
      <c r="AS6345" s="20"/>
    </row>
    <row r="6346" spans="45:45" ht="14.4">
      <c r="AS6346" s="20"/>
    </row>
    <row r="6347" spans="45:45" ht="14.4">
      <c r="AS6347" s="20"/>
    </row>
    <row r="6348" spans="45:45" ht="14.4">
      <c r="AS6348" s="20"/>
    </row>
    <row r="6349" spans="45:45" ht="14.4">
      <c r="AS6349" s="20"/>
    </row>
    <row r="6350" spans="45:45" ht="14.4">
      <c r="AS6350" s="20"/>
    </row>
    <row r="6351" spans="45:45" ht="14.4">
      <c r="AS6351" s="20"/>
    </row>
    <row r="6352" spans="45:45" ht="14.4">
      <c r="AS6352" s="20"/>
    </row>
    <row r="6353" spans="45:45" ht="14.4">
      <c r="AS6353" s="20"/>
    </row>
    <row r="6354" spans="45:45" ht="14.4">
      <c r="AS6354" s="20"/>
    </row>
    <row r="6355" spans="45:45" ht="14.4">
      <c r="AS6355" s="20"/>
    </row>
    <row r="6356" spans="45:45" ht="14.4">
      <c r="AS6356" s="20"/>
    </row>
    <row r="6357" spans="45:45" ht="14.4">
      <c r="AS6357" s="20"/>
    </row>
    <row r="6358" spans="45:45" ht="14.4">
      <c r="AS6358" s="20"/>
    </row>
    <row r="6359" spans="45:45" ht="14.4">
      <c r="AS6359" s="20"/>
    </row>
    <row r="6360" spans="45:45" ht="14.4">
      <c r="AS6360" s="20"/>
    </row>
    <row r="6361" spans="45:45" ht="14.4">
      <c r="AS6361" s="20"/>
    </row>
    <row r="6362" spans="45:45" ht="14.4">
      <c r="AS6362" s="20"/>
    </row>
    <row r="6363" spans="45:45" ht="14.4">
      <c r="AS6363" s="20"/>
    </row>
    <row r="6364" spans="45:45" ht="14.4">
      <c r="AS6364" s="20"/>
    </row>
    <row r="6365" spans="45:45" ht="14.4">
      <c r="AS6365" s="20"/>
    </row>
    <row r="6366" spans="45:45" ht="14.4">
      <c r="AS6366" s="20"/>
    </row>
    <row r="6367" spans="45:45" ht="14.4">
      <c r="AS6367" s="20"/>
    </row>
    <row r="6368" spans="45:45" ht="14.4">
      <c r="AS6368" s="20"/>
    </row>
    <row r="6369" spans="45:45" ht="14.4">
      <c r="AS6369" s="20"/>
    </row>
    <row r="6370" spans="45:45" ht="14.4">
      <c r="AS6370" s="20"/>
    </row>
    <row r="6371" spans="45:45" ht="14.4">
      <c r="AS6371" s="20"/>
    </row>
    <row r="6372" spans="45:45" ht="14.4">
      <c r="AS6372" s="20"/>
    </row>
    <row r="6373" spans="45:45" ht="14.4">
      <c r="AS6373" s="20"/>
    </row>
    <row r="6374" spans="45:45" ht="14.4">
      <c r="AS6374" s="20"/>
    </row>
    <row r="6375" spans="45:45" ht="14.4">
      <c r="AS6375" s="20"/>
    </row>
    <row r="6376" spans="45:45" ht="14.4">
      <c r="AS6376" s="20"/>
    </row>
    <row r="6377" spans="45:45" ht="14.4">
      <c r="AS6377" s="20"/>
    </row>
    <row r="6378" spans="45:45" ht="14.4">
      <c r="AS6378" s="20"/>
    </row>
    <row r="6379" spans="45:45" ht="14.4">
      <c r="AS6379" s="20"/>
    </row>
    <row r="6380" spans="45:45" ht="14.4">
      <c r="AS6380" s="20"/>
    </row>
    <row r="6381" spans="45:45" ht="14.4">
      <c r="AS6381" s="20"/>
    </row>
    <row r="6382" spans="45:45" ht="14.4">
      <c r="AS6382" s="20"/>
    </row>
    <row r="6383" spans="45:45" ht="14.4">
      <c r="AS6383" s="20"/>
    </row>
    <row r="6384" spans="45:45" ht="14.4">
      <c r="AS6384" s="20"/>
    </row>
    <row r="6385" spans="45:45" ht="14.4">
      <c r="AS6385" s="20"/>
    </row>
    <row r="6386" spans="45:45" ht="14.4">
      <c r="AS6386" s="20"/>
    </row>
    <row r="6387" spans="45:45" ht="14.4">
      <c r="AS6387" s="20"/>
    </row>
    <row r="6388" spans="45:45" ht="14.4">
      <c r="AS6388" s="20"/>
    </row>
    <row r="6389" spans="45:45" ht="14.4">
      <c r="AS6389" s="20"/>
    </row>
    <row r="6390" spans="45:45" ht="14.4">
      <c r="AS6390" s="20"/>
    </row>
    <row r="6391" spans="45:45" ht="14.4">
      <c r="AS6391" s="20"/>
    </row>
    <row r="6392" spans="45:45" ht="14.4">
      <c r="AS6392" s="20"/>
    </row>
    <row r="6393" spans="45:45" ht="14.4">
      <c r="AS6393" s="20"/>
    </row>
    <row r="6394" spans="45:45" ht="14.4">
      <c r="AS6394" s="20"/>
    </row>
    <row r="6395" spans="45:45" ht="14.4">
      <c r="AS6395" s="20"/>
    </row>
    <row r="6396" spans="45:45" ht="14.4">
      <c r="AS6396" s="20"/>
    </row>
    <row r="6397" spans="45:45" ht="14.4">
      <c r="AS6397" s="20"/>
    </row>
    <row r="6398" spans="45:45" ht="14.4">
      <c r="AS6398" s="20"/>
    </row>
    <row r="6399" spans="45:45" ht="14.4">
      <c r="AS6399" s="20"/>
    </row>
    <row r="6400" spans="45:45" ht="14.4">
      <c r="AS6400" s="20"/>
    </row>
    <row r="6401" spans="45:45" ht="14.4">
      <c r="AS6401" s="20"/>
    </row>
    <row r="6402" spans="45:45" ht="14.4">
      <c r="AS6402" s="20"/>
    </row>
    <row r="6403" spans="45:45" ht="14.4">
      <c r="AS6403" s="20"/>
    </row>
    <row r="6404" spans="45:45" ht="14.4">
      <c r="AS6404" s="20"/>
    </row>
    <row r="6405" spans="45:45" ht="14.4">
      <c r="AS6405" s="20"/>
    </row>
    <row r="6406" spans="45:45" ht="14.4">
      <c r="AS6406" s="20"/>
    </row>
    <row r="6407" spans="45:45" ht="14.4">
      <c r="AS6407" s="20"/>
    </row>
    <row r="6408" spans="45:45" ht="14.4">
      <c r="AS6408" s="20"/>
    </row>
    <row r="6409" spans="45:45" ht="14.4">
      <c r="AS6409" s="20"/>
    </row>
    <row r="6410" spans="45:45" ht="14.4">
      <c r="AS6410" s="20"/>
    </row>
    <row r="6411" spans="45:45" ht="14.4">
      <c r="AS6411" s="20"/>
    </row>
    <row r="6412" spans="45:45" ht="14.4">
      <c r="AS6412" s="20"/>
    </row>
    <row r="6413" spans="45:45" ht="14.4">
      <c r="AS6413" s="20"/>
    </row>
    <row r="6414" spans="45:45" ht="14.4">
      <c r="AS6414" s="20"/>
    </row>
    <row r="6415" spans="45:45" ht="14.4">
      <c r="AS6415" s="20"/>
    </row>
    <row r="6416" spans="45:45" ht="14.4">
      <c r="AS6416" s="20"/>
    </row>
    <row r="6417" spans="45:45" ht="14.4">
      <c r="AS6417" s="20"/>
    </row>
    <row r="6418" spans="45:45" ht="14.4">
      <c r="AS6418" s="20"/>
    </row>
    <row r="6419" spans="45:45" ht="14.4">
      <c r="AS6419" s="20"/>
    </row>
    <row r="6420" spans="45:45" ht="14.4">
      <c r="AS6420" s="20"/>
    </row>
    <row r="6421" spans="45:45" ht="14.4">
      <c r="AS6421" s="20"/>
    </row>
    <row r="6422" spans="45:45" ht="14.4">
      <c r="AS6422" s="20"/>
    </row>
    <row r="6423" spans="45:45" ht="14.4">
      <c r="AS6423" s="20"/>
    </row>
    <row r="6424" spans="45:45" ht="14.4">
      <c r="AS6424" s="20"/>
    </row>
    <row r="6425" spans="45:45" ht="14.4">
      <c r="AS6425" s="20"/>
    </row>
    <row r="6426" spans="45:45" ht="14.4">
      <c r="AS6426" s="20"/>
    </row>
    <row r="6427" spans="45:45" ht="14.4">
      <c r="AS6427" s="20"/>
    </row>
    <row r="6428" spans="45:45" ht="14.4">
      <c r="AS6428" s="20"/>
    </row>
    <row r="6429" spans="45:45" ht="14.4">
      <c r="AS6429" s="20"/>
    </row>
    <row r="6430" spans="45:45" ht="14.4">
      <c r="AS6430" s="20"/>
    </row>
    <row r="6431" spans="45:45" ht="14.4">
      <c r="AS6431" s="20"/>
    </row>
    <row r="6432" spans="45:45" ht="14.4">
      <c r="AS6432" s="20"/>
    </row>
    <row r="6433" spans="45:45" ht="14.4">
      <c r="AS6433" s="20"/>
    </row>
    <row r="6434" spans="45:45" ht="14.4">
      <c r="AS6434" s="20"/>
    </row>
    <row r="6435" spans="45:45" ht="14.4">
      <c r="AS6435" s="20"/>
    </row>
    <row r="6436" spans="45:45" ht="14.4">
      <c r="AS6436" s="20"/>
    </row>
    <row r="6437" spans="45:45" ht="14.4">
      <c r="AS6437" s="20"/>
    </row>
    <row r="6438" spans="45:45" ht="14.4">
      <c r="AS6438" s="20"/>
    </row>
    <row r="6439" spans="45:45" ht="14.4">
      <c r="AS6439" s="20"/>
    </row>
    <row r="6440" spans="45:45" ht="14.4">
      <c r="AS6440" s="20"/>
    </row>
    <row r="6441" spans="45:45" ht="14.4">
      <c r="AS6441" s="20"/>
    </row>
    <row r="6442" spans="45:45" ht="14.4">
      <c r="AS6442" s="20"/>
    </row>
    <row r="6443" spans="45:45" ht="14.4">
      <c r="AS6443" s="20"/>
    </row>
    <row r="6444" spans="45:45" ht="14.4">
      <c r="AS6444" s="20"/>
    </row>
    <row r="6445" spans="45:45" ht="14.4">
      <c r="AS6445" s="20"/>
    </row>
    <row r="6446" spans="45:45" ht="14.4">
      <c r="AS6446" s="20"/>
    </row>
    <row r="6447" spans="45:45" ht="14.4">
      <c r="AS6447" s="20"/>
    </row>
    <row r="6448" spans="45:45" ht="14.4">
      <c r="AS6448" s="20"/>
    </row>
    <row r="6449" spans="45:45" ht="14.4">
      <c r="AS6449" s="20"/>
    </row>
    <row r="6450" spans="45:45" ht="14.4">
      <c r="AS6450" s="20"/>
    </row>
    <row r="6451" spans="45:45" ht="14.4">
      <c r="AS6451" s="20"/>
    </row>
    <row r="6452" spans="45:45" ht="14.4">
      <c r="AS6452" s="20"/>
    </row>
    <row r="6453" spans="45:45" ht="14.4">
      <c r="AS6453" s="20"/>
    </row>
    <row r="6454" spans="45:45" ht="14.4">
      <c r="AS6454" s="20"/>
    </row>
    <row r="6455" spans="45:45" ht="14.4">
      <c r="AS6455" s="20"/>
    </row>
    <row r="6456" spans="45:45" ht="14.4">
      <c r="AS6456" s="20"/>
    </row>
    <row r="6457" spans="45:45" ht="14.4">
      <c r="AS6457" s="20"/>
    </row>
    <row r="6458" spans="45:45" ht="14.4">
      <c r="AS6458" s="20"/>
    </row>
    <row r="6459" spans="45:45" ht="14.4">
      <c r="AS6459" s="20"/>
    </row>
    <row r="6460" spans="45:45" ht="14.4">
      <c r="AS6460" s="20"/>
    </row>
    <row r="6461" spans="45:45" ht="14.4">
      <c r="AS6461" s="20"/>
    </row>
    <row r="6462" spans="45:45" ht="14.4">
      <c r="AS6462" s="20"/>
    </row>
    <row r="6463" spans="45:45" ht="14.4">
      <c r="AS6463" s="20"/>
    </row>
    <row r="6464" spans="45:45" ht="14.4">
      <c r="AS6464" s="20"/>
    </row>
    <row r="6465" spans="45:45" ht="14.4">
      <c r="AS6465" s="20"/>
    </row>
    <row r="6466" spans="45:45" ht="14.4">
      <c r="AS6466" s="20"/>
    </row>
    <row r="6467" spans="45:45" ht="14.4">
      <c r="AS6467" s="20"/>
    </row>
    <row r="6468" spans="45:45" ht="14.4">
      <c r="AS6468" s="20"/>
    </row>
    <row r="6469" spans="45:45" ht="14.4">
      <c r="AS6469" s="20"/>
    </row>
    <row r="6470" spans="45:45" ht="14.4">
      <c r="AS6470" s="20"/>
    </row>
    <row r="6471" spans="45:45" ht="14.4">
      <c r="AS6471" s="20"/>
    </row>
    <row r="6472" spans="45:45" ht="14.4">
      <c r="AS6472" s="20"/>
    </row>
    <row r="6473" spans="45:45" ht="14.4">
      <c r="AS6473" s="20"/>
    </row>
    <row r="6474" spans="45:45" ht="14.4">
      <c r="AS6474" s="20"/>
    </row>
    <row r="6475" spans="45:45" ht="14.4">
      <c r="AS6475" s="20"/>
    </row>
    <row r="6476" spans="45:45" ht="14.4">
      <c r="AS6476" s="20"/>
    </row>
    <row r="6477" spans="45:45" ht="14.4">
      <c r="AS6477" s="20"/>
    </row>
    <row r="6478" spans="45:45" ht="14.4">
      <c r="AS6478" s="20"/>
    </row>
    <row r="6479" spans="45:45" ht="14.4">
      <c r="AS6479" s="20"/>
    </row>
    <row r="6480" spans="45:45" ht="14.4">
      <c r="AS6480" s="20"/>
    </row>
    <row r="6481" spans="45:45" ht="14.4">
      <c r="AS6481" s="20"/>
    </row>
    <row r="6482" spans="45:45" ht="14.4">
      <c r="AS6482" s="20"/>
    </row>
    <row r="6483" spans="45:45" ht="14.4">
      <c r="AS6483" s="20"/>
    </row>
    <row r="6484" spans="45:45" ht="14.4">
      <c r="AS6484" s="20"/>
    </row>
    <row r="6485" spans="45:45" ht="14.4">
      <c r="AS6485" s="20"/>
    </row>
    <row r="6486" spans="45:45" ht="14.4">
      <c r="AS6486" s="20"/>
    </row>
    <row r="6487" spans="45:45" ht="14.4">
      <c r="AS6487" s="20"/>
    </row>
    <row r="6488" spans="45:45" ht="14.4">
      <c r="AS6488" s="20"/>
    </row>
    <row r="6489" spans="45:45" ht="14.4">
      <c r="AS6489" s="20"/>
    </row>
    <row r="6490" spans="45:45" ht="14.4">
      <c r="AS6490" s="20"/>
    </row>
    <row r="6491" spans="45:45" ht="14.4">
      <c r="AS6491" s="20"/>
    </row>
    <row r="6492" spans="45:45" ht="14.4">
      <c r="AS6492" s="20"/>
    </row>
    <row r="6493" spans="45:45" ht="14.4">
      <c r="AS6493" s="20"/>
    </row>
    <row r="6494" spans="45:45" ht="14.4">
      <c r="AS6494" s="20"/>
    </row>
    <row r="6495" spans="45:45" ht="14.4">
      <c r="AS6495" s="20"/>
    </row>
    <row r="6496" spans="45:45" ht="14.4">
      <c r="AS6496" s="20"/>
    </row>
    <row r="6497" spans="45:45" ht="14.4">
      <c r="AS6497" s="20"/>
    </row>
    <row r="6498" spans="45:45" ht="14.4">
      <c r="AS6498" s="20"/>
    </row>
    <row r="6499" spans="45:45" ht="14.4">
      <c r="AS6499" s="20"/>
    </row>
    <row r="6500" spans="45:45" ht="14.4">
      <c r="AS6500" s="20"/>
    </row>
    <row r="6501" spans="45:45" ht="14.4">
      <c r="AS6501" s="20"/>
    </row>
    <row r="6502" spans="45:45" ht="14.4">
      <c r="AS6502" s="20"/>
    </row>
    <row r="6503" spans="45:45" ht="14.4">
      <c r="AS6503" s="20"/>
    </row>
    <row r="6504" spans="45:45" ht="14.4">
      <c r="AS6504" s="20"/>
    </row>
    <row r="6505" spans="45:45" ht="14.4">
      <c r="AS6505" s="20"/>
    </row>
    <row r="6506" spans="45:45" ht="14.4">
      <c r="AS6506" s="20"/>
    </row>
    <row r="6507" spans="45:45" ht="14.4">
      <c r="AS6507" s="20"/>
    </row>
    <row r="6508" spans="45:45" ht="14.4">
      <c r="AS6508" s="20"/>
    </row>
    <row r="6509" spans="45:45" ht="14.4">
      <c r="AS6509" s="20"/>
    </row>
    <row r="6510" spans="45:45" ht="14.4">
      <c r="AS6510" s="20"/>
    </row>
    <row r="6511" spans="45:45" ht="14.4">
      <c r="AS6511" s="20"/>
    </row>
    <row r="6512" spans="45:45" ht="14.4">
      <c r="AS6512" s="20"/>
    </row>
    <row r="6513" spans="45:45" ht="14.4">
      <c r="AS6513" s="20"/>
    </row>
    <row r="6514" spans="45:45" ht="14.4">
      <c r="AS6514" s="20"/>
    </row>
    <row r="6515" spans="45:45" ht="14.4">
      <c r="AS6515" s="20"/>
    </row>
    <row r="6516" spans="45:45" ht="14.4">
      <c r="AS6516" s="20"/>
    </row>
    <row r="6517" spans="45:45" ht="14.4">
      <c r="AS6517" s="20"/>
    </row>
    <row r="6518" spans="45:45" ht="14.4">
      <c r="AS6518" s="20"/>
    </row>
    <row r="6519" spans="45:45" ht="14.4">
      <c r="AS6519" s="20"/>
    </row>
    <row r="6520" spans="45:45" ht="14.4">
      <c r="AS6520" s="20"/>
    </row>
    <row r="6521" spans="45:45" ht="14.4">
      <c r="AS6521" s="20"/>
    </row>
    <row r="6522" spans="45:45" ht="14.4">
      <c r="AS6522" s="20"/>
    </row>
    <row r="6523" spans="45:45" ht="14.4">
      <c r="AS6523" s="20"/>
    </row>
    <row r="6524" spans="45:45" ht="14.4">
      <c r="AS6524" s="20"/>
    </row>
    <row r="6525" spans="45:45" ht="14.4">
      <c r="AS6525" s="20"/>
    </row>
    <row r="6526" spans="45:45" ht="14.4">
      <c r="AS6526" s="20"/>
    </row>
    <row r="6527" spans="45:45" ht="14.4">
      <c r="AS6527" s="20"/>
    </row>
    <row r="6528" spans="45:45" ht="14.4">
      <c r="AS6528" s="20"/>
    </row>
    <row r="6529" spans="45:45" ht="14.4">
      <c r="AS6529" s="20"/>
    </row>
    <row r="6530" spans="45:45" ht="14.4">
      <c r="AS6530" s="20"/>
    </row>
    <row r="6531" spans="45:45" ht="14.4">
      <c r="AS6531" s="20"/>
    </row>
    <row r="6532" spans="45:45" ht="14.4">
      <c r="AS6532" s="20"/>
    </row>
    <row r="6533" spans="45:45" ht="14.4">
      <c r="AS6533" s="20"/>
    </row>
    <row r="6534" spans="45:45" ht="14.4">
      <c r="AS6534" s="20"/>
    </row>
    <row r="6535" spans="45:45" ht="14.4">
      <c r="AS6535" s="20"/>
    </row>
    <row r="6536" spans="45:45" ht="14.4">
      <c r="AS6536" s="20"/>
    </row>
    <row r="6537" spans="45:45" ht="14.4">
      <c r="AS6537" s="20"/>
    </row>
    <row r="6538" spans="45:45" ht="14.4">
      <c r="AS6538" s="20"/>
    </row>
    <row r="6539" spans="45:45" ht="14.4">
      <c r="AS6539" s="20"/>
    </row>
    <row r="6540" spans="45:45" ht="14.4">
      <c r="AS6540" s="20"/>
    </row>
    <row r="6541" spans="45:45" ht="14.4">
      <c r="AS6541" s="20"/>
    </row>
    <row r="6542" spans="45:45" ht="14.4">
      <c r="AS6542" s="20"/>
    </row>
    <row r="6543" spans="45:45" ht="14.4">
      <c r="AS6543" s="20"/>
    </row>
    <row r="6544" spans="45:45" ht="14.4">
      <c r="AS6544" s="20"/>
    </row>
    <row r="6545" spans="45:45" ht="14.4">
      <c r="AS6545" s="20"/>
    </row>
    <row r="6546" spans="45:45" ht="14.4">
      <c r="AS6546" s="20"/>
    </row>
    <row r="6547" spans="45:45" ht="14.4">
      <c r="AS6547" s="20"/>
    </row>
    <row r="6548" spans="45:45" ht="14.4">
      <c r="AS6548" s="20"/>
    </row>
    <row r="6549" spans="45:45" ht="14.4">
      <c r="AS6549" s="20"/>
    </row>
    <row r="6550" spans="45:45" ht="14.4">
      <c r="AS6550" s="20"/>
    </row>
    <row r="6551" spans="45:45" ht="14.4">
      <c r="AS6551" s="20"/>
    </row>
    <row r="6552" spans="45:45" ht="14.4">
      <c r="AS6552" s="20"/>
    </row>
    <row r="6553" spans="45:45" ht="14.4">
      <c r="AS6553" s="20"/>
    </row>
    <row r="6554" spans="45:45" ht="14.4">
      <c r="AS6554" s="20"/>
    </row>
    <row r="6555" spans="45:45" ht="14.4">
      <c r="AS6555" s="20"/>
    </row>
    <row r="6556" spans="45:45" ht="14.4">
      <c r="AS6556" s="20"/>
    </row>
    <row r="6557" spans="45:45" ht="14.4">
      <c r="AS6557" s="20"/>
    </row>
    <row r="6558" spans="45:45" ht="14.4">
      <c r="AS6558" s="20"/>
    </row>
    <row r="6559" spans="45:45" ht="14.4">
      <c r="AS6559" s="20"/>
    </row>
    <row r="6560" spans="45:45" ht="14.4">
      <c r="AS6560" s="20"/>
    </row>
    <row r="6561" spans="45:45" ht="14.4">
      <c r="AS6561" s="20"/>
    </row>
    <row r="6562" spans="45:45" ht="14.4">
      <c r="AS6562" s="20"/>
    </row>
    <row r="6563" spans="45:45" ht="14.4">
      <c r="AS6563" s="20"/>
    </row>
    <row r="6564" spans="45:45" ht="14.4">
      <c r="AS6564" s="20"/>
    </row>
    <row r="6565" spans="45:45" ht="14.4">
      <c r="AS6565" s="20"/>
    </row>
    <row r="6566" spans="45:45" ht="14.4">
      <c r="AS6566" s="20"/>
    </row>
    <row r="6567" spans="45:45" ht="14.4">
      <c r="AS6567" s="20"/>
    </row>
    <row r="6568" spans="45:45" ht="14.4">
      <c r="AS6568" s="20"/>
    </row>
    <row r="6569" spans="45:45" ht="14.4">
      <c r="AS6569" s="20"/>
    </row>
    <row r="6570" spans="45:45" ht="14.4">
      <c r="AS6570" s="20"/>
    </row>
    <row r="6571" spans="45:45" ht="14.4">
      <c r="AS6571" s="20"/>
    </row>
    <row r="6572" spans="45:45" ht="14.4">
      <c r="AS6572" s="20"/>
    </row>
    <row r="6573" spans="45:45" ht="14.4">
      <c r="AS6573" s="20"/>
    </row>
    <row r="6574" spans="45:45" ht="14.4">
      <c r="AS6574" s="20"/>
    </row>
    <row r="6575" spans="45:45" ht="14.4">
      <c r="AS6575" s="20"/>
    </row>
    <row r="6576" spans="45:45" ht="14.4">
      <c r="AS6576" s="20"/>
    </row>
    <row r="6577" spans="45:45" ht="14.4">
      <c r="AS6577" s="20"/>
    </row>
    <row r="6578" spans="45:45" ht="14.4">
      <c r="AS6578" s="20"/>
    </row>
    <row r="6579" spans="45:45" ht="14.4">
      <c r="AS6579" s="20"/>
    </row>
    <row r="6580" spans="45:45" ht="14.4">
      <c r="AS6580" s="20"/>
    </row>
    <row r="6581" spans="45:45" ht="14.4">
      <c r="AS6581" s="20"/>
    </row>
    <row r="6582" spans="45:45" ht="14.4">
      <c r="AS6582" s="20"/>
    </row>
    <row r="6583" spans="45:45" ht="14.4">
      <c r="AS6583" s="20"/>
    </row>
    <row r="6584" spans="45:45" ht="14.4">
      <c r="AS6584" s="20"/>
    </row>
    <row r="6585" spans="45:45" ht="14.4">
      <c r="AS6585" s="20"/>
    </row>
    <row r="6586" spans="45:45" ht="14.4">
      <c r="AS6586" s="20"/>
    </row>
    <row r="6587" spans="45:45" ht="14.4">
      <c r="AS6587" s="20"/>
    </row>
    <row r="6588" spans="45:45" ht="14.4">
      <c r="AS6588" s="20"/>
    </row>
    <row r="6589" spans="45:45" ht="14.4">
      <c r="AS6589" s="20"/>
    </row>
    <row r="6590" spans="45:45" ht="14.4">
      <c r="AS6590" s="20"/>
    </row>
    <row r="6591" spans="45:45" ht="14.4">
      <c r="AS6591" s="20"/>
    </row>
    <row r="6592" spans="45:45" ht="14.4">
      <c r="AS6592" s="20"/>
    </row>
    <row r="6593" spans="45:45" ht="14.4">
      <c r="AS6593" s="20"/>
    </row>
    <row r="6594" spans="45:45" ht="14.4">
      <c r="AS6594" s="20"/>
    </row>
    <row r="6595" spans="45:45" ht="14.4">
      <c r="AS6595" s="20"/>
    </row>
    <row r="6596" spans="45:45" ht="14.4">
      <c r="AS6596" s="20"/>
    </row>
    <row r="6597" spans="45:45" ht="14.4">
      <c r="AS6597" s="20"/>
    </row>
    <row r="6598" spans="45:45" ht="14.4">
      <c r="AS6598" s="20"/>
    </row>
    <row r="6599" spans="45:45" ht="14.4">
      <c r="AS6599" s="20"/>
    </row>
    <row r="6600" spans="45:45" ht="14.4">
      <c r="AS6600" s="20"/>
    </row>
    <row r="6601" spans="45:45" ht="14.4">
      <c r="AS6601" s="20"/>
    </row>
    <row r="6602" spans="45:45" ht="14.4">
      <c r="AS6602" s="20"/>
    </row>
    <row r="6603" spans="45:45" ht="14.4">
      <c r="AS6603" s="20"/>
    </row>
    <row r="6604" spans="45:45" ht="14.4">
      <c r="AS6604" s="20"/>
    </row>
    <row r="6605" spans="45:45" ht="14.4">
      <c r="AS6605" s="20"/>
    </row>
    <row r="6606" spans="45:45" ht="14.4">
      <c r="AS6606" s="20"/>
    </row>
    <row r="6607" spans="45:45" ht="14.4">
      <c r="AS6607" s="20"/>
    </row>
    <row r="6608" spans="45:45" ht="14.4">
      <c r="AS6608" s="20"/>
    </row>
    <row r="6609" spans="45:45" ht="14.4">
      <c r="AS6609" s="20"/>
    </row>
    <row r="6610" spans="45:45" ht="14.4">
      <c r="AS6610" s="20"/>
    </row>
    <row r="6611" spans="45:45" ht="14.4">
      <c r="AS6611" s="20"/>
    </row>
    <row r="6612" spans="45:45" ht="14.4">
      <c r="AS6612" s="20"/>
    </row>
    <row r="6613" spans="45:45" ht="14.4">
      <c r="AS6613" s="20"/>
    </row>
    <row r="6614" spans="45:45" ht="14.4">
      <c r="AS6614" s="20"/>
    </row>
    <row r="6615" spans="45:45" ht="14.4">
      <c r="AS6615" s="20"/>
    </row>
    <row r="6616" spans="45:45" ht="14.4">
      <c r="AS6616" s="20"/>
    </row>
    <row r="6617" spans="45:45" ht="14.4">
      <c r="AS6617" s="20"/>
    </row>
    <row r="6618" spans="45:45" ht="14.4">
      <c r="AS6618" s="20"/>
    </row>
    <row r="6619" spans="45:45" ht="14.4">
      <c r="AS6619" s="20"/>
    </row>
    <row r="6620" spans="45:45" ht="14.4">
      <c r="AS6620" s="20"/>
    </row>
    <row r="6621" spans="45:45" ht="14.4">
      <c r="AS6621" s="20"/>
    </row>
    <row r="6622" spans="45:45" ht="14.4">
      <c r="AS6622" s="20"/>
    </row>
    <row r="6623" spans="45:45" ht="14.4">
      <c r="AS6623" s="20"/>
    </row>
    <row r="6624" spans="45:45" ht="14.4">
      <c r="AS6624" s="20"/>
    </row>
    <row r="6625" spans="45:45" ht="14.4">
      <c r="AS6625" s="20"/>
    </row>
    <row r="6626" spans="45:45" ht="14.4">
      <c r="AS6626" s="20"/>
    </row>
    <row r="6627" spans="45:45" ht="14.4">
      <c r="AS6627" s="20"/>
    </row>
    <row r="6628" spans="45:45" ht="14.4">
      <c r="AS6628" s="20"/>
    </row>
    <row r="6629" spans="45:45" ht="14.4">
      <c r="AS6629" s="20"/>
    </row>
    <row r="6630" spans="45:45" ht="14.4">
      <c r="AS6630" s="20"/>
    </row>
    <row r="6631" spans="45:45" ht="14.4">
      <c r="AS6631" s="20"/>
    </row>
    <row r="6632" spans="45:45" ht="14.4">
      <c r="AS6632" s="20"/>
    </row>
    <row r="6633" spans="45:45" ht="14.4">
      <c r="AS6633" s="20"/>
    </row>
    <row r="6634" spans="45:45" ht="14.4">
      <c r="AS6634" s="20"/>
    </row>
    <row r="6635" spans="45:45" ht="14.4">
      <c r="AS6635" s="20"/>
    </row>
    <row r="6636" spans="45:45" ht="14.4">
      <c r="AS6636" s="20"/>
    </row>
    <row r="6637" spans="45:45" ht="14.4">
      <c r="AS6637" s="20"/>
    </row>
    <row r="6638" spans="45:45" ht="14.4">
      <c r="AS6638" s="20"/>
    </row>
    <row r="6639" spans="45:45" ht="14.4">
      <c r="AS6639" s="20"/>
    </row>
    <row r="6640" spans="45:45" ht="14.4">
      <c r="AS6640" s="20"/>
    </row>
    <row r="6641" spans="45:45" ht="14.4">
      <c r="AS6641" s="20"/>
    </row>
    <row r="6642" spans="45:45" ht="14.4">
      <c r="AS6642" s="20"/>
    </row>
    <row r="6643" spans="45:45" ht="14.4">
      <c r="AS6643" s="20"/>
    </row>
    <row r="6644" spans="45:45" ht="14.4">
      <c r="AS6644" s="20"/>
    </row>
    <row r="6645" spans="45:45" ht="14.4">
      <c r="AS6645" s="20"/>
    </row>
    <row r="6646" spans="45:45" ht="14.4">
      <c r="AS6646" s="20"/>
    </row>
    <row r="6647" spans="45:45" ht="14.4">
      <c r="AS6647" s="20"/>
    </row>
    <row r="6648" spans="45:45" ht="14.4">
      <c r="AS6648" s="20"/>
    </row>
    <row r="6649" spans="45:45" ht="14.4">
      <c r="AS6649" s="20"/>
    </row>
    <row r="6650" spans="45:45" ht="14.4">
      <c r="AS6650" s="20"/>
    </row>
    <row r="6651" spans="45:45" ht="14.4">
      <c r="AS6651" s="20"/>
    </row>
    <row r="6652" spans="45:45" ht="14.4">
      <c r="AS6652" s="20"/>
    </row>
    <row r="6653" spans="45:45" ht="14.4">
      <c r="AS6653" s="20"/>
    </row>
    <row r="6654" spans="45:45" ht="14.4">
      <c r="AS6654" s="20"/>
    </row>
    <row r="6655" spans="45:45" ht="14.4">
      <c r="AS6655" s="20"/>
    </row>
    <row r="6656" spans="45:45" ht="14.4">
      <c r="AS6656" s="20"/>
    </row>
    <row r="6657" spans="45:45" ht="14.4">
      <c r="AS6657" s="20"/>
    </row>
    <row r="6658" spans="45:45" ht="14.4">
      <c r="AS6658" s="20"/>
    </row>
    <row r="6659" spans="45:45" ht="14.4">
      <c r="AS6659" s="20"/>
    </row>
    <row r="6660" spans="45:45" ht="14.4">
      <c r="AS6660" s="20"/>
    </row>
    <row r="6661" spans="45:45" ht="14.4">
      <c r="AS6661" s="20"/>
    </row>
    <row r="6662" spans="45:45" ht="14.4">
      <c r="AS6662" s="20"/>
    </row>
    <row r="6663" spans="45:45" ht="14.4">
      <c r="AS6663" s="20"/>
    </row>
    <row r="6664" spans="45:45" ht="14.4">
      <c r="AS6664" s="20"/>
    </row>
    <row r="6665" spans="45:45" ht="14.4">
      <c r="AS6665" s="20"/>
    </row>
    <row r="6666" spans="45:45" ht="14.4">
      <c r="AS6666" s="20"/>
    </row>
    <row r="6667" spans="45:45" ht="14.4">
      <c r="AS6667" s="20"/>
    </row>
    <row r="6668" spans="45:45" ht="14.4">
      <c r="AS6668" s="20"/>
    </row>
    <row r="6669" spans="45:45" ht="14.4">
      <c r="AS6669" s="20"/>
    </row>
    <row r="6670" spans="45:45" ht="14.4">
      <c r="AS6670" s="20"/>
    </row>
    <row r="6671" spans="45:45" ht="14.4">
      <c r="AS6671" s="20"/>
    </row>
    <row r="6672" spans="45:45" ht="14.4">
      <c r="AS6672" s="20"/>
    </row>
    <row r="6673" spans="45:45" ht="14.4">
      <c r="AS6673" s="20"/>
    </row>
    <row r="6674" spans="45:45" ht="14.4">
      <c r="AS6674" s="20"/>
    </row>
    <row r="6675" spans="45:45" ht="14.4">
      <c r="AS6675" s="20"/>
    </row>
    <row r="6676" spans="45:45" ht="14.4">
      <c r="AS6676" s="20"/>
    </row>
    <row r="6677" spans="45:45" ht="14.4">
      <c r="AS6677" s="20"/>
    </row>
    <row r="6678" spans="45:45" ht="14.4">
      <c r="AS6678" s="20"/>
    </row>
    <row r="6679" spans="45:45" ht="14.4">
      <c r="AS6679" s="20"/>
    </row>
    <row r="6680" spans="45:45" ht="14.4">
      <c r="AS6680" s="20"/>
    </row>
    <row r="6681" spans="45:45" ht="14.4">
      <c r="AS6681" s="20"/>
    </row>
    <row r="6682" spans="45:45" ht="14.4">
      <c r="AS6682" s="20"/>
    </row>
    <row r="6683" spans="45:45" ht="14.4">
      <c r="AS6683" s="20"/>
    </row>
    <row r="6684" spans="45:45" ht="14.4">
      <c r="AS6684" s="20"/>
    </row>
    <row r="6685" spans="45:45" ht="14.4">
      <c r="AS6685" s="20"/>
    </row>
    <row r="6686" spans="45:45" ht="14.4">
      <c r="AS6686" s="20"/>
    </row>
    <row r="6687" spans="45:45" ht="14.4">
      <c r="AS6687" s="20"/>
    </row>
    <row r="6688" spans="45:45" ht="14.4">
      <c r="AS6688" s="20"/>
    </row>
    <row r="6689" spans="45:45" ht="14.4">
      <c r="AS6689" s="20"/>
    </row>
    <row r="6690" spans="45:45" ht="14.4">
      <c r="AS6690" s="20"/>
    </row>
    <row r="6691" spans="45:45" ht="14.4">
      <c r="AS6691" s="20"/>
    </row>
    <row r="6692" spans="45:45" ht="14.4">
      <c r="AS6692" s="20"/>
    </row>
    <row r="6693" spans="45:45" ht="14.4">
      <c r="AS6693" s="20"/>
    </row>
    <row r="6694" spans="45:45" ht="14.4">
      <c r="AS6694" s="20"/>
    </row>
    <row r="6695" spans="45:45" ht="14.4">
      <c r="AS6695" s="20"/>
    </row>
    <row r="6696" spans="45:45" ht="14.4">
      <c r="AS6696" s="20"/>
    </row>
    <row r="6697" spans="45:45" ht="14.4">
      <c r="AS6697" s="20"/>
    </row>
    <row r="6698" spans="45:45" ht="14.4">
      <c r="AS6698" s="20"/>
    </row>
    <row r="6699" spans="45:45" ht="14.4">
      <c r="AS6699" s="20"/>
    </row>
    <row r="6700" spans="45:45" ht="14.4">
      <c r="AS6700" s="20"/>
    </row>
    <row r="6701" spans="45:45" ht="14.4">
      <c r="AS6701" s="20"/>
    </row>
    <row r="6702" spans="45:45" ht="14.4">
      <c r="AS6702" s="20"/>
    </row>
    <row r="6703" spans="45:45" ht="14.4">
      <c r="AS6703" s="20"/>
    </row>
    <row r="6704" spans="45:45" ht="14.4">
      <c r="AS6704" s="20"/>
    </row>
    <row r="6705" spans="45:45" ht="14.4">
      <c r="AS6705" s="20"/>
    </row>
    <row r="6706" spans="45:45" ht="14.4">
      <c r="AS6706" s="20"/>
    </row>
    <row r="6707" spans="45:45" ht="14.4">
      <c r="AS6707" s="20"/>
    </row>
    <row r="6708" spans="45:45" ht="14.4">
      <c r="AS6708" s="20"/>
    </row>
    <row r="6709" spans="45:45" ht="14.4">
      <c r="AS6709" s="20"/>
    </row>
    <row r="6710" spans="45:45" ht="14.4">
      <c r="AS6710" s="20"/>
    </row>
    <row r="6711" spans="45:45" ht="14.4">
      <c r="AS6711" s="20"/>
    </row>
    <row r="6712" spans="45:45" ht="14.4">
      <c r="AS6712" s="20"/>
    </row>
    <row r="6713" spans="45:45" ht="14.4">
      <c r="AS6713" s="20"/>
    </row>
    <row r="6714" spans="45:45" ht="14.4">
      <c r="AS6714" s="20"/>
    </row>
    <row r="6715" spans="45:45" ht="14.4">
      <c r="AS6715" s="20"/>
    </row>
    <row r="6716" spans="45:45" ht="14.4">
      <c r="AS6716" s="20"/>
    </row>
    <row r="6717" spans="45:45" ht="14.4">
      <c r="AS6717" s="20"/>
    </row>
    <row r="6718" spans="45:45" ht="14.4">
      <c r="AS6718" s="20"/>
    </row>
    <row r="6719" spans="45:45" ht="14.4">
      <c r="AS6719" s="20"/>
    </row>
    <row r="6720" spans="45:45" ht="14.4">
      <c r="AS6720" s="20"/>
    </row>
    <row r="6721" spans="45:45" ht="14.4">
      <c r="AS6721" s="20"/>
    </row>
    <row r="6722" spans="45:45" ht="14.4">
      <c r="AS6722" s="20"/>
    </row>
    <row r="6723" spans="45:45" ht="14.4">
      <c r="AS6723" s="20"/>
    </row>
    <row r="6724" spans="45:45" ht="14.4">
      <c r="AS6724" s="20"/>
    </row>
    <row r="6725" spans="45:45" ht="14.4">
      <c r="AS6725" s="20"/>
    </row>
    <row r="6726" spans="45:45" ht="14.4">
      <c r="AS6726" s="20"/>
    </row>
    <row r="6727" spans="45:45" ht="14.4">
      <c r="AS6727" s="20"/>
    </row>
    <row r="6728" spans="45:45" ht="14.4">
      <c r="AS6728" s="20"/>
    </row>
    <row r="6729" spans="45:45" ht="14.4">
      <c r="AS6729" s="20"/>
    </row>
    <row r="6730" spans="45:45" ht="14.4">
      <c r="AS6730" s="20"/>
    </row>
    <row r="6731" spans="45:45" ht="14.4">
      <c r="AS6731" s="20"/>
    </row>
    <row r="6732" spans="45:45" ht="14.4">
      <c r="AS6732" s="20"/>
    </row>
    <row r="6733" spans="45:45" ht="14.4">
      <c r="AS6733" s="20"/>
    </row>
    <row r="6734" spans="45:45" ht="14.4">
      <c r="AS6734" s="20"/>
    </row>
    <row r="6735" spans="45:45" ht="14.4">
      <c r="AS6735" s="20"/>
    </row>
    <row r="6736" spans="45:45" ht="14.4">
      <c r="AS6736" s="20"/>
    </row>
    <row r="6737" spans="45:45" ht="14.4">
      <c r="AS6737" s="20"/>
    </row>
    <row r="6738" spans="45:45" ht="14.4">
      <c r="AS6738" s="20"/>
    </row>
    <row r="6739" spans="45:45" ht="14.4">
      <c r="AS6739" s="20"/>
    </row>
    <row r="6740" spans="45:45" ht="14.4">
      <c r="AS6740" s="20"/>
    </row>
    <row r="6741" spans="45:45" ht="14.4">
      <c r="AS6741" s="20"/>
    </row>
    <row r="6742" spans="45:45" ht="14.4">
      <c r="AS6742" s="20"/>
    </row>
    <row r="6743" spans="45:45" ht="14.4">
      <c r="AS6743" s="20"/>
    </row>
    <row r="6744" spans="45:45" ht="14.4">
      <c r="AS6744" s="20"/>
    </row>
    <row r="6745" spans="45:45" ht="14.4">
      <c r="AS6745" s="20"/>
    </row>
    <row r="6746" spans="45:45" ht="14.4">
      <c r="AS6746" s="20"/>
    </row>
    <row r="6747" spans="45:45" ht="14.4">
      <c r="AS6747" s="20"/>
    </row>
    <row r="6748" spans="45:45" ht="14.4">
      <c r="AS6748" s="20"/>
    </row>
    <row r="6749" spans="45:45" ht="14.4">
      <c r="AS6749" s="20"/>
    </row>
    <row r="6750" spans="45:45" ht="14.4">
      <c r="AS6750" s="20"/>
    </row>
    <row r="6751" spans="45:45" ht="14.4">
      <c r="AS6751" s="20"/>
    </row>
    <row r="6752" spans="45:45" ht="14.4">
      <c r="AS6752" s="20"/>
    </row>
    <row r="6753" spans="45:45" ht="14.4">
      <c r="AS6753" s="20"/>
    </row>
    <row r="6754" spans="45:45" ht="14.4">
      <c r="AS6754" s="20"/>
    </row>
    <row r="6755" spans="45:45" ht="14.4">
      <c r="AS6755" s="20"/>
    </row>
    <row r="6756" spans="45:45" ht="14.4">
      <c r="AS6756" s="20"/>
    </row>
    <row r="6757" spans="45:45" ht="14.4">
      <c r="AS6757" s="20"/>
    </row>
    <row r="6758" spans="45:45" ht="14.4">
      <c r="AS6758" s="20"/>
    </row>
    <row r="6759" spans="45:45" ht="14.4">
      <c r="AS6759" s="20"/>
    </row>
    <row r="6760" spans="45:45" ht="14.4">
      <c r="AS6760" s="20"/>
    </row>
    <row r="6761" spans="45:45" ht="14.4">
      <c r="AS6761" s="20"/>
    </row>
    <row r="6762" spans="45:45" ht="14.4">
      <c r="AS6762" s="20"/>
    </row>
    <row r="6763" spans="45:45" ht="14.4">
      <c r="AS6763" s="20"/>
    </row>
    <row r="6764" spans="45:45" ht="14.4">
      <c r="AS6764" s="20"/>
    </row>
    <row r="6765" spans="45:45" ht="14.4">
      <c r="AS6765" s="20"/>
    </row>
    <row r="6766" spans="45:45" ht="14.4">
      <c r="AS6766" s="20"/>
    </row>
    <row r="6767" spans="45:45" ht="14.4">
      <c r="AS6767" s="20"/>
    </row>
    <row r="6768" spans="45:45" ht="14.4">
      <c r="AS6768" s="20"/>
    </row>
    <row r="6769" spans="45:45" ht="14.4">
      <c r="AS6769" s="20"/>
    </row>
    <row r="6770" spans="45:45" ht="14.4">
      <c r="AS6770" s="20"/>
    </row>
    <row r="6771" spans="45:45" ht="14.4">
      <c r="AS6771" s="20"/>
    </row>
    <row r="6772" spans="45:45" ht="14.4">
      <c r="AS6772" s="20"/>
    </row>
    <row r="6773" spans="45:45" ht="14.4">
      <c r="AS6773" s="20"/>
    </row>
    <row r="6774" spans="45:45" ht="14.4">
      <c r="AS6774" s="20"/>
    </row>
    <row r="6775" spans="45:45" ht="14.4">
      <c r="AS6775" s="20"/>
    </row>
    <row r="6776" spans="45:45" ht="14.4">
      <c r="AS6776" s="20"/>
    </row>
    <row r="6777" spans="45:45" ht="14.4">
      <c r="AS6777" s="20"/>
    </row>
    <row r="6778" spans="45:45" ht="14.4">
      <c r="AS6778" s="20"/>
    </row>
    <row r="6779" spans="45:45" ht="14.4">
      <c r="AS6779" s="20"/>
    </row>
    <row r="6780" spans="45:45" ht="14.4">
      <c r="AS6780" s="20"/>
    </row>
    <row r="6781" spans="45:45" ht="14.4">
      <c r="AS6781" s="20"/>
    </row>
    <row r="6782" spans="45:45" ht="14.4">
      <c r="AS6782" s="20"/>
    </row>
    <row r="6783" spans="45:45" ht="14.4">
      <c r="AS6783" s="20"/>
    </row>
    <row r="6784" spans="45:45" ht="14.4">
      <c r="AS6784" s="20"/>
    </row>
    <row r="6785" spans="45:45" ht="14.4">
      <c r="AS6785" s="20"/>
    </row>
    <row r="6786" spans="45:45" ht="14.4">
      <c r="AS6786" s="20"/>
    </row>
    <row r="6787" spans="45:45" ht="14.4">
      <c r="AS6787" s="20"/>
    </row>
    <row r="6788" spans="45:45" ht="14.4">
      <c r="AS6788" s="20"/>
    </row>
    <row r="6789" spans="45:45" ht="14.4">
      <c r="AS6789" s="20"/>
    </row>
    <row r="6790" spans="45:45" ht="14.4">
      <c r="AS6790" s="20"/>
    </row>
    <row r="6791" spans="45:45" ht="14.4">
      <c r="AS6791" s="20"/>
    </row>
    <row r="6792" spans="45:45" ht="14.4">
      <c r="AS6792" s="20"/>
    </row>
    <row r="6793" spans="45:45" ht="14.4">
      <c r="AS6793" s="20"/>
    </row>
    <row r="6794" spans="45:45" ht="14.4">
      <c r="AS6794" s="20"/>
    </row>
    <row r="6795" spans="45:45" ht="14.4">
      <c r="AS6795" s="20"/>
    </row>
    <row r="6796" spans="45:45" ht="14.4">
      <c r="AS6796" s="20"/>
    </row>
    <row r="6797" spans="45:45" ht="14.4">
      <c r="AS6797" s="20"/>
    </row>
    <row r="6798" spans="45:45" ht="14.4">
      <c r="AS6798" s="20"/>
    </row>
    <row r="6799" spans="45:45" ht="14.4">
      <c r="AS6799" s="20"/>
    </row>
    <row r="6800" spans="45:45" ht="14.4">
      <c r="AS6800" s="20"/>
    </row>
    <row r="6801" spans="45:45" ht="14.4">
      <c r="AS6801" s="20"/>
    </row>
    <row r="6802" spans="45:45" ht="14.4">
      <c r="AS6802" s="20"/>
    </row>
    <row r="6803" spans="45:45" ht="14.4">
      <c r="AS6803" s="20"/>
    </row>
    <row r="6804" spans="45:45" ht="14.4">
      <c r="AS6804" s="20"/>
    </row>
    <row r="6805" spans="45:45" ht="14.4">
      <c r="AS6805" s="20"/>
    </row>
    <row r="6806" spans="45:45" ht="14.4">
      <c r="AS6806" s="20"/>
    </row>
    <row r="6807" spans="45:45" ht="14.4">
      <c r="AS6807" s="20"/>
    </row>
    <row r="6808" spans="45:45" ht="14.4">
      <c r="AS6808" s="20"/>
    </row>
    <row r="6809" spans="45:45" ht="14.4">
      <c r="AS6809" s="20"/>
    </row>
    <row r="6810" spans="45:45" ht="14.4">
      <c r="AS6810" s="20"/>
    </row>
    <row r="6811" spans="45:45" ht="14.4">
      <c r="AS6811" s="20"/>
    </row>
    <row r="6812" spans="45:45" ht="14.4">
      <c r="AS6812" s="20"/>
    </row>
    <row r="6813" spans="45:45" ht="14.4">
      <c r="AS6813" s="20"/>
    </row>
    <row r="6814" spans="45:45" ht="14.4">
      <c r="AS6814" s="20"/>
    </row>
    <row r="6815" spans="45:45" ht="14.4">
      <c r="AS6815" s="20"/>
    </row>
    <row r="6816" spans="45:45" ht="14.4">
      <c r="AS6816" s="20"/>
    </row>
    <row r="6817" spans="45:45" ht="14.4">
      <c r="AS6817" s="20"/>
    </row>
    <row r="6818" spans="45:45" ht="14.4">
      <c r="AS6818" s="20"/>
    </row>
    <row r="6819" spans="45:45" ht="14.4">
      <c r="AS6819" s="20"/>
    </row>
    <row r="6820" spans="45:45" ht="14.4">
      <c r="AS6820" s="20"/>
    </row>
    <row r="6821" spans="45:45" ht="14.4">
      <c r="AS6821" s="20"/>
    </row>
    <row r="6822" spans="45:45" ht="14.4">
      <c r="AS6822" s="20"/>
    </row>
    <row r="6823" spans="45:45" ht="14.4">
      <c r="AS6823" s="20"/>
    </row>
    <row r="6824" spans="45:45" ht="14.4">
      <c r="AS6824" s="20"/>
    </row>
    <row r="6825" spans="45:45" ht="14.4">
      <c r="AS6825" s="20"/>
    </row>
    <row r="6826" spans="45:45" ht="14.4">
      <c r="AS6826" s="20"/>
    </row>
    <row r="6827" spans="45:45" ht="14.4">
      <c r="AS6827" s="20"/>
    </row>
    <row r="6828" spans="45:45" ht="14.4">
      <c r="AS6828" s="20"/>
    </row>
    <row r="6829" spans="45:45" ht="14.4">
      <c r="AS6829" s="20"/>
    </row>
    <row r="6830" spans="45:45" ht="14.4">
      <c r="AS6830" s="20"/>
    </row>
    <row r="6831" spans="45:45" ht="14.4">
      <c r="AS6831" s="20"/>
    </row>
    <row r="6832" spans="45:45" ht="14.4">
      <c r="AS6832" s="20"/>
    </row>
    <row r="6833" spans="45:45" ht="14.4">
      <c r="AS6833" s="20"/>
    </row>
    <row r="6834" spans="45:45" ht="14.4">
      <c r="AS6834" s="20"/>
    </row>
    <row r="6835" spans="45:45" ht="14.4">
      <c r="AS6835" s="20"/>
    </row>
    <row r="6836" spans="45:45" ht="14.4">
      <c r="AS6836" s="20"/>
    </row>
    <row r="6837" spans="45:45" ht="14.4">
      <c r="AS6837" s="20"/>
    </row>
    <row r="6838" spans="45:45" ht="14.4">
      <c r="AS6838" s="20"/>
    </row>
    <row r="6839" spans="45:45" ht="14.4">
      <c r="AS6839" s="20"/>
    </row>
    <row r="6840" spans="45:45" ht="14.4">
      <c r="AS6840" s="20"/>
    </row>
    <row r="6841" spans="45:45" ht="14.4">
      <c r="AS6841" s="20"/>
    </row>
    <row r="6842" spans="45:45" ht="14.4">
      <c r="AS6842" s="20"/>
    </row>
    <row r="6843" spans="45:45" ht="14.4">
      <c r="AS6843" s="20"/>
    </row>
    <row r="6844" spans="45:45" ht="14.4">
      <c r="AS6844" s="20"/>
    </row>
    <row r="6845" spans="45:45" ht="14.4">
      <c r="AS6845" s="20"/>
    </row>
    <row r="6846" spans="45:45" ht="14.4">
      <c r="AS6846" s="20"/>
    </row>
    <row r="6847" spans="45:45" ht="14.4">
      <c r="AS6847" s="20"/>
    </row>
    <row r="6848" spans="45:45" ht="14.4">
      <c r="AS6848" s="20"/>
    </row>
    <row r="6849" spans="45:45" ht="14.4">
      <c r="AS6849" s="20"/>
    </row>
    <row r="6850" spans="45:45" ht="14.4">
      <c r="AS6850" s="20"/>
    </row>
    <row r="6851" spans="45:45" ht="14.4">
      <c r="AS6851" s="20"/>
    </row>
    <row r="6852" spans="45:45" ht="14.4">
      <c r="AS6852" s="20"/>
    </row>
    <row r="6853" spans="45:45" ht="14.4">
      <c r="AS6853" s="20"/>
    </row>
    <row r="6854" spans="45:45" ht="14.4">
      <c r="AS6854" s="20"/>
    </row>
    <row r="6855" spans="45:45" ht="14.4">
      <c r="AS6855" s="20"/>
    </row>
    <row r="6856" spans="45:45" ht="14.4">
      <c r="AS6856" s="20"/>
    </row>
    <row r="6857" spans="45:45" ht="14.4">
      <c r="AS6857" s="20"/>
    </row>
    <row r="6858" spans="45:45" ht="14.4">
      <c r="AS6858" s="20"/>
    </row>
    <row r="6859" spans="45:45" ht="14.4">
      <c r="AS6859" s="20"/>
    </row>
    <row r="6860" spans="45:45" ht="14.4">
      <c r="AS6860" s="20"/>
    </row>
    <row r="6861" spans="45:45" ht="14.4">
      <c r="AS6861" s="20"/>
    </row>
    <row r="6862" spans="45:45" ht="14.4">
      <c r="AS6862" s="20"/>
    </row>
    <row r="6863" spans="45:45" ht="14.4">
      <c r="AS6863" s="20"/>
    </row>
    <row r="6864" spans="45:45" ht="14.4">
      <c r="AS6864" s="20"/>
    </row>
    <row r="6865" spans="45:45" ht="14.4">
      <c r="AS6865" s="20"/>
    </row>
    <row r="6866" spans="45:45" ht="14.4">
      <c r="AS6866" s="20"/>
    </row>
    <row r="6867" spans="45:45" ht="14.4">
      <c r="AS6867" s="20"/>
    </row>
    <row r="6868" spans="45:45" ht="14.4">
      <c r="AS6868" s="20"/>
    </row>
    <row r="6869" spans="45:45" ht="14.4">
      <c r="AS6869" s="20"/>
    </row>
    <row r="6870" spans="45:45" ht="14.4">
      <c r="AS6870" s="20"/>
    </row>
    <row r="6871" spans="45:45" ht="14.4">
      <c r="AS6871" s="20"/>
    </row>
    <row r="6872" spans="45:45" ht="14.4">
      <c r="AS6872" s="20"/>
    </row>
    <row r="6873" spans="45:45" ht="14.4">
      <c r="AS6873" s="20"/>
    </row>
    <row r="6874" spans="45:45" ht="14.4">
      <c r="AS6874" s="20"/>
    </row>
    <row r="6875" spans="45:45" ht="14.4">
      <c r="AS6875" s="20"/>
    </row>
    <row r="6876" spans="45:45" ht="14.4">
      <c r="AS6876" s="20"/>
    </row>
    <row r="6877" spans="45:45" ht="14.4">
      <c r="AS6877" s="20"/>
    </row>
    <row r="6878" spans="45:45" ht="14.4">
      <c r="AS6878" s="20"/>
    </row>
    <row r="6879" spans="45:45" ht="14.4">
      <c r="AS6879" s="20"/>
    </row>
    <row r="6880" spans="45:45" ht="14.4">
      <c r="AS6880" s="20"/>
    </row>
    <row r="6881" spans="45:45" ht="14.4">
      <c r="AS6881" s="20"/>
    </row>
    <row r="6882" spans="45:45" ht="14.4">
      <c r="AS6882" s="20"/>
    </row>
    <row r="6883" spans="45:45" ht="14.4">
      <c r="AS6883" s="20"/>
    </row>
    <row r="6884" spans="45:45" ht="14.4">
      <c r="AS6884" s="20"/>
    </row>
    <row r="6885" spans="45:45" ht="14.4">
      <c r="AS6885" s="20"/>
    </row>
    <row r="6886" spans="45:45" ht="14.4">
      <c r="AS6886" s="20"/>
    </row>
    <row r="6887" spans="45:45" ht="14.4">
      <c r="AS6887" s="20"/>
    </row>
    <row r="6888" spans="45:45" ht="14.4">
      <c r="AS6888" s="20"/>
    </row>
    <row r="6889" spans="45:45" ht="14.4">
      <c r="AS6889" s="20"/>
    </row>
    <row r="6890" spans="45:45" ht="14.4">
      <c r="AS6890" s="20"/>
    </row>
    <row r="6891" spans="45:45" ht="14.4">
      <c r="AS6891" s="20"/>
    </row>
    <row r="6892" spans="45:45" ht="14.4">
      <c r="AS6892" s="20"/>
    </row>
    <row r="6893" spans="45:45" ht="14.4">
      <c r="AS6893" s="20"/>
    </row>
    <row r="6894" spans="45:45" ht="14.4">
      <c r="AS6894" s="20"/>
    </row>
    <row r="6895" spans="45:45" ht="14.4">
      <c r="AS6895" s="20"/>
    </row>
    <row r="6896" spans="45:45" ht="14.4">
      <c r="AS6896" s="20"/>
    </row>
    <row r="6897" spans="45:45" ht="14.4">
      <c r="AS6897" s="20"/>
    </row>
    <row r="6898" spans="45:45" ht="14.4">
      <c r="AS6898" s="20"/>
    </row>
    <row r="6899" spans="45:45" ht="14.4">
      <c r="AS6899" s="20"/>
    </row>
    <row r="6900" spans="45:45" ht="14.4">
      <c r="AS6900" s="20"/>
    </row>
    <row r="6901" spans="45:45" ht="14.4">
      <c r="AS6901" s="20"/>
    </row>
    <row r="6902" spans="45:45" ht="14.4">
      <c r="AS6902" s="20"/>
    </row>
    <row r="6903" spans="45:45" ht="14.4">
      <c r="AS6903" s="20"/>
    </row>
    <row r="6904" spans="45:45" ht="14.4">
      <c r="AS6904" s="20"/>
    </row>
    <row r="6905" spans="45:45" ht="14.4">
      <c r="AS6905" s="20"/>
    </row>
    <row r="6906" spans="45:45" ht="14.4">
      <c r="AS6906" s="20"/>
    </row>
    <row r="6907" spans="45:45" ht="14.4">
      <c r="AS6907" s="20"/>
    </row>
    <row r="6908" spans="45:45" ht="14.4">
      <c r="AS6908" s="20"/>
    </row>
    <row r="6909" spans="45:45" ht="14.4">
      <c r="AS6909" s="20"/>
    </row>
    <row r="6910" spans="45:45" ht="14.4">
      <c r="AS6910" s="20"/>
    </row>
    <row r="6911" spans="45:45" ht="14.4">
      <c r="AS6911" s="20"/>
    </row>
    <row r="6912" spans="45:45" ht="14.4">
      <c r="AS6912" s="20"/>
    </row>
    <row r="6913" spans="45:45" ht="14.4">
      <c r="AS6913" s="20"/>
    </row>
    <row r="6914" spans="45:45" ht="14.4">
      <c r="AS6914" s="20"/>
    </row>
    <row r="6915" spans="45:45" ht="14.4">
      <c r="AS6915" s="20"/>
    </row>
    <row r="6916" spans="45:45" ht="14.4">
      <c r="AS6916" s="20"/>
    </row>
    <row r="6917" spans="45:45" ht="14.4">
      <c r="AS6917" s="20"/>
    </row>
    <row r="6918" spans="45:45" ht="14.4">
      <c r="AS6918" s="20"/>
    </row>
    <row r="6919" spans="45:45" ht="14.4">
      <c r="AS6919" s="20"/>
    </row>
    <row r="6920" spans="45:45" ht="14.4">
      <c r="AS6920" s="20"/>
    </row>
    <row r="6921" spans="45:45" ht="14.4">
      <c r="AS6921" s="20"/>
    </row>
    <row r="6922" spans="45:45" ht="14.4">
      <c r="AS6922" s="20"/>
    </row>
    <row r="6923" spans="45:45" ht="14.4">
      <c r="AS6923" s="20"/>
    </row>
    <row r="6924" spans="45:45" ht="14.4">
      <c r="AS6924" s="20"/>
    </row>
    <row r="6925" spans="45:45" ht="14.4">
      <c r="AS6925" s="20"/>
    </row>
    <row r="6926" spans="45:45" ht="14.4">
      <c r="AS6926" s="20"/>
    </row>
    <row r="6927" spans="45:45" ht="14.4">
      <c r="AS6927" s="20"/>
    </row>
    <row r="6928" spans="45:45" ht="14.4">
      <c r="AS6928" s="20"/>
    </row>
    <row r="6929" spans="45:45" ht="14.4">
      <c r="AS6929" s="20"/>
    </row>
    <row r="6930" spans="45:45" ht="14.4">
      <c r="AS6930" s="20"/>
    </row>
    <row r="6931" spans="45:45" ht="14.4">
      <c r="AS6931" s="20"/>
    </row>
    <row r="6932" spans="45:45" ht="14.4">
      <c r="AS6932" s="20"/>
    </row>
    <row r="6933" spans="45:45" ht="14.4">
      <c r="AS6933" s="20"/>
    </row>
    <row r="6934" spans="45:45" ht="14.4">
      <c r="AS6934" s="20"/>
    </row>
    <row r="6935" spans="45:45" ht="14.4">
      <c r="AS6935" s="20"/>
    </row>
    <row r="6936" spans="45:45" ht="14.4">
      <c r="AS6936" s="20"/>
    </row>
    <row r="6937" spans="45:45" ht="14.4">
      <c r="AS6937" s="20"/>
    </row>
    <row r="6938" spans="45:45" ht="14.4">
      <c r="AS6938" s="20"/>
    </row>
    <row r="6939" spans="45:45" ht="14.4">
      <c r="AS6939" s="20"/>
    </row>
    <row r="6940" spans="45:45" ht="14.4">
      <c r="AS6940" s="20"/>
    </row>
    <row r="6941" spans="45:45" ht="14.4">
      <c r="AS6941" s="20"/>
    </row>
    <row r="6942" spans="45:45" ht="14.4">
      <c r="AS6942" s="20"/>
    </row>
    <row r="6943" spans="45:45" ht="14.4">
      <c r="AS6943" s="20"/>
    </row>
    <row r="6944" spans="45:45" ht="14.4">
      <c r="AS6944" s="20"/>
    </row>
    <row r="6945" spans="45:45" ht="14.4">
      <c r="AS6945" s="20"/>
    </row>
    <row r="6946" spans="45:45" ht="14.4">
      <c r="AS6946" s="20"/>
    </row>
    <row r="6947" spans="45:45" ht="14.4">
      <c r="AS6947" s="20"/>
    </row>
    <row r="6948" spans="45:45" ht="14.4">
      <c r="AS6948" s="20"/>
    </row>
    <row r="6949" spans="45:45" ht="14.4">
      <c r="AS6949" s="20"/>
    </row>
    <row r="6950" spans="45:45" ht="14.4">
      <c r="AS6950" s="20"/>
    </row>
    <row r="6951" spans="45:45" ht="14.4">
      <c r="AS6951" s="20"/>
    </row>
    <row r="6952" spans="45:45" ht="14.4">
      <c r="AS6952" s="20"/>
    </row>
    <row r="6953" spans="45:45" ht="14.4">
      <c r="AS6953" s="20"/>
    </row>
    <row r="6954" spans="45:45" ht="14.4">
      <c r="AS6954" s="20"/>
    </row>
    <row r="6955" spans="45:45" ht="14.4">
      <c r="AS6955" s="20"/>
    </row>
    <row r="6956" spans="45:45" ht="14.4">
      <c r="AS6956" s="20"/>
    </row>
    <row r="6957" spans="45:45" ht="14.4">
      <c r="AS6957" s="20"/>
    </row>
    <row r="6958" spans="45:45" ht="14.4">
      <c r="AS6958" s="20"/>
    </row>
    <row r="6959" spans="45:45" ht="14.4">
      <c r="AS6959" s="20"/>
    </row>
    <row r="6960" spans="45:45" ht="14.4">
      <c r="AS6960" s="20"/>
    </row>
    <row r="6961" spans="45:45" ht="14.4">
      <c r="AS6961" s="20"/>
    </row>
    <row r="6962" spans="45:45" ht="14.4">
      <c r="AS6962" s="20"/>
    </row>
    <row r="6963" spans="45:45" ht="14.4">
      <c r="AS6963" s="20"/>
    </row>
    <row r="6964" spans="45:45" ht="14.4">
      <c r="AS6964" s="20"/>
    </row>
    <row r="6965" spans="45:45" ht="14.4">
      <c r="AS6965" s="20"/>
    </row>
    <row r="6966" spans="45:45" ht="14.4">
      <c r="AS6966" s="20"/>
    </row>
    <row r="6967" spans="45:45" ht="14.4">
      <c r="AS6967" s="20"/>
    </row>
    <row r="6968" spans="45:45" ht="14.4">
      <c r="AS6968" s="20"/>
    </row>
    <row r="6969" spans="45:45" ht="14.4">
      <c r="AS6969" s="20"/>
    </row>
    <row r="6970" spans="45:45" ht="14.4">
      <c r="AS6970" s="20"/>
    </row>
    <row r="6971" spans="45:45" ht="14.4">
      <c r="AS6971" s="20"/>
    </row>
    <row r="6972" spans="45:45" ht="14.4">
      <c r="AS6972" s="20"/>
    </row>
    <row r="6973" spans="45:45" ht="14.4">
      <c r="AS6973" s="20"/>
    </row>
    <row r="6974" spans="45:45" ht="14.4">
      <c r="AS6974" s="20"/>
    </row>
    <row r="6975" spans="45:45" ht="14.4">
      <c r="AS6975" s="20"/>
    </row>
    <row r="6976" spans="45:45" ht="14.4">
      <c r="AS6976" s="20"/>
    </row>
    <row r="6977" spans="45:45" ht="14.4">
      <c r="AS6977" s="20"/>
    </row>
    <row r="6978" spans="45:45" ht="14.4">
      <c r="AS6978" s="20"/>
    </row>
    <row r="6979" spans="45:45" ht="14.4">
      <c r="AS6979" s="20"/>
    </row>
    <row r="6980" spans="45:45" ht="14.4">
      <c r="AS6980" s="20"/>
    </row>
    <row r="6981" spans="45:45" ht="14.4">
      <c r="AS6981" s="20"/>
    </row>
    <row r="6982" spans="45:45" ht="14.4">
      <c r="AS6982" s="20"/>
    </row>
    <row r="6983" spans="45:45" ht="14.4">
      <c r="AS6983" s="20"/>
    </row>
    <row r="6984" spans="45:45" ht="14.4">
      <c r="AS6984" s="20"/>
    </row>
    <row r="6985" spans="45:45" ht="14.4">
      <c r="AS6985" s="20"/>
    </row>
    <row r="6986" spans="45:45" ht="14.4">
      <c r="AS6986" s="20"/>
    </row>
    <row r="6987" spans="45:45" ht="14.4">
      <c r="AS6987" s="20"/>
    </row>
    <row r="6988" spans="45:45" ht="14.4">
      <c r="AS6988" s="20"/>
    </row>
    <row r="6989" spans="45:45" ht="14.4">
      <c r="AS6989" s="20"/>
    </row>
    <row r="6990" spans="45:45" ht="14.4">
      <c r="AS6990" s="20"/>
    </row>
    <row r="6991" spans="45:45" ht="14.4">
      <c r="AS6991" s="20"/>
    </row>
    <row r="6992" spans="45:45" ht="14.4">
      <c r="AS6992" s="20"/>
    </row>
    <row r="6993" spans="45:45" ht="14.4">
      <c r="AS6993" s="20"/>
    </row>
    <row r="6994" spans="45:45" ht="14.4">
      <c r="AS6994" s="20"/>
    </row>
    <row r="6995" spans="45:45" ht="14.4">
      <c r="AS6995" s="20"/>
    </row>
    <row r="6996" spans="45:45" ht="14.4">
      <c r="AS6996" s="20"/>
    </row>
    <row r="6997" spans="45:45" ht="14.4">
      <c r="AS6997" s="20"/>
    </row>
    <row r="6998" spans="45:45" ht="14.4">
      <c r="AS6998" s="20"/>
    </row>
    <row r="6999" spans="45:45" ht="14.4">
      <c r="AS6999" s="20"/>
    </row>
    <row r="7000" spans="45:45" ht="14.4">
      <c r="AS7000" s="20"/>
    </row>
    <row r="7001" spans="45:45" ht="14.4">
      <c r="AS7001" s="20"/>
    </row>
    <row r="7002" spans="45:45" ht="14.4">
      <c r="AS7002" s="20"/>
    </row>
    <row r="7003" spans="45:45" ht="14.4">
      <c r="AS7003" s="20"/>
    </row>
    <row r="7004" spans="45:45" ht="14.4">
      <c r="AS7004" s="20"/>
    </row>
    <row r="7005" spans="45:45" ht="14.4">
      <c r="AS7005" s="20"/>
    </row>
    <row r="7006" spans="45:45" ht="14.4">
      <c r="AS7006" s="20"/>
    </row>
    <row r="7007" spans="45:45" ht="14.4">
      <c r="AS7007" s="20"/>
    </row>
    <row r="7008" spans="45:45" ht="14.4">
      <c r="AS7008" s="20"/>
    </row>
    <row r="7009" spans="45:45" ht="14.4">
      <c r="AS7009" s="20"/>
    </row>
    <row r="7010" spans="45:45" ht="14.4">
      <c r="AS7010" s="20"/>
    </row>
    <row r="7011" spans="45:45" ht="14.4">
      <c r="AS7011" s="20"/>
    </row>
    <row r="7012" spans="45:45" ht="14.4">
      <c r="AS7012" s="20"/>
    </row>
    <row r="7013" spans="45:45" ht="14.4">
      <c r="AS7013" s="20"/>
    </row>
    <row r="7014" spans="45:45" ht="14.4">
      <c r="AS7014" s="20"/>
    </row>
    <row r="7015" spans="45:45" ht="14.4">
      <c r="AS7015" s="20"/>
    </row>
    <row r="7016" spans="45:45" ht="14.4">
      <c r="AS7016" s="20"/>
    </row>
    <row r="7017" spans="45:45" ht="14.4">
      <c r="AS7017" s="20"/>
    </row>
    <row r="7018" spans="45:45" ht="14.4">
      <c r="AS7018" s="20"/>
    </row>
    <row r="7019" spans="45:45" ht="14.4">
      <c r="AS7019" s="20"/>
    </row>
    <row r="7020" spans="45:45" ht="14.4">
      <c r="AS7020" s="20"/>
    </row>
    <row r="7021" spans="45:45" ht="14.4">
      <c r="AS7021" s="20"/>
    </row>
    <row r="7022" spans="45:45" ht="14.4">
      <c r="AS7022" s="20"/>
    </row>
    <row r="7023" spans="45:45" ht="14.4">
      <c r="AS7023" s="20"/>
    </row>
    <row r="7024" spans="45:45" ht="14.4">
      <c r="AS7024" s="20"/>
    </row>
    <row r="7025" spans="45:45" ht="14.4">
      <c r="AS7025" s="20"/>
    </row>
    <row r="7026" spans="45:45" ht="14.4">
      <c r="AS7026" s="20"/>
    </row>
    <row r="7027" spans="45:45" ht="14.4">
      <c r="AS7027" s="20"/>
    </row>
    <row r="7028" spans="45:45" ht="14.4">
      <c r="AS7028" s="20"/>
    </row>
    <row r="7029" spans="45:45" ht="14.4">
      <c r="AS7029" s="20"/>
    </row>
    <row r="7030" spans="45:45" ht="14.4">
      <c r="AS7030" s="20"/>
    </row>
    <row r="7031" spans="45:45" ht="14.4">
      <c r="AS7031" s="20"/>
    </row>
    <row r="7032" spans="45:45" ht="14.4">
      <c r="AS7032" s="20"/>
    </row>
    <row r="7033" spans="45:45" ht="14.4">
      <c r="AS7033" s="20"/>
    </row>
    <row r="7034" spans="45:45" ht="14.4">
      <c r="AS7034" s="20"/>
    </row>
    <row r="7035" spans="45:45" ht="14.4">
      <c r="AS7035" s="20"/>
    </row>
    <row r="7036" spans="45:45" ht="14.4">
      <c r="AS7036" s="20"/>
    </row>
    <row r="7037" spans="45:45" ht="14.4">
      <c r="AS7037" s="20"/>
    </row>
    <row r="7038" spans="45:45" ht="14.4">
      <c r="AS7038" s="20"/>
    </row>
    <row r="7039" spans="45:45" ht="14.4">
      <c r="AS7039" s="20"/>
    </row>
    <row r="7040" spans="45:45" ht="14.4">
      <c r="AS7040" s="20"/>
    </row>
    <row r="7041" spans="45:45" ht="14.4">
      <c r="AS7041" s="20"/>
    </row>
    <row r="7042" spans="45:45" ht="14.4">
      <c r="AS7042" s="20"/>
    </row>
    <row r="7043" spans="45:45" ht="14.4">
      <c r="AS7043" s="20"/>
    </row>
    <row r="7044" spans="45:45" ht="14.4">
      <c r="AS7044" s="20"/>
    </row>
    <row r="7045" spans="45:45" ht="14.4">
      <c r="AS7045" s="20"/>
    </row>
    <row r="7046" spans="45:45" ht="14.4">
      <c r="AS7046" s="20"/>
    </row>
    <row r="7047" spans="45:45" ht="14.4">
      <c r="AS7047" s="20"/>
    </row>
    <row r="7048" spans="45:45" ht="14.4">
      <c r="AS7048" s="20"/>
    </row>
    <row r="7049" spans="45:45" ht="14.4">
      <c r="AS7049" s="20"/>
    </row>
    <row r="7050" spans="45:45" ht="14.4">
      <c r="AS7050" s="20"/>
    </row>
    <row r="7051" spans="45:45" ht="14.4">
      <c r="AS7051" s="20"/>
    </row>
    <row r="7052" spans="45:45" ht="14.4">
      <c r="AS7052" s="20"/>
    </row>
    <row r="7053" spans="45:45" ht="14.4">
      <c r="AS7053" s="20"/>
    </row>
    <row r="7054" spans="45:45" ht="14.4">
      <c r="AS7054" s="20"/>
    </row>
    <row r="7055" spans="45:45" ht="14.4">
      <c r="AS7055" s="20"/>
    </row>
    <row r="7056" spans="45:45" ht="14.4">
      <c r="AS7056" s="20"/>
    </row>
    <row r="7057" spans="45:45" ht="14.4">
      <c r="AS7057" s="20"/>
    </row>
    <row r="7058" spans="45:45" ht="14.4">
      <c r="AS7058" s="20"/>
    </row>
    <row r="7059" spans="45:45" ht="14.4">
      <c r="AS7059" s="20"/>
    </row>
    <row r="7060" spans="45:45" ht="14.4">
      <c r="AS7060" s="20"/>
    </row>
    <row r="7061" spans="45:45" ht="14.4">
      <c r="AS7061" s="20"/>
    </row>
    <row r="7062" spans="45:45" ht="14.4">
      <c r="AS7062" s="20"/>
    </row>
    <row r="7063" spans="45:45" ht="14.4">
      <c r="AS7063" s="20"/>
    </row>
    <row r="7064" spans="45:45" ht="14.4">
      <c r="AS7064" s="20"/>
    </row>
    <row r="7065" spans="45:45" ht="14.4">
      <c r="AS7065" s="20"/>
    </row>
    <row r="7066" spans="45:45" ht="14.4">
      <c r="AS7066" s="20"/>
    </row>
    <row r="7067" spans="45:45" ht="14.4">
      <c r="AS7067" s="20"/>
    </row>
    <row r="7068" spans="45:45" ht="14.4">
      <c r="AS7068" s="20"/>
    </row>
    <row r="7069" spans="45:45" ht="14.4">
      <c r="AS7069" s="20"/>
    </row>
    <row r="7070" spans="45:45" ht="14.4">
      <c r="AS7070" s="20"/>
    </row>
    <row r="7071" spans="45:45" ht="14.4">
      <c r="AS7071" s="20"/>
    </row>
    <row r="7072" spans="45:45" ht="14.4">
      <c r="AS7072" s="20"/>
    </row>
    <row r="7073" spans="45:45" ht="14.4">
      <c r="AS7073" s="20"/>
    </row>
    <row r="7074" spans="45:45" ht="14.4">
      <c r="AS7074" s="20"/>
    </row>
    <row r="7075" spans="45:45" ht="14.4">
      <c r="AS7075" s="20"/>
    </row>
    <row r="7076" spans="45:45" ht="14.4">
      <c r="AS7076" s="20"/>
    </row>
    <row r="7077" spans="45:45" ht="14.4">
      <c r="AS7077" s="20"/>
    </row>
    <row r="7078" spans="45:45" ht="14.4">
      <c r="AS7078" s="20"/>
    </row>
    <row r="7079" spans="45:45" ht="14.4">
      <c r="AS7079" s="20"/>
    </row>
    <row r="7080" spans="45:45" ht="14.4">
      <c r="AS7080" s="20"/>
    </row>
    <row r="7081" spans="45:45" ht="14.4">
      <c r="AS7081" s="20"/>
    </row>
    <row r="7082" spans="45:45" ht="14.4">
      <c r="AS7082" s="20"/>
    </row>
    <row r="7083" spans="45:45" ht="14.4">
      <c r="AS7083" s="20"/>
    </row>
    <row r="7084" spans="45:45" ht="14.4">
      <c r="AS7084" s="20"/>
    </row>
    <row r="7085" spans="45:45" ht="14.4">
      <c r="AS7085" s="20"/>
    </row>
    <row r="7086" spans="45:45" ht="14.4">
      <c r="AS7086" s="20"/>
    </row>
    <row r="7087" spans="45:45" ht="14.4">
      <c r="AS7087" s="20"/>
    </row>
    <row r="7088" spans="45:45" ht="14.4">
      <c r="AS7088" s="20"/>
    </row>
    <row r="7089" spans="45:45" ht="14.4">
      <c r="AS7089" s="20"/>
    </row>
    <row r="7090" spans="45:45" ht="14.4">
      <c r="AS7090" s="20"/>
    </row>
    <row r="7091" spans="45:45" ht="14.4">
      <c r="AS7091" s="20"/>
    </row>
    <row r="7092" spans="45:45" ht="14.4">
      <c r="AS7092" s="20"/>
    </row>
    <row r="7093" spans="45:45" ht="14.4">
      <c r="AS7093" s="20"/>
    </row>
    <row r="7094" spans="45:45" ht="14.4">
      <c r="AS7094" s="20"/>
    </row>
    <row r="7095" spans="45:45" ht="14.4">
      <c r="AS7095" s="20"/>
    </row>
    <row r="7096" spans="45:45" ht="14.4">
      <c r="AS7096" s="20"/>
    </row>
    <row r="7097" spans="45:45" ht="14.4">
      <c r="AS7097" s="20"/>
    </row>
    <row r="7098" spans="45:45" ht="14.4">
      <c r="AS7098" s="20"/>
    </row>
    <row r="7099" spans="45:45" ht="14.4">
      <c r="AS7099" s="20"/>
    </row>
    <row r="7100" spans="45:45" ht="14.4">
      <c r="AS7100" s="20"/>
    </row>
    <row r="7101" spans="45:45" ht="14.4">
      <c r="AS7101" s="20"/>
    </row>
    <row r="7102" spans="45:45" ht="14.4">
      <c r="AS7102" s="20"/>
    </row>
    <row r="7103" spans="45:45" ht="14.4">
      <c r="AS7103" s="20"/>
    </row>
    <row r="7104" spans="45:45" ht="14.4">
      <c r="AS7104" s="20"/>
    </row>
    <row r="7105" spans="45:45" ht="14.4">
      <c r="AS7105" s="20"/>
    </row>
    <row r="7106" spans="45:45" ht="14.4">
      <c r="AS7106" s="20"/>
    </row>
    <row r="7107" spans="45:45" ht="14.4">
      <c r="AS7107" s="20"/>
    </row>
    <row r="7108" spans="45:45" ht="14.4">
      <c r="AS7108" s="20"/>
    </row>
    <row r="7109" spans="45:45" ht="14.4">
      <c r="AS7109" s="20"/>
    </row>
    <row r="7110" spans="45:45" ht="14.4">
      <c r="AS7110" s="20"/>
    </row>
    <row r="7111" spans="45:45" ht="14.4">
      <c r="AS7111" s="20"/>
    </row>
    <row r="7112" spans="45:45" ht="14.4">
      <c r="AS7112" s="20"/>
    </row>
    <row r="7113" spans="45:45" ht="14.4">
      <c r="AS7113" s="20"/>
    </row>
    <row r="7114" spans="45:45" ht="14.4">
      <c r="AS7114" s="20"/>
    </row>
    <row r="7115" spans="45:45" ht="14.4">
      <c r="AS7115" s="20"/>
    </row>
    <row r="7116" spans="45:45" ht="14.4">
      <c r="AS7116" s="20"/>
    </row>
    <row r="7117" spans="45:45" ht="14.4">
      <c r="AS7117" s="20"/>
    </row>
    <row r="7118" spans="45:45" ht="14.4">
      <c r="AS7118" s="20"/>
    </row>
    <row r="7119" spans="45:45" ht="14.4">
      <c r="AS7119" s="20"/>
    </row>
    <row r="7120" spans="45:45" ht="14.4">
      <c r="AS7120" s="20"/>
    </row>
    <row r="7121" spans="45:45" ht="14.4">
      <c r="AS7121" s="20"/>
    </row>
    <row r="7122" spans="45:45" ht="14.4">
      <c r="AS7122" s="20"/>
    </row>
    <row r="7123" spans="45:45" ht="14.4">
      <c r="AS7123" s="20"/>
    </row>
    <row r="7124" spans="45:45" ht="14.4">
      <c r="AS7124" s="20"/>
    </row>
    <row r="7125" spans="45:45" ht="14.4">
      <c r="AS7125" s="20"/>
    </row>
    <row r="7126" spans="45:45" ht="14.4">
      <c r="AS7126" s="20"/>
    </row>
    <row r="7127" spans="45:45" ht="14.4">
      <c r="AS7127" s="20"/>
    </row>
    <row r="7128" spans="45:45" ht="14.4">
      <c r="AS7128" s="20"/>
    </row>
    <row r="7129" spans="45:45" ht="14.4">
      <c r="AS7129" s="20"/>
    </row>
    <row r="7130" spans="45:45" ht="14.4">
      <c r="AS7130" s="20"/>
    </row>
    <row r="7131" spans="45:45" ht="14.4">
      <c r="AS7131" s="20"/>
    </row>
    <row r="7132" spans="45:45" ht="14.4">
      <c r="AS7132" s="20"/>
    </row>
    <row r="7133" spans="45:45" ht="14.4">
      <c r="AS7133" s="20"/>
    </row>
    <row r="7134" spans="45:45" ht="14.4">
      <c r="AS7134" s="20"/>
    </row>
    <row r="7135" spans="45:45" ht="14.4">
      <c r="AS7135" s="20"/>
    </row>
    <row r="7136" spans="45:45" ht="14.4">
      <c r="AS7136" s="20"/>
    </row>
    <row r="7137" spans="45:45" ht="14.4">
      <c r="AS7137" s="20"/>
    </row>
    <row r="7138" spans="45:45" ht="14.4">
      <c r="AS7138" s="20"/>
    </row>
    <row r="7139" spans="45:45" ht="14.4">
      <c r="AS7139" s="20"/>
    </row>
    <row r="7140" spans="45:45" ht="14.4">
      <c r="AS7140" s="20"/>
    </row>
    <row r="7141" spans="45:45" ht="14.4">
      <c r="AS7141" s="20"/>
    </row>
    <row r="7142" spans="45:45" ht="14.4">
      <c r="AS7142" s="20"/>
    </row>
    <row r="7143" spans="45:45" ht="14.4">
      <c r="AS7143" s="20"/>
    </row>
    <row r="7144" spans="45:45" ht="14.4">
      <c r="AS7144" s="20"/>
    </row>
    <row r="7145" spans="45:45" ht="14.4">
      <c r="AS7145" s="20"/>
    </row>
    <row r="7146" spans="45:45" ht="14.4">
      <c r="AS7146" s="20"/>
    </row>
    <row r="7147" spans="45:45" ht="14.4">
      <c r="AS7147" s="20"/>
    </row>
    <row r="7148" spans="45:45" ht="14.4">
      <c r="AS7148" s="20"/>
    </row>
    <row r="7149" spans="45:45" ht="14.4">
      <c r="AS7149" s="20"/>
    </row>
    <row r="7150" spans="45:45" ht="14.4">
      <c r="AS7150" s="20"/>
    </row>
    <row r="7151" spans="45:45" ht="14.4">
      <c r="AS7151" s="20"/>
    </row>
    <row r="7152" spans="45:45" ht="14.4">
      <c r="AS7152" s="20"/>
    </row>
    <row r="7153" spans="45:45" ht="14.4">
      <c r="AS7153" s="20"/>
    </row>
    <row r="7154" spans="45:45" ht="14.4">
      <c r="AS7154" s="20"/>
    </row>
    <row r="7155" spans="45:45" ht="14.4">
      <c r="AS7155" s="20"/>
    </row>
    <row r="7156" spans="45:45" ht="14.4">
      <c r="AS7156" s="20"/>
    </row>
    <row r="7157" spans="45:45" ht="14.4">
      <c r="AS7157" s="20"/>
    </row>
    <row r="7158" spans="45:45" ht="14.4">
      <c r="AS7158" s="20"/>
    </row>
    <row r="7159" spans="45:45" ht="14.4">
      <c r="AS7159" s="20"/>
    </row>
    <row r="7160" spans="45:45" ht="14.4">
      <c r="AS7160" s="20"/>
    </row>
    <row r="7161" spans="45:45" ht="14.4">
      <c r="AS7161" s="20"/>
    </row>
    <row r="7162" spans="45:45" ht="14.4">
      <c r="AS7162" s="20"/>
    </row>
    <row r="7163" spans="45:45" ht="14.4">
      <c r="AS7163" s="20"/>
    </row>
    <row r="7164" spans="45:45" ht="14.4">
      <c r="AS7164" s="20"/>
    </row>
    <row r="7165" spans="45:45" ht="14.4">
      <c r="AS7165" s="20"/>
    </row>
    <row r="7166" spans="45:45" ht="14.4">
      <c r="AS7166" s="20"/>
    </row>
    <row r="7167" spans="45:45" ht="14.4">
      <c r="AS7167" s="20"/>
    </row>
    <row r="7168" spans="45:45" ht="14.4">
      <c r="AS7168" s="20"/>
    </row>
    <row r="7169" spans="45:45" ht="14.4">
      <c r="AS7169" s="20"/>
    </row>
    <row r="7170" spans="45:45" ht="14.4">
      <c r="AS7170" s="20"/>
    </row>
    <row r="7171" spans="45:45" ht="14.4">
      <c r="AS7171" s="20"/>
    </row>
    <row r="7172" spans="45:45" ht="14.4">
      <c r="AS7172" s="20"/>
    </row>
    <row r="7173" spans="45:45" ht="14.4">
      <c r="AS7173" s="20"/>
    </row>
    <row r="7174" spans="45:45" ht="14.4">
      <c r="AS7174" s="20"/>
    </row>
    <row r="7175" spans="45:45" ht="14.4">
      <c r="AS7175" s="20"/>
    </row>
    <row r="7176" spans="45:45" ht="14.4">
      <c r="AS7176" s="20"/>
    </row>
    <row r="7177" spans="45:45" ht="14.4">
      <c r="AS7177" s="20"/>
    </row>
    <row r="7178" spans="45:45" ht="14.4">
      <c r="AS7178" s="20"/>
    </row>
    <row r="7179" spans="45:45" ht="14.4">
      <c r="AS7179" s="20"/>
    </row>
    <row r="7180" spans="45:45" ht="14.4">
      <c r="AS7180" s="20"/>
    </row>
    <row r="7181" spans="45:45" ht="14.4">
      <c r="AS7181" s="20"/>
    </row>
    <row r="7182" spans="45:45" ht="14.4">
      <c r="AS7182" s="20"/>
    </row>
    <row r="7183" spans="45:45" ht="14.4">
      <c r="AS7183" s="20"/>
    </row>
    <row r="7184" spans="45:45" ht="14.4">
      <c r="AS7184" s="20"/>
    </row>
    <row r="7185" spans="45:45" ht="14.4">
      <c r="AS7185" s="20"/>
    </row>
    <row r="7186" spans="45:45" ht="14.4">
      <c r="AS7186" s="20"/>
    </row>
    <row r="7187" spans="45:45" ht="14.4">
      <c r="AS7187" s="20"/>
    </row>
    <row r="7188" spans="45:45" ht="14.4">
      <c r="AS7188" s="20"/>
    </row>
    <row r="7189" spans="45:45" ht="14.4">
      <c r="AS7189" s="20"/>
    </row>
    <row r="7190" spans="45:45" ht="14.4">
      <c r="AS7190" s="20"/>
    </row>
    <row r="7191" spans="45:45" ht="14.4">
      <c r="AS7191" s="20"/>
    </row>
    <row r="7192" spans="45:45" ht="14.4">
      <c r="AS7192" s="20"/>
    </row>
    <row r="7193" spans="45:45" ht="14.4">
      <c r="AS7193" s="20"/>
    </row>
    <row r="7194" spans="45:45" ht="14.4">
      <c r="AS7194" s="20"/>
    </row>
    <row r="7195" spans="45:45" ht="14.4">
      <c r="AS7195" s="20"/>
    </row>
    <row r="7196" spans="45:45" ht="14.4">
      <c r="AS7196" s="20"/>
    </row>
    <row r="7197" spans="45:45" ht="14.4">
      <c r="AS7197" s="20"/>
    </row>
    <row r="7198" spans="45:45" ht="14.4">
      <c r="AS7198" s="20"/>
    </row>
    <row r="7199" spans="45:45" ht="14.4">
      <c r="AS7199" s="20"/>
    </row>
    <row r="7200" spans="45:45" ht="14.4">
      <c r="AS7200" s="20"/>
    </row>
    <row r="7201" spans="45:45" ht="14.4">
      <c r="AS7201" s="20"/>
    </row>
    <row r="7202" spans="45:45" ht="14.4">
      <c r="AS7202" s="20"/>
    </row>
    <row r="7203" spans="45:45" ht="14.4">
      <c r="AS7203" s="20"/>
    </row>
    <row r="7204" spans="45:45" ht="14.4">
      <c r="AS7204" s="20"/>
    </row>
    <row r="7205" spans="45:45" ht="14.4">
      <c r="AS7205" s="20"/>
    </row>
    <row r="7206" spans="45:45" ht="14.4">
      <c r="AS7206" s="20"/>
    </row>
    <row r="7207" spans="45:45" ht="14.4">
      <c r="AS7207" s="20"/>
    </row>
    <row r="7208" spans="45:45" ht="14.4">
      <c r="AS7208" s="20"/>
    </row>
    <row r="7209" spans="45:45" ht="14.4">
      <c r="AS7209" s="20"/>
    </row>
    <row r="7210" spans="45:45" ht="14.4">
      <c r="AS7210" s="20"/>
    </row>
    <row r="7211" spans="45:45" ht="14.4">
      <c r="AS7211" s="20"/>
    </row>
    <row r="7212" spans="45:45" ht="14.4">
      <c r="AS7212" s="20"/>
    </row>
    <row r="7213" spans="45:45" ht="14.4">
      <c r="AS7213" s="20"/>
    </row>
    <row r="7214" spans="45:45" ht="14.4">
      <c r="AS7214" s="20"/>
    </row>
    <row r="7215" spans="45:45" ht="14.4">
      <c r="AS7215" s="20"/>
    </row>
    <row r="7216" spans="45:45" ht="14.4">
      <c r="AS7216" s="20"/>
    </row>
    <row r="7217" spans="45:45" ht="14.4">
      <c r="AS7217" s="20"/>
    </row>
    <row r="7218" spans="45:45" ht="14.4">
      <c r="AS7218" s="20"/>
    </row>
    <row r="7219" spans="45:45" ht="14.4">
      <c r="AS7219" s="20"/>
    </row>
    <row r="7220" spans="45:45" ht="14.4">
      <c r="AS7220" s="20"/>
    </row>
    <row r="7221" spans="45:45" ht="14.4">
      <c r="AS7221" s="20"/>
    </row>
    <row r="7222" spans="45:45" ht="14.4">
      <c r="AS7222" s="20"/>
    </row>
    <row r="7223" spans="45:45" ht="14.4">
      <c r="AS7223" s="20"/>
    </row>
    <row r="7224" spans="45:45" ht="14.4">
      <c r="AS7224" s="20"/>
    </row>
    <row r="7225" spans="45:45" ht="14.4">
      <c r="AS7225" s="20"/>
    </row>
    <row r="7226" spans="45:45" ht="14.4">
      <c r="AS7226" s="20"/>
    </row>
    <row r="7227" spans="45:45" ht="14.4">
      <c r="AS7227" s="20"/>
    </row>
    <row r="7228" spans="45:45" ht="14.4">
      <c r="AS7228" s="20"/>
    </row>
    <row r="7229" spans="45:45" ht="14.4">
      <c r="AS7229" s="20"/>
    </row>
    <row r="7230" spans="45:45" ht="14.4">
      <c r="AS7230" s="20"/>
    </row>
    <row r="7231" spans="45:45" ht="14.4">
      <c r="AS7231" s="20"/>
    </row>
    <row r="7232" spans="45:45" ht="14.4">
      <c r="AS7232" s="20"/>
    </row>
    <row r="7233" spans="45:45" ht="14.4">
      <c r="AS7233" s="20"/>
    </row>
    <row r="7234" spans="45:45" ht="14.4">
      <c r="AS7234" s="20"/>
    </row>
    <row r="7235" spans="45:45" ht="14.4">
      <c r="AS7235" s="20"/>
    </row>
    <row r="7236" spans="45:45" ht="14.4">
      <c r="AS7236" s="20"/>
    </row>
    <row r="7237" spans="45:45" ht="14.4">
      <c r="AS7237" s="20"/>
    </row>
    <row r="7238" spans="45:45" ht="14.4">
      <c r="AS7238" s="20"/>
    </row>
    <row r="7239" spans="45:45" ht="14.4">
      <c r="AS7239" s="20"/>
    </row>
    <row r="7240" spans="45:45" ht="14.4">
      <c r="AS7240" s="20"/>
    </row>
    <row r="7241" spans="45:45" ht="14.4">
      <c r="AS7241" s="20"/>
    </row>
    <row r="7242" spans="45:45" ht="14.4">
      <c r="AS7242" s="20"/>
    </row>
    <row r="7243" spans="45:45" ht="14.4">
      <c r="AS7243" s="20"/>
    </row>
    <row r="7244" spans="45:45" ht="14.4">
      <c r="AS7244" s="20"/>
    </row>
    <row r="7245" spans="45:45" ht="14.4">
      <c r="AS7245" s="20"/>
    </row>
    <row r="7246" spans="45:45" ht="14.4">
      <c r="AS7246" s="20"/>
    </row>
    <row r="7247" spans="45:45" ht="14.4">
      <c r="AS7247" s="20"/>
    </row>
    <row r="7248" spans="45:45" ht="14.4">
      <c r="AS7248" s="20"/>
    </row>
    <row r="7249" spans="45:45" ht="14.4">
      <c r="AS7249" s="20"/>
    </row>
    <row r="7250" spans="45:45" ht="14.4">
      <c r="AS7250" s="20"/>
    </row>
    <row r="7251" spans="45:45" ht="14.4">
      <c r="AS7251" s="20"/>
    </row>
    <row r="7252" spans="45:45" ht="14.4">
      <c r="AS7252" s="20"/>
    </row>
    <row r="7253" spans="45:45" ht="14.4">
      <c r="AS7253" s="20"/>
    </row>
    <row r="7254" spans="45:45" ht="14.4">
      <c r="AS7254" s="20"/>
    </row>
    <row r="7255" spans="45:45" ht="14.4">
      <c r="AS7255" s="20"/>
    </row>
    <row r="7256" spans="45:45" ht="14.4">
      <c r="AS7256" s="20"/>
    </row>
    <row r="7257" spans="45:45" ht="14.4">
      <c r="AS7257" s="20"/>
    </row>
    <row r="7258" spans="45:45" ht="14.4">
      <c r="AS7258" s="20"/>
    </row>
    <row r="7259" spans="45:45" ht="14.4">
      <c r="AS7259" s="20"/>
    </row>
    <row r="7260" spans="45:45" ht="14.4">
      <c r="AS7260" s="20"/>
    </row>
    <row r="7261" spans="45:45" ht="14.4">
      <c r="AS7261" s="20"/>
    </row>
    <row r="7262" spans="45:45" ht="14.4">
      <c r="AS7262" s="20"/>
    </row>
    <row r="7263" spans="45:45" ht="14.4">
      <c r="AS7263" s="20"/>
    </row>
    <row r="7264" spans="45:45" ht="14.4">
      <c r="AS7264" s="20"/>
    </row>
    <row r="7265" spans="45:45" ht="14.4">
      <c r="AS7265" s="20"/>
    </row>
    <row r="7266" spans="45:45" ht="14.4">
      <c r="AS7266" s="20"/>
    </row>
    <row r="7267" spans="45:45" ht="14.4">
      <c r="AS7267" s="20"/>
    </row>
    <row r="7268" spans="45:45" ht="14.4">
      <c r="AS7268" s="20"/>
    </row>
    <row r="7269" spans="45:45" ht="14.4">
      <c r="AS7269" s="20"/>
    </row>
    <row r="7270" spans="45:45" ht="14.4">
      <c r="AS7270" s="20"/>
    </row>
    <row r="7271" spans="45:45" ht="14.4">
      <c r="AS7271" s="20"/>
    </row>
    <row r="7272" spans="45:45" ht="14.4">
      <c r="AS7272" s="20"/>
    </row>
    <row r="7273" spans="45:45" ht="14.4">
      <c r="AS7273" s="20"/>
    </row>
    <row r="7274" spans="45:45" ht="14.4">
      <c r="AS7274" s="20"/>
    </row>
    <row r="7275" spans="45:45" ht="14.4">
      <c r="AS7275" s="20"/>
    </row>
    <row r="7276" spans="45:45" ht="14.4">
      <c r="AS7276" s="20"/>
    </row>
    <row r="7277" spans="45:45" ht="14.4">
      <c r="AS7277" s="20"/>
    </row>
    <row r="7278" spans="45:45" ht="14.4">
      <c r="AS7278" s="20"/>
    </row>
    <row r="7279" spans="45:45" ht="14.4">
      <c r="AS7279" s="20"/>
    </row>
    <row r="7280" spans="45:45" ht="14.4">
      <c r="AS7280" s="20"/>
    </row>
    <row r="7281" spans="45:45" ht="14.4">
      <c r="AS7281" s="20"/>
    </row>
    <row r="7282" spans="45:45" ht="14.4">
      <c r="AS7282" s="20"/>
    </row>
    <row r="7283" spans="45:45" ht="14.4">
      <c r="AS7283" s="20"/>
    </row>
    <row r="7284" spans="45:45" ht="14.4">
      <c r="AS7284" s="20"/>
    </row>
    <row r="7285" spans="45:45" ht="14.4">
      <c r="AS7285" s="20"/>
    </row>
    <row r="7286" spans="45:45" ht="14.4">
      <c r="AS7286" s="20"/>
    </row>
    <row r="7287" spans="45:45" ht="14.4">
      <c r="AS7287" s="20"/>
    </row>
    <row r="7288" spans="45:45" ht="14.4">
      <c r="AS7288" s="20"/>
    </row>
    <row r="7289" spans="45:45" ht="14.4">
      <c r="AS7289" s="20"/>
    </row>
    <row r="7290" spans="45:45" ht="14.4">
      <c r="AS7290" s="20"/>
    </row>
    <row r="7291" spans="45:45" ht="14.4">
      <c r="AS7291" s="20"/>
    </row>
    <row r="7292" spans="45:45" ht="14.4">
      <c r="AS7292" s="20"/>
    </row>
    <row r="7293" spans="45:45" ht="14.4">
      <c r="AS7293" s="20"/>
    </row>
    <row r="7294" spans="45:45" ht="14.4">
      <c r="AS7294" s="20"/>
    </row>
    <row r="7295" spans="45:45" ht="14.4">
      <c r="AS7295" s="20"/>
    </row>
    <row r="7296" spans="45:45" ht="14.4">
      <c r="AS7296" s="20"/>
    </row>
    <row r="7297" spans="45:45" ht="14.4">
      <c r="AS7297" s="20"/>
    </row>
    <row r="7298" spans="45:45" ht="14.4">
      <c r="AS7298" s="20"/>
    </row>
    <row r="7299" spans="45:45" ht="14.4">
      <c r="AS7299" s="20"/>
    </row>
    <row r="7300" spans="45:45" ht="14.4">
      <c r="AS7300" s="20"/>
    </row>
    <row r="7301" spans="45:45" ht="14.4">
      <c r="AS7301" s="20"/>
    </row>
    <row r="7302" spans="45:45" ht="14.4">
      <c r="AS7302" s="20"/>
    </row>
    <row r="7303" spans="45:45" ht="14.4">
      <c r="AS7303" s="20"/>
    </row>
    <row r="7304" spans="45:45" ht="14.4">
      <c r="AS7304" s="20"/>
    </row>
    <row r="7305" spans="45:45" ht="14.4">
      <c r="AS7305" s="20"/>
    </row>
    <row r="7306" spans="45:45" ht="14.4">
      <c r="AS7306" s="20"/>
    </row>
    <row r="7307" spans="45:45" ht="14.4">
      <c r="AS7307" s="20"/>
    </row>
    <row r="7308" spans="45:45" ht="14.4">
      <c r="AS7308" s="20"/>
    </row>
    <row r="7309" spans="45:45" ht="14.4">
      <c r="AS7309" s="20"/>
    </row>
    <row r="7310" spans="45:45" ht="14.4">
      <c r="AS7310" s="20"/>
    </row>
    <row r="7311" spans="45:45" ht="14.4">
      <c r="AS7311" s="20"/>
    </row>
    <row r="7312" spans="45:45" ht="14.4">
      <c r="AS7312" s="20"/>
    </row>
    <row r="7313" spans="45:45" ht="14.4">
      <c r="AS7313" s="20"/>
    </row>
    <row r="7314" spans="45:45" ht="14.4">
      <c r="AS7314" s="20"/>
    </row>
    <row r="7315" spans="45:45" ht="14.4">
      <c r="AS7315" s="20"/>
    </row>
    <row r="7316" spans="45:45" ht="14.4">
      <c r="AS7316" s="20"/>
    </row>
    <row r="7317" spans="45:45" ht="14.4">
      <c r="AS7317" s="20"/>
    </row>
    <row r="7318" spans="45:45" ht="14.4">
      <c r="AS7318" s="20"/>
    </row>
    <row r="7319" spans="45:45" ht="14.4">
      <c r="AS7319" s="20"/>
    </row>
    <row r="7320" spans="45:45" ht="14.4">
      <c r="AS7320" s="20"/>
    </row>
    <row r="7321" spans="45:45" ht="14.4">
      <c r="AS7321" s="20"/>
    </row>
    <row r="7322" spans="45:45" ht="14.4">
      <c r="AS7322" s="20"/>
    </row>
    <row r="7323" spans="45:45" ht="14.4">
      <c r="AS7323" s="20"/>
    </row>
    <row r="7324" spans="45:45" ht="14.4">
      <c r="AS7324" s="20"/>
    </row>
    <row r="7325" spans="45:45" ht="14.4">
      <c r="AS7325" s="20"/>
    </row>
    <row r="7326" spans="45:45" ht="14.4">
      <c r="AS7326" s="20"/>
    </row>
    <row r="7327" spans="45:45" ht="14.4">
      <c r="AS7327" s="20"/>
    </row>
    <row r="7328" spans="45:45" ht="14.4">
      <c r="AS7328" s="20"/>
    </row>
    <row r="7329" spans="45:45" ht="14.4">
      <c r="AS7329" s="20"/>
    </row>
    <row r="7330" spans="45:45" ht="14.4">
      <c r="AS7330" s="20"/>
    </row>
    <row r="7331" spans="45:45" ht="14.4">
      <c r="AS7331" s="20"/>
    </row>
    <row r="7332" spans="45:45" ht="14.4">
      <c r="AS7332" s="20"/>
    </row>
    <row r="7333" spans="45:45" ht="14.4">
      <c r="AS7333" s="20"/>
    </row>
    <row r="7334" spans="45:45" ht="14.4">
      <c r="AS7334" s="20"/>
    </row>
    <row r="7335" spans="45:45" ht="14.4">
      <c r="AS7335" s="20"/>
    </row>
    <row r="7336" spans="45:45" ht="14.4">
      <c r="AS7336" s="20"/>
    </row>
    <row r="7337" spans="45:45" ht="14.4">
      <c r="AS7337" s="20"/>
    </row>
    <row r="7338" spans="45:45" ht="14.4">
      <c r="AS7338" s="20"/>
    </row>
    <row r="7339" spans="45:45" ht="14.4">
      <c r="AS7339" s="20"/>
    </row>
    <row r="7340" spans="45:45" ht="14.4">
      <c r="AS7340" s="20"/>
    </row>
    <row r="7341" spans="45:45" ht="14.4">
      <c r="AS7341" s="20"/>
    </row>
    <row r="7342" spans="45:45" ht="14.4">
      <c r="AS7342" s="20"/>
    </row>
    <row r="7343" spans="45:45" ht="14.4">
      <c r="AS7343" s="20"/>
    </row>
    <row r="7344" spans="45:45" ht="14.4">
      <c r="AS7344" s="20"/>
    </row>
    <row r="7345" spans="45:45" ht="14.4">
      <c r="AS7345" s="20"/>
    </row>
    <row r="7346" spans="45:45" ht="14.4">
      <c r="AS7346" s="20"/>
    </row>
    <row r="7347" spans="45:45" ht="14.4">
      <c r="AS7347" s="20"/>
    </row>
    <row r="7348" spans="45:45" ht="14.4">
      <c r="AS7348" s="20"/>
    </row>
    <row r="7349" spans="45:45" ht="14.4">
      <c r="AS7349" s="20"/>
    </row>
    <row r="7350" spans="45:45" ht="14.4">
      <c r="AS7350" s="20"/>
    </row>
    <row r="7351" spans="45:45" ht="14.4">
      <c r="AS7351" s="20"/>
    </row>
    <row r="7352" spans="45:45" ht="14.4">
      <c r="AS7352" s="20"/>
    </row>
    <row r="7353" spans="45:45" ht="14.4">
      <c r="AS7353" s="20"/>
    </row>
    <row r="7354" spans="45:45" ht="14.4">
      <c r="AS7354" s="20"/>
    </row>
    <row r="7355" spans="45:45" ht="14.4">
      <c r="AS7355" s="20"/>
    </row>
    <row r="7356" spans="45:45" ht="14.4">
      <c r="AS7356" s="20"/>
    </row>
    <row r="7357" spans="45:45" ht="14.4">
      <c r="AS7357" s="20"/>
    </row>
    <row r="7358" spans="45:45" ht="14.4">
      <c r="AS7358" s="20"/>
    </row>
    <row r="7359" spans="45:45" ht="14.4">
      <c r="AS7359" s="20"/>
    </row>
    <row r="7360" spans="45:45" ht="14.4">
      <c r="AS7360" s="20"/>
    </row>
    <row r="7361" spans="45:45" ht="14.4">
      <c r="AS7361" s="20"/>
    </row>
    <row r="7362" spans="45:45" ht="14.4">
      <c r="AS7362" s="20"/>
    </row>
    <row r="7363" spans="45:45" ht="14.4">
      <c r="AS7363" s="20"/>
    </row>
    <row r="7364" spans="45:45" ht="14.4">
      <c r="AS7364" s="20"/>
    </row>
    <row r="7365" spans="45:45" ht="14.4">
      <c r="AS7365" s="20"/>
    </row>
    <row r="7366" spans="45:45" ht="14.4">
      <c r="AS7366" s="20"/>
    </row>
    <row r="7367" spans="45:45" ht="14.4">
      <c r="AS7367" s="20"/>
    </row>
    <row r="7368" spans="45:45" ht="14.4">
      <c r="AS7368" s="20"/>
    </row>
    <row r="7369" spans="45:45" ht="14.4">
      <c r="AS7369" s="20"/>
    </row>
    <row r="7370" spans="45:45" ht="14.4">
      <c r="AS7370" s="20"/>
    </row>
    <row r="7371" spans="45:45" ht="14.4">
      <c r="AS7371" s="20"/>
    </row>
    <row r="7372" spans="45:45" ht="14.4">
      <c r="AS7372" s="20"/>
    </row>
    <row r="7373" spans="45:45" ht="14.4">
      <c r="AS7373" s="20"/>
    </row>
    <row r="7374" spans="45:45" ht="14.4">
      <c r="AS7374" s="20"/>
    </row>
    <row r="7375" spans="45:45" ht="14.4">
      <c r="AS7375" s="20"/>
    </row>
    <row r="7376" spans="45:45" ht="14.4">
      <c r="AS7376" s="20"/>
    </row>
    <row r="7377" spans="45:45" ht="14.4">
      <c r="AS7377" s="20"/>
    </row>
    <row r="7378" spans="45:45" ht="14.4">
      <c r="AS7378" s="20"/>
    </row>
    <row r="7379" spans="45:45" ht="14.4">
      <c r="AS7379" s="20"/>
    </row>
    <row r="7380" spans="45:45" ht="14.4">
      <c r="AS7380" s="20"/>
    </row>
    <row r="7381" spans="45:45" ht="14.4">
      <c r="AS7381" s="20"/>
    </row>
    <row r="7382" spans="45:45" ht="14.4">
      <c r="AS7382" s="20"/>
    </row>
    <row r="7383" spans="45:45" ht="14.4">
      <c r="AS7383" s="20"/>
    </row>
    <row r="7384" spans="45:45" ht="14.4">
      <c r="AS7384" s="20"/>
    </row>
    <row r="7385" spans="45:45" ht="14.4">
      <c r="AS7385" s="20"/>
    </row>
    <row r="7386" spans="45:45" ht="14.4">
      <c r="AS7386" s="20"/>
    </row>
    <row r="7387" spans="45:45" ht="14.4">
      <c r="AS7387" s="20"/>
    </row>
    <row r="7388" spans="45:45" ht="14.4">
      <c r="AS7388" s="20"/>
    </row>
    <row r="7389" spans="45:45" ht="14.4">
      <c r="AS7389" s="20"/>
    </row>
    <row r="7390" spans="45:45" ht="14.4">
      <c r="AS7390" s="20"/>
    </row>
    <row r="7391" spans="45:45" ht="14.4">
      <c r="AS7391" s="20"/>
    </row>
    <row r="7392" spans="45:45" ht="14.4">
      <c r="AS7392" s="20"/>
    </row>
    <row r="7393" spans="45:45" ht="14.4">
      <c r="AS7393" s="20"/>
    </row>
    <row r="7394" spans="45:45" ht="14.4">
      <c r="AS7394" s="20"/>
    </row>
    <row r="7395" spans="45:45" ht="14.4">
      <c r="AS7395" s="20"/>
    </row>
    <row r="7396" spans="45:45" ht="14.4">
      <c r="AS7396" s="20"/>
    </row>
    <row r="7397" spans="45:45" ht="14.4">
      <c r="AS7397" s="20"/>
    </row>
    <row r="7398" spans="45:45" ht="14.4">
      <c r="AS7398" s="20"/>
    </row>
    <row r="7399" spans="45:45" ht="14.4">
      <c r="AS7399" s="20"/>
    </row>
    <row r="7400" spans="45:45" ht="14.4">
      <c r="AS7400" s="20"/>
    </row>
    <row r="7401" spans="45:45" ht="14.4">
      <c r="AS7401" s="20"/>
    </row>
    <row r="7402" spans="45:45" ht="14.4">
      <c r="AS7402" s="20"/>
    </row>
    <row r="7403" spans="45:45" ht="14.4">
      <c r="AS7403" s="20"/>
    </row>
    <row r="7404" spans="45:45" ht="14.4">
      <c r="AS7404" s="20"/>
    </row>
    <row r="7405" spans="45:45" ht="14.4">
      <c r="AS7405" s="20"/>
    </row>
    <row r="7406" spans="45:45" ht="14.4">
      <c r="AS7406" s="20"/>
    </row>
    <row r="7407" spans="45:45" ht="14.4">
      <c r="AS7407" s="20"/>
    </row>
    <row r="7408" spans="45:45" ht="14.4">
      <c r="AS7408" s="20"/>
    </row>
    <row r="7409" spans="45:45" ht="14.4">
      <c r="AS7409" s="20"/>
    </row>
    <row r="7410" spans="45:45" ht="14.4">
      <c r="AS7410" s="20"/>
    </row>
    <row r="7411" spans="45:45" ht="14.4">
      <c r="AS7411" s="20"/>
    </row>
    <row r="7412" spans="45:45" ht="14.4">
      <c r="AS7412" s="20"/>
    </row>
    <row r="7413" spans="45:45" ht="14.4">
      <c r="AS7413" s="20"/>
    </row>
    <row r="7414" spans="45:45" ht="14.4">
      <c r="AS7414" s="20"/>
    </row>
    <row r="7415" spans="45:45" ht="14.4">
      <c r="AS7415" s="20"/>
    </row>
    <row r="7416" spans="45:45" ht="14.4">
      <c r="AS7416" s="20"/>
    </row>
    <row r="7417" spans="45:45" ht="14.4">
      <c r="AS7417" s="20"/>
    </row>
    <row r="7418" spans="45:45" ht="14.4">
      <c r="AS7418" s="20"/>
    </row>
    <row r="7419" spans="45:45" ht="14.4">
      <c r="AS7419" s="20"/>
    </row>
    <row r="7420" spans="45:45" ht="14.4">
      <c r="AS7420" s="20"/>
    </row>
    <row r="7421" spans="45:45" ht="14.4">
      <c r="AS7421" s="20"/>
    </row>
    <row r="7422" spans="45:45" ht="14.4">
      <c r="AS7422" s="20"/>
    </row>
    <row r="7423" spans="45:45" ht="14.4">
      <c r="AS7423" s="20"/>
    </row>
    <row r="7424" spans="45:45" ht="14.4">
      <c r="AS7424" s="20"/>
    </row>
    <row r="7425" spans="45:45" ht="14.4">
      <c r="AS7425" s="20"/>
    </row>
    <row r="7426" spans="45:45" ht="14.4">
      <c r="AS7426" s="20"/>
    </row>
    <row r="7427" spans="45:45" ht="14.4">
      <c r="AS7427" s="20"/>
    </row>
    <row r="7428" spans="45:45" ht="14.4">
      <c r="AS7428" s="20"/>
    </row>
    <row r="7429" spans="45:45" ht="14.4">
      <c r="AS7429" s="20"/>
    </row>
    <row r="7430" spans="45:45" ht="14.4">
      <c r="AS7430" s="20"/>
    </row>
    <row r="7431" spans="45:45" ht="14.4">
      <c r="AS7431" s="20"/>
    </row>
    <row r="7432" spans="45:45" ht="14.4">
      <c r="AS7432" s="20"/>
    </row>
    <row r="7433" spans="45:45" ht="14.4">
      <c r="AS7433" s="20"/>
    </row>
    <row r="7434" spans="45:45" ht="14.4">
      <c r="AS7434" s="20"/>
    </row>
    <row r="7435" spans="45:45" ht="14.4">
      <c r="AS7435" s="20"/>
    </row>
    <row r="7436" spans="45:45" ht="14.4">
      <c r="AS7436" s="20"/>
    </row>
    <row r="7437" spans="45:45" ht="14.4">
      <c r="AS7437" s="20"/>
    </row>
    <row r="7438" spans="45:45" ht="14.4">
      <c r="AS7438" s="20"/>
    </row>
    <row r="7439" spans="45:45" ht="14.4">
      <c r="AS7439" s="20"/>
    </row>
    <row r="7440" spans="45:45" ht="14.4">
      <c r="AS7440" s="20"/>
    </row>
    <row r="7441" spans="45:45" ht="14.4">
      <c r="AS7441" s="20"/>
    </row>
    <row r="7442" spans="45:45" ht="14.4">
      <c r="AS7442" s="20"/>
    </row>
    <row r="7443" spans="45:45" ht="14.4">
      <c r="AS7443" s="20"/>
    </row>
    <row r="7444" spans="45:45" ht="14.4">
      <c r="AS7444" s="20"/>
    </row>
    <row r="7445" spans="45:45" ht="14.4">
      <c r="AS7445" s="20"/>
    </row>
    <row r="7446" spans="45:45" ht="14.4">
      <c r="AS7446" s="20"/>
    </row>
    <row r="7447" spans="45:45" ht="14.4">
      <c r="AS7447" s="20"/>
    </row>
    <row r="7448" spans="45:45" ht="14.4">
      <c r="AS7448" s="20"/>
    </row>
    <row r="7449" spans="45:45" ht="14.4">
      <c r="AS7449" s="20"/>
    </row>
    <row r="7450" spans="45:45" ht="14.4">
      <c r="AS7450" s="20"/>
    </row>
    <row r="7451" spans="45:45" ht="14.4">
      <c r="AS7451" s="20"/>
    </row>
    <row r="7452" spans="45:45" ht="14.4">
      <c r="AS7452" s="20"/>
    </row>
    <row r="7453" spans="45:45" ht="14.4">
      <c r="AS7453" s="20"/>
    </row>
    <row r="7454" spans="45:45" ht="14.4">
      <c r="AS7454" s="20"/>
    </row>
    <row r="7455" spans="45:45" ht="14.4">
      <c r="AS7455" s="20"/>
    </row>
    <row r="7456" spans="45:45" ht="14.4">
      <c r="AS7456" s="20"/>
    </row>
    <row r="7457" spans="45:45" ht="14.4">
      <c r="AS7457" s="20"/>
    </row>
    <row r="7458" spans="45:45" ht="14.4">
      <c r="AS7458" s="20"/>
    </row>
    <row r="7459" spans="45:45" ht="14.4">
      <c r="AS7459" s="20"/>
    </row>
    <row r="7460" spans="45:45" ht="14.4">
      <c r="AS7460" s="20"/>
    </row>
    <row r="7461" spans="45:45" ht="14.4">
      <c r="AS7461" s="20"/>
    </row>
    <row r="7462" spans="45:45" ht="14.4">
      <c r="AS7462" s="20"/>
    </row>
    <row r="7463" spans="45:45" ht="14.4">
      <c r="AS7463" s="20"/>
    </row>
    <row r="7464" spans="45:45" ht="14.4">
      <c r="AS7464" s="20"/>
    </row>
    <row r="7465" spans="45:45" ht="14.4">
      <c r="AS7465" s="20"/>
    </row>
    <row r="7466" spans="45:45" ht="14.4">
      <c r="AS7466" s="20"/>
    </row>
    <row r="7467" spans="45:45" ht="14.4">
      <c r="AS7467" s="20"/>
    </row>
    <row r="7468" spans="45:45" ht="14.4">
      <c r="AS7468" s="20"/>
    </row>
    <row r="7469" spans="45:45" ht="14.4">
      <c r="AS7469" s="20"/>
    </row>
    <row r="7470" spans="45:45" ht="14.4">
      <c r="AS7470" s="20"/>
    </row>
    <row r="7471" spans="45:45" ht="14.4">
      <c r="AS7471" s="20"/>
    </row>
    <row r="7472" spans="45:45" ht="14.4">
      <c r="AS7472" s="20"/>
    </row>
    <row r="7473" spans="45:45" ht="14.4">
      <c r="AS7473" s="20"/>
    </row>
    <row r="7474" spans="45:45" ht="14.4">
      <c r="AS7474" s="20"/>
    </row>
    <row r="7475" spans="45:45" ht="14.4">
      <c r="AS7475" s="20"/>
    </row>
    <row r="7476" spans="45:45" ht="14.4">
      <c r="AS7476" s="20"/>
    </row>
    <row r="7477" spans="45:45" ht="14.4">
      <c r="AS7477" s="20"/>
    </row>
    <row r="7478" spans="45:45" ht="14.4">
      <c r="AS7478" s="20"/>
    </row>
    <row r="7479" spans="45:45" ht="14.4">
      <c r="AS7479" s="20"/>
    </row>
    <row r="7480" spans="45:45" ht="14.4">
      <c r="AS7480" s="20"/>
    </row>
    <row r="7481" spans="45:45" ht="14.4">
      <c r="AS7481" s="20"/>
    </row>
    <row r="7482" spans="45:45" ht="14.4">
      <c r="AS7482" s="20"/>
    </row>
    <row r="7483" spans="45:45" ht="14.4">
      <c r="AS7483" s="20"/>
    </row>
    <row r="7484" spans="45:45" ht="14.4">
      <c r="AS7484" s="20"/>
    </row>
    <row r="7485" spans="45:45" ht="14.4">
      <c r="AS7485" s="20"/>
    </row>
    <row r="7486" spans="45:45" ht="14.4">
      <c r="AS7486" s="20"/>
    </row>
    <row r="7487" spans="45:45" ht="14.4">
      <c r="AS7487" s="20"/>
    </row>
    <row r="7488" spans="45:45" ht="14.4">
      <c r="AS7488" s="20"/>
    </row>
    <row r="7489" spans="45:45" ht="14.4">
      <c r="AS7489" s="20"/>
    </row>
    <row r="7490" spans="45:45" ht="14.4">
      <c r="AS7490" s="20"/>
    </row>
    <row r="7491" spans="45:45" ht="14.4">
      <c r="AS7491" s="20"/>
    </row>
    <row r="7492" spans="45:45" ht="14.4">
      <c r="AS7492" s="20"/>
    </row>
    <row r="7493" spans="45:45" ht="14.4">
      <c r="AS7493" s="20"/>
    </row>
    <row r="7494" spans="45:45" ht="14.4">
      <c r="AS7494" s="20"/>
    </row>
    <row r="7495" spans="45:45" ht="14.4">
      <c r="AS7495" s="20"/>
    </row>
    <row r="7496" spans="45:45" ht="14.4">
      <c r="AS7496" s="20"/>
    </row>
    <row r="7497" spans="45:45" ht="14.4">
      <c r="AS7497" s="20"/>
    </row>
    <row r="7498" spans="45:45" ht="14.4">
      <c r="AS7498" s="20"/>
    </row>
    <row r="7499" spans="45:45" ht="14.4">
      <c r="AS7499" s="20"/>
    </row>
    <row r="7500" spans="45:45" ht="14.4">
      <c r="AS7500" s="20"/>
    </row>
    <row r="7501" spans="45:45" ht="14.4">
      <c r="AS7501" s="20"/>
    </row>
    <row r="7502" spans="45:45" ht="14.4">
      <c r="AS7502" s="20"/>
    </row>
    <row r="7503" spans="45:45" ht="14.4">
      <c r="AS7503" s="20"/>
    </row>
    <row r="7504" spans="45:45" ht="14.4">
      <c r="AS7504" s="20"/>
    </row>
    <row r="7505" spans="45:45" ht="14.4">
      <c r="AS7505" s="20"/>
    </row>
    <row r="7506" spans="45:45" ht="14.4">
      <c r="AS7506" s="20"/>
    </row>
    <row r="7507" spans="45:45" ht="14.4">
      <c r="AS7507" s="20"/>
    </row>
    <row r="7508" spans="45:45" ht="14.4">
      <c r="AS7508" s="20"/>
    </row>
    <row r="7509" spans="45:45" ht="14.4">
      <c r="AS7509" s="20"/>
    </row>
    <row r="7510" spans="45:45" ht="14.4">
      <c r="AS7510" s="20"/>
    </row>
    <row r="7511" spans="45:45" ht="14.4">
      <c r="AS7511" s="20"/>
    </row>
    <row r="7512" spans="45:45" ht="14.4">
      <c r="AS7512" s="20"/>
    </row>
    <row r="7513" spans="45:45" ht="14.4">
      <c r="AS7513" s="20"/>
    </row>
    <row r="7514" spans="45:45" ht="14.4">
      <c r="AS7514" s="20"/>
    </row>
    <row r="7515" spans="45:45" ht="14.4">
      <c r="AS7515" s="20"/>
    </row>
    <row r="7516" spans="45:45" ht="14.4">
      <c r="AS7516" s="20"/>
    </row>
    <row r="7517" spans="45:45" ht="14.4">
      <c r="AS7517" s="20"/>
    </row>
    <row r="7518" spans="45:45" ht="14.4">
      <c r="AS7518" s="20"/>
    </row>
    <row r="7519" spans="45:45" ht="14.4">
      <c r="AS7519" s="20"/>
    </row>
    <row r="7520" spans="45:45" ht="14.4">
      <c r="AS7520" s="20"/>
    </row>
    <row r="7521" spans="45:45" ht="14.4">
      <c r="AS7521" s="20"/>
    </row>
    <row r="7522" spans="45:45" ht="14.4">
      <c r="AS7522" s="20"/>
    </row>
    <row r="7523" spans="45:45" ht="14.4">
      <c r="AS7523" s="20"/>
    </row>
    <row r="7524" spans="45:45" ht="14.4">
      <c r="AS7524" s="20"/>
    </row>
    <row r="7525" spans="45:45" ht="14.4">
      <c r="AS7525" s="20"/>
    </row>
    <row r="7526" spans="45:45" ht="14.4">
      <c r="AS7526" s="20"/>
    </row>
    <row r="7527" spans="45:45" ht="14.4">
      <c r="AS7527" s="20"/>
    </row>
    <row r="7528" spans="45:45" ht="14.4">
      <c r="AS7528" s="20"/>
    </row>
    <row r="7529" spans="45:45" ht="14.4">
      <c r="AS7529" s="20"/>
    </row>
    <row r="7530" spans="45:45" ht="14.4">
      <c r="AS7530" s="20"/>
    </row>
    <row r="7531" spans="45:45" ht="14.4">
      <c r="AS7531" s="20"/>
    </row>
    <row r="7532" spans="45:45" ht="14.4">
      <c r="AS7532" s="20"/>
    </row>
    <row r="7533" spans="45:45" ht="14.4">
      <c r="AS7533" s="20"/>
    </row>
    <row r="7534" spans="45:45" ht="14.4">
      <c r="AS7534" s="20"/>
    </row>
    <row r="7535" spans="45:45" ht="14.4">
      <c r="AS7535" s="20"/>
    </row>
    <row r="7536" spans="45:45" ht="14.4">
      <c r="AS7536" s="20"/>
    </row>
    <row r="7537" spans="45:45" ht="14.4">
      <c r="AS7537" s="20"/>
    </row>
    <row r="7538" spans="45:45" ht="14.4">
      <c r="AS7538" s="20"/>
    </row>
    <row r="7539" spans="45:45" ht="14.4">
      <c r="AS7539" s="20"/>
    </row>
    <row r="7540" spans="45:45" ht="14.4">
      <c r="AS7540" s="20"/>
    </row>
    <row r="7541" spans="45:45" ht="14.4">
      <c r="AS7541" s="20"/>
    </row>
    <row r="7542" spans="45:45" ht="14.4">
      <c r="AS7542" s="20"/>
    </row>
    <row r="7543" spans="45:45" ht="14.4">
      <c r="AS7543" s="20"/>
    </row>
    <row r="7544" spans="45:45" ht="14.4">
      <c r="AS7544" s="20"/>
    </row>
    <row r="7545" spans="45:45" ht="14.4">
      <c r="AS7545" s="20"/>
    </row>
    <row r="7546" spans="45:45" ht="14.4">
      <c r="AS7546" s="20"/>
    </row>
    <row r="7547" spans="45:45" ht="14.4">
      <c r="AS7547" s="20"/>
    </row>
    <row r="7548" spans="45:45" ht="14.4">
      <c r="AS7548" s="20"/>
    </row>
    <row r="7549" spans="45:45" ht="14.4">
      <c r="AS7549" s="20"/>
    </row>
    <row r="7550" spans="45:45" ht="14.4">
      <c r="AS7550" s="20"/>
    </row>
    <row r="7551" spans="45:45" ht="14.4">
      <c r="AS7551" s="20"/>
    </row>
    <row r="7552" spans="45:45" ht="14.4">
      <c r="AS7552" s="20"/>
    </row>
    <row r="7553" spans="45:45" ht="14.4">
      <c r="AS7553" s="20"/>
    </row>
    <row r="7554" spans="45:45" ht="14.4">
      <c r="AS7554" s="20"/>
    </row>
    <row r="7555" spans="45:45" ht="14.4">
      <c r="AS7555" s="20"/>
    </row>
    <row r="7556" spans="45:45" ht="14.4">
      <c r="AS7556" s="20"/>
    </row>
    <row r="7557" spans="45:45" ht="14.4">
      <c r="AS7557" s="20"/>
    </row>
    <row r="7558" spans="45:45" ht="14.4">
      <c r="AS7558" s="20"/>
    </row>
    <row r="7559" spans="45:45" ht="14.4">
      <c r="AS7559" s="20"/>
    </row>
    <row r="7560" spans="45:45" ht="14.4">
      <c r="AS7560" s="20"/>
    </row>
    <row r="7561" spans="45:45" ht="14.4">
      <c r="AS7561" s="20"/>
    </row>
    <row r="7562" spans="45:45" ht="14.4">
      <c r="AS7562" s="20"/>
    </row>
    <row r="7563" spans="45:45" ht="14.4">
      <c r="AS7563" s="20"/>
    </row>
    <row r="7564" spans="45:45" ht="14.4">
      <c r="AS7564" s="20"/>
    </row>
    <row r="7565" spans="45:45" ht="14.4">
      <c r="AS7565" s="20"/>
    </row>
    <row r="7566" spans="45:45" ht="14.4">
      <c r="AS7566" s="20"/>
    </row>
    <row r="7567" spans="45:45" ht="14.4">
      <c r="AS7567" s="20"/>
    </row>
    <row r="7568" spans="45:45" ht="14.4">
      <c r="AS7568" s="20"/>
    </row>
    <row r="7569" spans="45:45" ht="14.4">
      <c r="AS7569" s="20"/>
    </row>
    <row r="7570" spans="45:45" ht="14.4">
      <c r="AS7570" s="20"/>
    </row>
    <row r="7571" spans="45:45" ht="14.4">
      <c r="AS7571" s="20"/>
    </row>
    <row r="7572" spans="45:45" ht="14.4">
      <c r="AS7572" s="20"/>
    </row>
    <row r="7573" spans="45:45" ht="14.4">
      <c r="AS7573" s="20"/>
    </row>
    <row r="7574" spans="45:45" ht="14.4">
      <c r="AS7574" s="20"/>
    </row>
    <row r="7575" spans="45:45" ht="14.4">
      <c r="AS7575" s="20"/>
    </row>
    <row r="7576" spans="45:45" ht="14.4">
      <c r="AS7576" s="20"/>
    </row>
    <row r="7577" spans="45:45" ht="14.4">
      <c r="AS7577" s="20"/>
    </row>
    <row r="7578" spans="45:45" ht="14.4">
      <c r="AS7578" s="20"/>
    </row>
    <row r="7579" spans="45:45" ht="14.4">
      <c r="AS7579" s="20"/>
    </row>
    <row r="7580" spans="45:45" ht="14.4">
      <c r="AS7580" s="20"/>
    </row>
    <row r="7581" spans="45:45" ht="14.4">
      <c r="AS7581" s="20"/>
    </row>
    <row r="7582" spans="45:45" ht="14.4">
      <c r="AS7582" s="20"/>
    </row>
    <row r="7583" spans="45:45" ht="14.4">
      <c r="AS7583" s="20"/>
    </row>
    <row r="7584" spans="45:45" ht="14.4">
      <c r="AS7584" s="20"/>
    </row>
    <row r="7585" spans="45:45" ht="14.4">
      <c r="AS7585" s="20"/>
    </row>
    <row r="7586" spans="45:45" ht="14.4">
      <c r="AS7586" s="20"/>
    </row>
    <row r="7587" spans="45:45" ht="14.4">
      <c r="AS7587" s="20"/>
    </row>
    <row r="7588" spans="45:45" ht="14.4">
      <c r="AS7588" s="20"/>
    </row>
    <row r="7589" spans="45:45" ht="14.4">
      <c r="AS7589" s="20"/>
    </row>
    <row r="7590" spans="45:45" ht="14.4">
      <c r="AS7590" s="20"/>
    </row>
    <row r="7591" spans="45:45" ht="14.4">
      <c r="AS7591" s="20"/>
    </row>
    <row r="7592" spans="45:45" ht="14.4">
      <c r="AS7592" s="20"/>
    </row>
    <row r="7593" spans="45:45" ht="14.4">
      <c r="AS7593" s="20"/>
    </row>
    <row r="7594" spans="45:45" ht="14.4">
      <c r="AS7594" s="20"/>
    </row>
    <row r="7595" spans="45:45" ht="14.4">
      <c r="AS7595" s="20"/>
    </row>
    <row r="7596" spans="45:45" ht="14.4">
      <c r="AS7596" s="20"/>
    </row>
    <row r="7597" spans="45:45" ht="14.4">
      <c r="AS7597" s="20"/>
    </row>
    <row r="7598" spans="45:45" ht="14.4">
      <c r="AS7598" s="20"/>
    </row>
    <row r="7599" spans="45:45" ht="14.4">
      <c r="AS7599" s="20"/>
    </row>
    <row r="7600" spans="45:45" ht="14.4">
      <c r="AS7600" s="20"/>
    </row>
    <row r="7601" spans="45:45" ht="14.4">
      <c r="AS7601" s="20"/>
    </row>
    <row r="7602" spans="45:45" ht="14.4">
      <c r="AS7602" s="20"/>
    </row>
    <row r="7603" spans="45:45" ht="14.4">
      <c r="AS7603" s="20"/>
    </row>
    <row r="7604" spans="45:45" ht="14.4">
      <c r="AS7604" s="20"/>
    </row>
    <row r="7605" spans="45:45" ht="14.4">
      <c r="AS7605" s="20"/>
    </row>
    <row r="7606" spans="45:45" ht="14.4">
      <c r="AS7606" s="20"/>
    </row>
    <row r="7607" spans="45:45" ht="14.4">
      <c r="AS7607" s="20"/>
    </row>
    <row r="7608" spans="45:45" ht="14.4">
      <c r="AS7608" s="20"/>
    </row>
    <row r="7609" spans="45:45" ht="14.4">
      <c r="AS7609" s="20"/>
    </row>
    <row r="7610" spans="45:45" ht="14.4">
      <c r="AS7610" s="20"/>
    </row>
    <row r="7611" spans="45:45" ht="14.4">
      <c r="AS7611" s="20"/>
    </row>
    <row r="7612" spans="45:45" ht="14.4">
      <c r="AS7612" s="20"/>
    </row>
    <row r="7613" spans="45:45" ht="14.4">
      <c r="AS7613" s="20"/>
    </row>
    <row r="7614" spans="45:45" ht="14.4">
      <c r="AS7614" s="20"/>
    </row>
    <row r="7615" spans="45:45" ht="14.4">
      <c r="AS7615" s="20"/>
    </row>
    <row r="7616" spans="45:45" ht="14.4">
      <c r="AS7616" s="20"/>
    </row>
    <row r="7617" spans="45:45" ht="14.4">
      <c r="AS7617" s="20"/>
    </row>
    <row r="7618" spans="45:45" ht="14.4">
      <c r="AS7618" s="20"/>
    </row>
    <row r="7619" spans="45:45" ht="14.4">
      <c r="AS7619" s="20"/>
    </row>
    <row r="7620" spans="45:45" ht="14.4">
      <c r="AS7620" s="20"/>
    </row>
    <row r="7621" spans="45:45" ht="14.4">
      <c r="AS7621" s="20"/>
    </row>
    <row r="7622" spans="45:45" ht="14.4">
      <c r="AS7622" s="20"/>
    </row>
    <row r="7623" spans="45:45" ht="14.4">
      <c r="AS7623" s="20"/>
    </row>
    <row r="7624" spans="45:45" ht="14.4">
      <c r="AS7624" s="20"/>
    </row>
    <row r="7625" spans="45:45" ht="14.4">
      <c r="AS7625" s="20"/>
    </row>
    <row r="7626" spans="45:45" ht="14.4">
      <c r="AS7626" s="20"/>
    </row>
    <row r="7627" spans="45:45" ht="14.4">
      <c r="AS7627" s="20"/>
    </row>
    <row r="7628" spans="45:45" ht="14.4">
      <c r="AS7628" s="20"/>
    </row>
    <row r="7629" spans="45:45" ht="14.4">
      <c r="AS7629" s="20"/>
    </row>
    <row r="7630" spans="45:45" ht="14.4">
      <c r="AS7630" s="20"/>
    </row>
    <row r="7631" spans="45:45" ht="14.4">
      <c r="AS7631" s="20"/>
    </row>
    <row r="7632" spans="45:45" ht="14.4">
      <c r="AS7632" s="20"/>
    </row>
    <row r="7633" spans="45:45" ht="14.4">
      <c r="AS7633" s="20"/>
    </row>
    <row r="7634" spans="45:45" ht="14.4">
      <c r="AS7634" s="20"/>
    </row>
    <row r="7635" spans="45:45" ht="14.4">
      <c r="AS7635" s="20"/>
    </row>
    <row r="7636" spans="45:45" ht="14.4">
      <c r="AS7636" s="20"/>
    </row>
    <row r="7637" spans="45:45" ht="14.4">
      <c r="AS7637" s="20"/>
    </row>
    <row r="7638" spans="45:45" ht="14.4">
      <c r="AS7638" s="20"/>
    </row>
    <row r="7639" spans="45:45" ht="14.4">
      <c r="AS7639" s="20"/>
    </row>
    <row r="7640" spans="45:45" ht="14.4">
      <c r="AS7640" s="20"/>
    </row>
    <row r="7641" spans="45:45" ht="14.4">
      <c r="AS7641" s="20"/>
    </row>
    <row r="7642" spans="45:45" ht="14.4">
      <c r="AS7642" s="20"/>
    </row>
    <row r="7643" spans="45:45" ht="14.4">
      <c r="AS7643" s="20"/>
    </row>
    <row r="7644" spans="45:45" ht="14.4">
      <c r="AS7644" s="20"/>
    </row>
    <row r="7645" spans="45:45" ht="14.4">
      <c r="AS7645" s="20"/>
    </row>
    <row r="7646" spans="45:45" ht="14.4">
      <c r="AS7646" s="20"/>
    </row>
    <row r="7647" spans="45:45" ht="14.4">
      <c r="AS7647" s="20"/>
    </row>
    <row r="7648" spans="45:45" ht="14.4">
      <c r="AS7648" s="20"/>
    </row>
    <row r="7649" spans="45:45" ht="14.4">
      <c r="AS7649" s="20"/>
    </row>
    <row r="7650" spans="45:45" ht="14.4">
      <c r="AS7650" s="20"/>
    </row>
    <row r="7651" spans="45:45" ht="14.4">
      <c r="AS7651" s="20"/>
    </row>
    <row r="7652" spans="45:45" ht="14.4">
      <c r="AS7652" s="20"/>
    </row>
    <row r="7653" spans="45:45" ht="14.4">
      <c r="AS7653" s="20"/>
    </row>
    <row r="7654" spans="45:45" ht="14.4">
      <c r="AS7654" s="20"/>
    </row>
    <row r="7655" spans="45:45" ht="14.4">
      <c r="AS7655" s="20"/>
    </row>
    <row r="7656" spans="45:45" ht="14.4">
      <c r="AS7656" s="20"/>
    </row>
    <row r="7657" spans="45:45" ht="14.4">
      <c r="AS7657" s="20"/>
    </row>
    <row r="7658" spans="45:45" ht="14.4">
      <c r="AS7658" s="20"/>
    </row>
    <row r="7659" spans="45:45" ht="14.4">
      <c r="AS7659" s="20"/>
    </row>
    <row r="7660" spans="45:45" ht="14.4">
      <c r="AS7660" s="20"/>
    </row>
    <row r="7661" spans="45:45" ht="14.4">
      <c r="AS7661" s="20"/>
    </row>
    <row r="7662" spans="45:45" ht="14.4">
      <c r="AS7662" s="20"/>
    </row>
    <row r="7663" spans="45:45" ht="14.4">
      <c r="AS7663" s="20"/>
    </row>
    <row r="7664" spans="45:45" ht="14.4">
      <c r="AS7664" s="20"/>
    </row>
    <row r="7665" spans="45:45" ht="14.4">
      <c r="AS7665" s="20"/>
    </row>
    <row r="7666" spans="45:45" ht="14.4">
      <c r="AS7666" s="20"/>
    </row>
    <row r="7667" spans="45:45" ht="14.4">
      <c r="AS7667" s="20"/>
    </row>
    <row r="7668" spans="45:45" ht="14.4">
      <c r="AS7668" s="20"/>
    </row>
    <row r="7669" spans="45:45" ht="14.4">
      <c r="AS7669" s="20"/>
    </row>
    <row r="7670" spans="45:45" ht="14.4">
      <c r="AS7670" s="20"/>
    </row>
    <row r="7671" spans="45:45" ht="14.4">
      <c r="AS7671" s="20"/>
    </row>
    <row r="7672" spans="45:45" ht="14.4">
      <c r="AS7672" s="20"/>
    </row>
    <row r="7673" spans="45:45" ht="14.4">
      <c r="AS7673" s="20"/>
    </row>
    <row r="7674" spans="45:45" ht="14.4">
      <c r="AS7674" s="20"/>
    </row>
    <row r="7675" spans="45:45" ht="14.4">
      <c r="AS7675" s="20"/>
    </row>
    <row r="7676" spans="45:45" ht="14.4">
      <c r="AS7676" s="20"/>
    </row>
    <row r="7677" spans="45:45" ht="14.4">
      <c r="AS7677" s="20"/>
    </row>
    <row r="7678" spans="45:45" ht="14.4">
      <c r="AS7678" s="20"/>
    </row>
    <row r="7679" spans="45:45" ht="14.4">
      <c r="AS7679" s="20"/>
    </row>
    <row r="7680" spans="45:45" ht="14.4">
      <c r="AS7680" s="20"/>
    </row>
    <row r="7681" spans="45:45" ht="14.4">
      <c r="AS7681" s="20"/>
    </row>
    <row r="7682" spans="45:45" ht="14.4">
      <c r="AS7682" s="20"/>
    </row>
    <row r="7683" spans="45:45" ht="14.4">
      <c r="AS7683" s="20"/>
    </row>
    <row r="7684" spans="45:45" ht="14.4">
      <c r="AS7684" s="20"/>
    </row>
    <row r="7685" spans="45:45" ht="14.4">
      <c r="AS7685" s="20"/>
    </row>
    <row r="7686" spans="45:45" ht="14.4">
      <c r="AS7686" s="20"/>
    </row>
    <row r="7687" spans="45:45" ht="14.4">
      <c r="AS7687" s="20"/>
    </row>
    <row r="7688" spans="45:45" ht="14.4">
      <c r="AS7688" s="20"/>
    </row>
    <row r="7689" spans="45:45" ht="14.4">
      <c r="AS7689" s="20"/>
    </row>
    <row r="7690" spans="45:45" ht="14.4">
      <c r="AS7690" s="20"/>
    </row>
    <row r="7691" spans="45:45" ht="14.4">
      <c r="AS7691" s="20"/>
    </row>
    <row r="7692" spans="45:45" ht="14.4">
      <c r="AS7692" s="20"/>
    </row>
    <row r="7693" spans="45:45" ht="14.4">
      <c r="AS7693" s="20"/>
    </row>
    <row r="7694" spans="45:45" ht="14.4">
      <c r="AS7694" s="20"/>
    </row>
    <row r="7695" spans="45:45" ht="14.4">
      <c r="AS7695" s="20"/>
    </row>
    <row r="7696" spans="45:45" ht="14.4">
      <c r="AS7696" s="20"/>
    </row>
    <row r="7697" spans="45:45" ht="14.4">
      <c r="AS7697" s="20"/>
    </row>
    <row r="7698" spans="45:45" ht="14.4">
      <c r="AS7698" s="20"/>
    </row>
    <row r="7699" spans="45:45" ht="14.4">
      <c r="AS7699" s="20"/>
    </row>
    <row r="7700" spans="45:45" ht="14.4">
      <c r="AS7700" s="20"/>
    </row>
    <row r="7701" spans="45:45" ht="14.4">
      <c r="AS7701" s="20"/>
    </row>
    <row r="7702" spans="45:45" ht="14.4">
      <c r="AS7702" s="20"/>
    </row>
    <row r="7703" spans="45:45" ht="14.4">
      <c r="AS7703" s="20"/>
    </row>
    <row r="7704" spans="45:45" ht="14.4">
      <c r="AS7704" s="20"/>
    </row>
    <row r="7705" spans="45:45" ht="14.4">
      <c r="AS7705" s="20"/>
    </row>
    <row r="7706" spans="45:45" ht="14.4">
      <c r="AS7706" s="20"/>
    </row>
    <row r="7707" spans="45:45" ht="14.4">
      <c r="AS7707" s="20"/>
    </row>
    <row r="7708" spans="45:45" ht="14.4">
      <c r="AS7708" s="20"/>
    </row>
    <row r="7709" spans="45:45" ht="14.4">
      <c r="AS7709" s="20"/>
    </row>
    <row r="7710" spans="45:45" ht="14.4">
      <c r="AS7710" s="20"/>
    </row>
    <row r="7711" spans="45:45" ht="14.4">
      <c r="AS7711" s="20"/>
    </row>
    <row r="7712" spans="45:45" ht="14.4">
      <c r="AS7712" s="20"/>
    </row>
    <row r="7713" spans="45:45" ht="14.4">
      <c r="AS7713" s="20"/>
    </row>
    <row r="7714" spans="45:45" ht="14.4">
      <c r="AS7714" s="20"/>
    </row>
    <row r="7715" spans="45:45" ht="14.4">
      <c r="AS7715" s="20"/>
    </row>
    <row r="7716" spans="45:45" ht="14.4">
      <c r="AS7716" s="20"/>
    </row>
    <row r="7717" spans="45:45" ht="14.4">
      <c r="AS7717" s="20"/>
    </row>
    <row r="7718" spans="45:45" ht="14.4">
      <c r="AS7718" s="20"/>
    </row>
    <row r="7719" spans="45:45" ht="14.4">
      <c r="AS7719" s="20"/>
    </row>
    <row r="7720" spans="45:45" ht="14.4">
      <c r="AS7720" s="20"/>
    </row>
    <row r="7721" spans="45:45" ht="14.4">
      <c r="AS7721" s="20"/>
    </row>
    <row r="7722" spans="45:45" ht="14.4">
      <c r="AS7722" s="20"/>
    </row>
    <row r="7723" spans="45:45" ht="14.4">
      <c r="AS7723" s="20"/>
    </row>
    <row r="7724" spans="45:45" ht="14.4">
      <c r="AS7724" s="20"/>
    </row>
    <row r="7725" spans="45:45" ht="14.4">
      <c r="AS7725" s="20"/>
    </row>
    <row r="7726" spans="45:45" ht="14.4">
      <c r="AS7726" s="20"/>
    </row>
    <row r="7727" spans="45:45" ht="14.4">
      <c r="AS7727" s="20"/>
    </row>
    <row r="7728" spans="45:45" ht="14.4">
      <c r="AS7728" s="20"/>
    </row>
    <row r="7729" spans="45:45" ht="14.4">
      <c r="AS7729" s="20"/>
    </row>
    <row r="7730" spans="45:45" ht="14.4">
      <c r="AS7730" s="20"/>
    </row>
    <row r="7731" spans="45:45" ht="14.4">
      <c r="AS7731" s="20"/>
    </row>
    <row r="7732" spans="45:45" ht="14.4">
      <c r="AS7732" s="20"/>
    </row>
    <row r="7733" spans="45:45" ht="14.4">
      <c r="AS7733" s="20"/>
    </row>
    <row r="7734" spans="45:45" ht="14.4">
      <c r="AS7734" s="20"/>
    </row>
    <row r="7735" spans="45:45" ht="14.4">
      <c r="AS7735" s="20"/>
    </row>
    <row r="7736" spans="45:45" ht="14.4">
      <c r="AS7736" s="20"/>
    </row>
    <row r="7737" spans="45:45" ht="14.4">
      <c r="AS7737" s="20"/>
    </row>
    <row r="7738" spans="45:45" ht="14.4">
      <c r="AS7738" s="20"/>
    </row>
    <row r="7739" spans="45:45" ht="14.4">
      <c r="AS7739" s="20"/>
    </row>
    <row r="7740" spans="45:45" ht="14.4">
      <c r="AS7740" s="20"/>
    </row>
    <row r="7741" spans="45:45" ht="14.4">
      <c r="AS7741" s="20"/>
    </row>
    <row r="7742" spans="45:45" ht="14.4">
      <c r="AS7742" s="20"/>
    </row>
    <row r="7743" spans="45:45" ht="14.4">
      <c r="AS7743" s="20"/>
    </row>
    <row r="7744" spans="45:45" ht="14.4">
      <c r="AS7744" s="20"/>
    </row>
    <row r="7745" spans="45:45" ht="14.4">
      <c r="AS7745" s="20"/>
    </row>
    <row r="7746" spans="45:45" ht="14.4">
      <c r="AS7746" s="20"/>
    </row>
    <row r="7747" spans="45:45" ht="14.4">
      <c r="AS7747" s="20"/>
    </row>
    <row r="7748" spans="45:45" ht="14.4">
      <c r="AS7748" s="20"/>
    </row>
    <row r="7749" spans="45:45" ht="14.4">
      <c r="AS7749" s="20"/>
    </row>
    <row r="7750" spans="45:45" ht="14.4">
      <c r="AS7750" s="20"/>
    </row>
    <row r="7751" spans="45:45" ht="14.4">
      <c r="AS7751" s="20"/>
    </row>
    <row r="7752" spans="45:45" ht="14.4">
      <c r="AS7752" s="20"/>
    </row>
    <row r="7753" spans="45:45" ht="14.4">
      <c r="AS7753" s="20"/>
    </row>
    <row r="7754" spans="45:45" ht="14.4">
      <c r="AS7754" s="20"/>
    </row>
    <row r="7755" spans="45:45" ht="14.4">
      <c r="AS7755" s="20"/>
    </row>
    <row r="7756" spans="45:45" ht="14.4">
      <c r="AS7756" s="20"/>
    </row>
    <row r="7757" spans="45:45" ht="14.4">
      <c r="AS7757" s="20"/>
    </row>
    <row r="7758" spans="45:45" ht="14.4">
      <c r="AS7758" s="20"/>
    </row>
    <row r="7759" spans="45:45" ht="14.4">
      <c r="AS7759" s="20"/>
    </row>
    <row r="7760" spans="45:45" ht="14.4">
      <c r="AS7760" s="20"/>
    </row>
    <row r="7761" spans="45:45" ht="14.4">
      <c r="AS7761" s="20"/>
    </row>
    <row r="7762" spans="45:45" ht="14.4">
      <c r="AS7762" s="20"/>
    </row>
    <row r="7763" spans="45:45" ht="14.4">
      <c r="AS7763" s="20"/>
    </row>
    <row r="7764" spans="45:45" ht="14.4">
      <c r="AS7764" s="20"/>
    </row>
    <row r="7765" spans="45:45" ht="14.4">
      <c r="AS7765" s="20"/>
    </row>
    <row r="7766" spans="45:45" ht="14.4">
      <c r="AS7766" s="20"/>
    </row>
    <row r="7767" spans="45:45" ht="14.4">
      <c r="AS7767" s="20"/>
    </row>
    <row r="7768" spans="45:45" ht="14.4">
      <c r="AS7768" s="20"/>
    </row>
    <row r="7769" spans="45:45" ht="14.4">
      <c r="AS7769" s="20"/>
    </row>
    <row r="7770" spans="45:45" ht="14.4">
      <c r="AS7770" s="20"/>
    </row>
    <row r="7771" spans="45:45" ht="14.4">
      <c r="AS7771" s="20"/>
    </row>
    <row r="7772" spans="45:45" ht="14.4">
      <c r="AS7772" s="20"/>
    </row>
    <row r="7773" spans="45:45" ht="14.4">
      <c r="AS7773" s="20"/>
    </row>
    <row r="7774" spans="45:45" ht="14.4">
      <c r="AS7774" s="20"/>
    </row>
    <row r="7775" spans="45:45" ht="14.4">
      <c r="AS7775" s="20"/>
    </row>
    <row r="7776" spans="45:45" ht="14.4">
      <c r="AS7776" s="20"/>
    </row>
    <row r="7777" spans="45:45" ht="14.4">
      <c r="AS7777" s="20"/>
    </row>
    <row r="7778" spans="45:45" ht="14.4">
      <c r="AS7778" s="20"/>
    </row>
    <row r="7779" spans="45:45" ht="14.4">
      <c r="AS7779" s="20"/>
    </row>
    <row r="7780" spans="45:45" ht="14.4">
      <c r="AS7780" s="20"/>
    </row>
    <row r="7781" spans="45:45" ht="14.4">
      <c r="AS7781" s="20"/>
    </row>
    <row r="7782" spans="45:45" ht="14.4">
      <c r="AS7782" s="20"/>
    </row>
    <row r="7783" spans="45:45" ht="14.4">
      <c r="AS7783" s="20"/>
    </row>
    <row r="7784" spans="45:45" ht="14.4">
      <c r="AS7784" s="20"/>
    </row>
    <row r="7785" spans="45:45" ht="14.4">
      <c r="AS7785" s="20"/>
    </row>
    <row r="7786" spans="45:45" ht="14.4">
      <c r="AS7786" s="20"/>
    </row>
    <row r="7787" spans="45:45" ht="14.4">
      <c r="AS7787" s="20"/>
    </row>
    <row r="7788" spans="45:45" ht="14.4">
      <c r="AS7788" s="20"/>
    </row>
    <row r="7789" spans="45:45" ht="14.4">
      <c r="AS7789" s="20"/>
    </row>
    <row r="7790" spans="45:45" ht="14.4">
      <c r="AS7790" s="20"/>
    </row>
    <row r="7791" spans="45:45" ht="14.4">
      <c r="AS7791" s="20"/>
    </row>
    <row r="7792" spans="45:45" ht="14.4">
      <c r="AS7792" s="20"/>
    </row>
    <row r="7793" spans="45:45" ht="14.4">
      <c r="AS7793" s="20"/>
    </row>
    <row r="7794" spans="45:45" ht="14.4">
      <c r="AS7794" s="20"/>
    </row>
    <row r="7795" spans="45:45" ht="14.4">
      <c r="AS7795" s="20"/>
    </row>
    <row r="7796" spans="45:45" ht="14.4">
      <c r="AS7796" s="20"/>
    </row>
    <row r="7797" spans="45:45" ht="14.4">
      <c r="AS7797" s="20"/>
    </row>
    <row r="7798" spans="45:45" ht="14.4">
      <c r="AS7798" s="20"/>
    </row>
    <row r="7799" spans="45:45" ht="14.4">
      <c r="AS7799" s="20"/>
    </row>
    <row r="7800" spans="45:45" ht="14.4">
      <c r="AS7800" s="20"/>
    </row>
    <row r="7801" spans="45:45" ht="14.4">
      <c r="AS7801" s="20"/>
    </row>
    <row r="7802" spans="45:45" ht="14.4">
      <c r="AS7802" s="20"/>
    </row>
    <row r="7803" spans="45:45" ht="14.4">
      <c r="AS7803" s="20"/>
    </row>
    <row r="7804" spans="45:45" ht="14.4">
      <c r="AS7804" s="20"/>
    </row>
    <row r="7805" spans="45:45" ht="14.4">
      <c r="AS7805" s="20"/>
    </row>
    <row r="7806" spans="45:45" ht="14.4">
      <c r="AS7806" s="20"/>
    </row>
    <row r="7807" spans="45:45" ht="14.4">
      <c r="AS7807" s="20"/>
    </row>
    <row r="7808" spans="45:45" ht="14.4">
      <c r="AS7808" s="20"/>
    </row>
    <row r="7809" spans="45:45" ht="14.4">
      <c r="AS7809" s="20"/>
    </row>
    <row r="7810" spans="45:45" ht="14.4">
      <c r="AS7810" s="20"/>
    </row>
    <row r="7811" spans="45:45" ht="14.4">
      <c r="AS7811" s="20"/>
    </row>
    <row r="7812" spans="45:45" ht="14.4">
      <c r="AS7812" s="20"/>
    </row>
    <row r="7813" spans="45:45" ht="14.4">
      <c r="AS7813" s="20"/>
    </row>
    <row r="7814" spans="45:45" ht="14.4">
      <c r="AS7814" s="20"/>
    </row>
    <row r="7815" spans="45:45" ht="14.4">
      <c r="AS7815" s="20"/>
    </row>
    <row r="7816" spans="45:45" ht="14.4">
      <c r="AS7816" s="20"/>
    </row>
    <row r="7817" spans="45:45" ht="14.4">
      <c r="AS7817" s="20"/>
    </row>
    <row r="7818" spans="45:45" ht="14.4">
      <c r="AS7818" s="20"/>
    </row>
    <row r="7819" spans="45:45" ht="14.4">
      <c r="AS7819" s="20"/>
    </row>
    <row r="7820" spans="45:45" ht="14.4">
      <c r="AS7820" s="20"/>
    </row>
    <row r="7821" spans="45:45" ht="14.4">
      <c r="AS7821" s="20"/>
    </row>
    <row r="7822" spans="45:45" ht="14.4">
      <c r="AS7822" s="20"/>
    </row>
    <row r="7823" spans="45:45" ht="14.4">
      <c r="AS7823" s="20"/>
    </row>
    <row r="7824" spans="45:45" ht="14.4">
      <c r="AS7824" s="20"/>
    </row>
    <row r="7825" spans="45:45" ht="14.4">
      <c r="AS7825" s="20"/>
    </row>
    <row r="7826" spans="45:45" ht="14.4">
      <c r="AS7826" s="20"/>
    </row>
    <row r="7827" spans="45:45" ht="14.4">
      <c r="AS7827" s="20"/>
    </row>
    <row r="7828" spans="45:45" ht="14.4">
      <c r="AS7828" s="20"/>
    </row>
    <row r="7829" spans="45:45" ht="14.4">
      <c r="AS7829" s="20"/>
    </row>
    <row r="7830" spans="45:45" ht="14.4">
      <c r="AS7830" s="20"/>
    </row>
    <row r="7831" spans="45:45" ht="14.4">
      <c r="AS7831" s="20"/>
    </row>
    <row r="7832" spans="45:45" ht="14.4">
      <c r="AS7832" s="20"/>
    </row>
    <row r="7833" spans="45:45" ht="14.4">
      <c r="AS7833" s="20"/>
    </row>
    <row r="7834" spans="45:45" ht="14.4">
      <c r="AS7834" s="20"/>
    </row>
    <row r="7835" spans="45:45" ht="14.4">
      <c r="AS7835" s="20"/>
    </row>
    <row r="7836" spans="45:45" ht="14.4">
      <c r="AS7836" s="20"/>
    </row>
    <row r="7837" spans="45:45" ht="14.4">
      <c r="AS7837" s="20"/>
    </row>
    <row r="7838" spans="45:45" ht="14.4">
      <c r="AS7838" s="20"/>
    </row>
    <row r="7839" spans="45:45" ht="14.4">
      <c r="AS7839" s="20"/>
    </row>
    <row r="7840" spans="45:45" ht="14.4">
      <c r="AS7840" s="20"/>
    </row>
    <row r="7841" spans="45:45" ht="14.4">
      <c r="AS7841" s="20"/>
    </row>
    <row r="7842" spans="45:45" ht="14.4">
      <c r="AS7842" s="20"/>
    </row>
    <row r="7843" spans="45:45" ht="14.4">
      <c r="AS7843" s="20"/>
    </row>
    <row r="7844" spans="45:45" ht="14.4">
      <c r="AS7844" s="20"/>
    </row>
    <row r="7845" spans="45:45" ht="14.4">
      <c r="AS7845" s="20"/>
    </row>
    <row r="7846" spans="45:45" ht="14.4">
      <c r="AS7846" s="20"/>
    </row>
    <row r="7847" spans="45:45" ht="14.4">
      <c r="AS7847" s="20"/>
    </row>
    <row r="7848" spans="45:45" ht="14.4">
      <c r="AS7848" s="20"/>
    </row>
    <row r="7849" spans="45:45" ht="14.4">
      <c r="AS7849" s="20"/>
    </row>
    <row r="7850" spans="45:45" ht="14.4">
      <c r="AS7850" s="20"/>
    </row>
    <row r="7851" spans="45:45" ht="14.4">
      <c r="AS7851" s="20"/>
    </row>
    <row r="7852" spans="45:45" ht="14.4">
      <c r="AS7852" s="20"/>
    </row>
    <row r="7853" spans="45:45" ht="14.4">
      <c r="AS7853" s="20"/>
    </row>
    <row r="7854" spans="45:45" ht="14.4">
      <c r="AS7854" s="20"/>
    </row>
    <row r="7855" spans="45:45" ht="14.4">
      <c r="AS7855" s="20"/>
    </row>
    <row r="7856" spans="45:45" ht="14.4">
      <c r="AS7856" s="20"/>
    </row>
    <row r="7857" spans="45:45" ht="14.4">
      <c r="AS7857" s="20"/>
    </row>
    <row r="7858" spans="45:45" ht="14.4">
      <c r="AS7858" s="20"/>
    </row>
    <row r="7859" spans="45:45" ht="14.4">
      <c r="AS7859" s="20"/>
    </row>
    <row r="7860" spans="45:45" ht="14.4">
      <c r="AS7860" s="20"/>
    </row>
    <row r="7861" spans="45:45" ht="14.4">
      <c r="AS7861" s="20"/>
    </row>
    <row r="7862" spans="45:45" ht="14.4">
      <c r="AS7862" s="20"/>
    </row>
    <row r="7863" spans="45:45" ht="14.4">
      <c r="AS7863" s="20"/>
    </row>
    <row r="7864" spans="45:45" ht="14.4">
      <c r="AS7864" s="20"/>
    </row>
    <row r="7865" spans="45:45" ht="14.4">
      <c r="AS7865" s="20"/>
    </row>
    <row r="7866" spans="45:45" ht="14.4">
      <c r="AS7866" s="20"/>
    </row>
    <row r="7867" spans="45:45" ht="14.4">
      <c r="AS7867" s="20"/>
    </row>
    <row r="7868" spans="45:45" ht="14.4">
      <c r="AS7868" s="20"/>
    </row>
    <row r="7869" spans="45:45" ht="14.4">
      <c r="AS7869" s="20"/>
    </row>
    <row r="7870" spans="45:45" ht="14.4">
      <c r="AS7870" s="20"/>
    </row>
    <row r="7871" spans="45:45" ht="14.4">
      <c r="AS7871" s="20"/>
    </row>
    <row r="7872" spans="45:45" ht="14.4">
      <c r="AS7872" s="20"/>
    </row>
    <row r="7873" spans="45:45" ht="14.4">
      <c r="AS7873" s="20"/>
    </row>
    <row r="7874" spans="45:45" ht="14.4">
      <c r="AS7874" s="20"/>
    </row>
    <row r="7875" spans="45:45" ht="14.4">
      <c r="AS7875" s="20"/>
    </row>
    <row r="7876" spans="45:45" ht="14.4">
      <c r="AS7876" s="20"/>
    </row>
    <row r="7877" spans="45:45" ht="14.4">
      <c r="AS7877" s="20"/>
    </row>
    <row r="7878" spans="45:45" ht="14.4">
      <c r="AS7878" s="20"/>
    </row>
    <row r="7879" spans="45:45" ht="14.4">
      <c r="AS7879" s="20"/>
    </row>
    <row r="7880" spans="45:45" ht="14.4">
      <c r="AS7880" s="20"/>
    </row>
    <row r="7881" spans="45:45" ht="14.4">
      <c r="AS7881" s="20"/>
    </row>
    <row r="7882" spans="45:45" ht="14.4">
      <c r="AS7882" s="20"/>
    </row>
    <row r="7883" spans="45:45" ht="14.4">
      <c r="AS7883" s="20"/>
    </row>
    <row r="7884" spans="45:45" ht="14.4">
      <c r="AS7884" s="20"/>
    </row>
    <row r="7885" spans="45:45" ht="14.4">
      <c r="AS7885" s="20"/>
    </row>
    <row r="7886" spans="45:45" ht="14.4">
      <c r="AS7886" s="20"/>
    </row>
    <row r="7887" spans="45:45" ht="14.4">
      <c r="AS7887" s="20"/>
    </row>
    <row r="7888" spans="45:45" ht="14.4">
      <c r="AS7888" s="20"/>
    </row>
    <row r="7889" spans="45:45" ht="14.4">
      <c r="AS7889" s="20"/>
    </row>
    <row r="7890" spans="45:45" ht="14.4">
      <c r="AS7890" s="20"/>
    </row>
    <row r="7891" spans="45:45" ht="14.4">
      <c r="AS7891" s="20"/>
    </row>
    <row r="7892" spans="45:45" ht="14.4">
      <c r="AS7892" s="20"/>
    </row>
    <row r="7893" spans="45:45" ht="14.4">
      <c r="AS7893" s="20"/>
    </row>
    <row r="7894" spans="45:45" ht="14.4">
      <c r="AS7894" s="20"/>
    </row>
    <row r="7895" spans="45:45" ht="14.4">
      <c r="AS7895" s="20"/>
    </row>
    <row r="7896" spans="45:45" ht="14.4">
      <c r="AS7896" s="20"/>
    </row>
    <row r="7897" spans="45:45" ht="14.4">
      <c r="AS7897" s="20"/>
    </row>
    <row r="7898" spans="45:45" ht="14.4">
      <c r="AS7898" s="20"/>
    </row>
    <row r="7899" spans="45:45" ht="14.4">
      <c r="AS7899" s="20"/>
    </row>
    <row r="7900" spans="45:45" ht="14.4">
      <c r="AS7900" s="20"/>
    </row>
    <row r="7901" spans="45:45" ht="14.4">
      <c r="AS7901" s="20"/>
    </row>
    <row r="7902" spans="45:45" ht="14.4">
      <c r="AS7902" s="20"/>
    </row>
    <row r="7903" spans="45:45" ht="14.4">
      <c r="AS7903" s="20"/>
    </row>
    <row r="7904" spans="45:45" ht="14.4">
      <c r="AS7904" s="20"/>
    </row>
    <row r="7905" spans="45:45" ht="14.4">
      <c r="AS7905" s="20"/>
    </row>
    <row r="7906" spans="45:45" ht="14.4">
      <c r="AS7906" s="20"/>
    </row>
    <row r="7907" spans="45:45" ht="14.4">
      <c r="AS7907" s="20"/>
    </row>
    <row r="7908" spans="45:45" ht="14.4">
      <c r="AS7908" s="20"/>
    </row>
    <row r="7909" spans="45:45" ht="14.4">
      <c r="AS7909" s="20"/>
    </row>
    <row r="7910" spans="45:45" ht="14.4">
      <c r="AS7910" s="20"/>
    </row>
    <row r="7911" spans="45:45" ht="14.4">
      <c r="AS7911" s="20"/>
    </row>
    <row r="7912" spans="45:45" ht="14.4">
      <c r="AS7912" s="20"/>
    </row>
    <row r="7913" spans="45:45" ht="14.4">
      <c r="AS7913" s="20"/>
    </row>
    <row r="7914" spans="45:45" ht="14.4">
      <c r="AS7914" s="20"/>
    </row>
    <row r="7915" spans="45:45" ht="14.4">
      <c r="AS7915" s="20"/>
    </row>
    <row r="7916" spans="45:45" ht="14.4">
      <c r="AS7916" s="20"/>
    </row>
    <row r="7917" spans="45:45" ht="14.4">
      <c r="AS7917" s="20"/>
    </row>
    <row r="7918" spans="45:45" ht="14.4">
      <c r="AS7918" s="20"/>
    </row>
    <row r="7919" spans="45:45" ht="14.4">
      <c r="AS7919" s="20"/>
    </row>
    <row r="7920" spans="45:45" ht="14.4">
      <c r="AS7920" s="20"/>
    </row>
    <row r="7921" spans="45:45" ht="14.4">
      <c r="AS7921" s="20"/>
    </row>
    <row r="7922" spans="45:45" ht="14.4">
      <c r="AS7922" s="20"/>
    </row>
    <row r="7923" spans="45:45" ht="14.4">
      <c r="AS7923" s="20"/>
    </row>
    <row r="7924" spans="45:45" ht="14.4">
      <c r="AS7924" s="20"/>
    </row>
    <row r="7925" spans="45:45" ht="14.4">
      <c r="AS7925" s="20"/>
    </row>
    <row r="7926" spans="45:45" ht="14.4">
      <c r="AS7926" s="20"/>
    </row>
    <row r="7927" spans="45:45" ht="14.4">
      <c r="AS7927" s="20"/>
    </row>
    <row r="7928" spans="45:45" ht="14.4">
      <c r="AS7928" s="20"/>
    </row>
    <row r="7929" spans="45:45" ht="14.4">
      <c r="AS7929" s="20"/>
    </row>
    <row r="7930" spans="45:45" ht="14.4">
      <c r="AS7930" s="20"/>
    </row>
    <row r="7931" spans="45:45" ht="14.4">
      <c r="AS7931" s="20"/>
    </row>
    <row r="7932" spans="45:45" ht="14.4">
      <c r="AS7932" s="20"/>
    </row>
    <row r="7933" spans="45:45" ht="14.4">
      <c r="AS7933" s="20"/>
    </row>
    <row r="7934" spans="45:45" ht="14.4">
      <c r="AS7934" s="20"/>
    </row>
    <row r="7935" spans="45:45" ht="14.4">
      <c r="AS7935" s="20"/>
    </row>
    <row r="7936" spans="45:45" ht="14.4">
      <c r="AS7936" s="20"/>
    </row>
    <row r="7937" spans="45:45" ht="14.4">
      <c r="AS7937" s="20"/>
    </row>
    <row r="7938" spans="45:45" ht="14.4">
      <c r="AS7938" s="20"/>
    </row>
    <row r="7939" spans="45:45" ht="14.4">
      <c r="AS7939" s="20"/>
    </row>
    <row r="7940" spans="45:45" ht="14.4">
      <c r="AS7940" s="20"/>
    </row>
    <row r="7941" spans="45:45" ht="14.4">
      <c r="AS7941" s="20"/>
    </row>
    <row r="7942" spans="45:45" ht="14.4">
      <c r="AS7942" s="20"/>
    </row>
    <row r="7943" spans="45:45" ht="14.4">
      <c r="AS7943" s="20"/>
    </row>
    <row r="7944" spans="45:45" ht="14.4">
      <c r="AS7944" s="20"/>
    </row>
    <row r="7945" spans="45:45" ht="14.4">
      <c r="AS7945" s="20"/>
    </row>
    <row r="7946" spans="45:45" ht="14.4">
      <c r="AS7946" s="20"/>
    </row>
    <row r="7947" spans="45:45" ht="14.4">
      <c r="AS7947" s="20"/>
    </row>
    <row r="7948" spans="45:45" ht="14.4">
      <c r="AS7948" s="20"/>
    </row>
    <row r="7949" spans="45:45" ht="14.4">
      <c r="AS7949" s="20"/>
    </row>
    <row r="7950" spans="45:45" ht="14.4">
      <c r="AS7950" s="20"/>
    </row>
    <row r="7951" spans="45:45" ht="14.4">
      <c r="AS7951" s="20"/>
    </row>
    <row r="7952" spans="45:45" ht="14.4">
      <c r="AS7952" s="20"/>
    </row>
    <row r="7953" spans="45:45" ht="14.4">
      <c r="AS7953" s="20"/>
    </row>
    <row r="7954" spans="45:45" ht="14.4">
      <c r="AS7954" s="20"/>
    </row>
    <row r="7955" spans="45:45" ht="14.4">
      <c r="AS7955" s="20"/>
    </row>
    <row r="7956" spans="45:45" ht="14.4">
      <c r="AS7956" s="20"/>
    </row>
    <row r="7957" spans="45:45" ht="14.4">
      <c r="AS7957" s="20"/>
    </row>
    <row r="7958" spans="45:45" ht="14.4">
      <c r="AS7958" s="20"/>
    </row>
    <row r="7959" spans="45:45" ht="14.4">
      <c r="AS7959" s="20"/>
    </row>
    <row r="7960" spans="45:45" ht="14.4">
      <c r="AS7960" s="20"/>
    </row>
    <row r="7961" spans="45:45" ht="14.4">
      <c r="AS7961" s="20"/>
    </row>
    <row r="7962" spans="45:45" ht="14.4">
      <c r="AS7962" s="20"/>
    </row>
    <row r="7963" spans="45:45" ht="14.4">
      <c r="AS7963" s="20"/>
    </row>
    <row r="7964" spans="45:45" ht="14.4">
      <c r="AS7964" s="20"/>
    </row>
    <row r="7965" spans="45:45" ht="14.4">
      <c r="AS7965" s="20"/>
    </row>
    <row r="7966" spans="45:45" ht="14.4">
      <c r="AS7966" s="20"/>
    </row>
    <row r="7967" spans="45:45" ht="14.4">
      <c r="AS7967" s="20"/>
    </row>
    <row r="7968" spans="45:45" ht="14.4">
      <c r="AS7968" s="20"/>
    </row>
    <row r="7969" spans="45:45" ht="14.4">
      <c r="AS7969" s="20"/>
    </row>
    <row r="7970" spans="45:45" ht="14.4">
      <c r="AS7970" s="20"/>
    </row>
    <row r="7971" spans="45:45" ht="14.4">
      <c r="AS7971" s="20"/>
    </row>
    <row r="7972" spans="45:45" ht="14.4">
      <c r="AS7972" s="20"/>
    </row>
    <row r="7973" spans="45:45" ht="14.4">
      <c r="AS7973" s="20"/>
    </row>
    <row r="7974" spans="45:45" ht="14.4">
      <c r="AS7974" s="20"/>
    </row>
    <row r="7975" spans="45:45" ht="14.4">
      <c r="AS7975" s="20"/>
    </row>
    <row r="7976" spans="45:45" ht="14.4">
      <c r="AS7976" s="20"/>
    </row>
    <row r="7977" spans="45:45" ht="14.4">
      <c r="AS7977" s="20"/>
    </row>
    <row r="7978" spans="45:45" ht="14.4">
      <c r="AS7978" s="20"/>
    </row>
    <row r="7979" spans="45:45" ht="14.4">
      <c r="AS7979" s="20"/>
    </row>
    <row r="7980" spans="45:45" ht="14.4">
      <c r="AS7980" s="20"/>
    </row>
    <row r="7981" spans="45:45" ht="14.4">
      <c r="AS7981" s="20"/>
    </row>
    <row r="7982" spans="45:45" ht="14.4">
      <c r="AS7982" s="20"/>
    </row>
    <row r="7983" spans="45:45" ht="14.4">
      <c r="AS7983" s="20"/>
    </row>
    <row r="7984" spans="45:45" ht="14.4">
      <c r="AS7984" s="20"/>
    </row>
    <row r="7985" spans="45:45" ht="14.4">
      <c r="AS7985" s="20"/>
    </row>
    <row r="7986" spans="45:45" ht="14.4">
      <c r="AS7986" s="20"/>
    </row>
    <row r="7987" spans="45:45" ht="14.4">
      <c r="AS7987" s="20"/>
    </row>
    <row r="7988" spans="45:45" ht="14.4">
      <c r="AS7988" s="20"/>
    </row>
    <row r="7989" spans="45:45" ht="14.4">
      <c r="AS7989" s="20"/>
    </row>
    <row r="7990" spans="45:45" ht="14.4">
      <c r="AS7990" s="20"/>
    </row>
    <row r="7991" spans="45:45" ht="14.4">
      <c r="AS7991" s="20"/>
    </row>
    <row r="7992" spans="45:45" ht="14.4">
      <c r="AS7992" s="20"/>
    </row>
    <row r="7993" spans="45:45" ht="14.4">
      <c r="AS7993" s="20"/>
    </row>
    <row r="7994" spans="45:45" ht="14.4">
      <c r="AS7994" s="20"/>
    </row>
    <row r="7995" spans="45:45" ht="14.4">
      <c r="AS7995" s="20"/>
    </row>
    <row r="7996" spans="45:45" ht="14.4">
      <c r="AS7996" s="20"/>
    </row>
    <row r="7997" spans="45:45" ht="14.4">
      <c r="AS7997" s="20"/>
    </row>
    <row r="7998" spans="45:45" ht="14.4">
      <c r="AS7998" s="20"/>
    </row>
    <row r="7999" spans="45:45" ht="14.4">
      <c r="AS7999" s="20"/>
    </row>
    <row r="8000" spans="45:45" ht="14.4">
      <c r="AS8000" s="20"/>
    </row>
    <row r="8001" spans="45:45" ht="14.4">
      <c r="AS8001" s="20"/>
    </row>
    <row r="8002" spans="45:45" ht="14.4">
      <c r="AS8002" s="20"/>
    </row>
    <row r="8003" spans="45:45" ht="14.4">
      <c r="AS8003" s="20"/>
    </row>
    <row r="8004" spans="45:45" ht="14.4">
      <c r="AS8004" s="20"/>
    </row>
    <row r="8005" spans="45:45" ht="14.4">
      <c r="AS8005" s="20"/>
    </row>
    <row r="8006" spans="45:45" ht="14.4">
      <c r="AS8006" s="20"/>
    </row>
    <row r="8007" spans="45:45" ht="14.4">
      <c r="AS8007" s="20"/>
    </row>
    <row r="8008" spans="45:45" ht="14.4">
      <c r="AS8008" s="20"/>
    </row>
    <row r="8009" spans="45:45" ht="14.4">
      <c r="AS8009" s="20"/>
    </row>
    <row r="8010" spans="45:45" ht="14.4">
      <c r="AS8010" s="20"/>
    </row>
    <row r="8011" spans="45:45" ht="14.4">
      <c r="AS8011" s="20"/>
    </row>
    <row r="8012" spans="45:45" ht="14.4">
      <c r="AS8012" s="20"/>
    </row>
    <row r="8013" spans="45:45" ht="14.4">
      <c r="AS8013" s="20"/>
    </row>
    <row r="8014" spans="45:45" ht="14.4">
      <c r="AS8014" s="20"/>
    </row>
    <row r="8015" spans="45:45" ht="14.4">
      <c r="AS8015" s="20"/>
    </row>
    <row r="8016" spans="45:45" ht="14.4">
      <c r="AS8016" s="20"/>
    </row>
    <row r="8017" spans="45:45" ht="14.4">
      <c r="AS8017" s="20"/>
    </row>
    <row r="8018" spans="45:45" ht="14.4">
      <c r="AS8018" s="20"/>
    </row>
    <row r="8019" spans="45:45" ht="14.4">
      <c r="AS8019" s="20"/>
    </row>
    <row r="8020" spans="45:45" ht="14.4">
      <c r="AS8020" s="20"/>
    </row>
    <row r="8021" spans="45:45" ht="14.4">
      <c r="AS8021" s="20"/>
    </row>
    <row r="8022" spans="45:45" ht="14.4">
      <c r="AS8022" s="20"/>
    </row>
    <row r="8023" spans="45:45" ht="14.4">
      <c r="AS8023" s="20"/>
    </row>
    <row r="8024" spans="45:45" ht="14.4">
      <c r="AS8024" s="20"/>
    </row>
    <row r="8025" spans="45:45" ht="14.4">
      <c r="AS8025" s="20"/>
    </row>
    <row r="8026" spans="45:45" ht="14.4">
      <c r="AS8026" s="20"/>
    </row>
    <row r="8027" spans="45:45" ht="14.4">
      <c r="AS8027" s="20"/>
    </row>
    <row r="8028" spans="45:45" ht="14.4">
      <c r="AS8028" s="20"/>
    </row>
    <row r="8029" spans="45:45" ht="14.4">
      <c r="AS8029" s="20"/>
    </row>
    <row r="8030" spans="45:45" ht="14.4">
      <c r="AS8030" s="20"/>
    </row>
    <row r="8031" spans="45:45" ht="14.4">
      <c r="AS8031" s="20"/>
    </row>
    <row r="8032" spans="45:45" ht="14.4">
      <c r="AS8032" s="20"/>
    </row>
    <row r="8033" spans="45:45" ht="14.4">
      <c r="AS8033" s="20"/>
    </row>
    <row r="8034" spans="45:45" ht="14.4">
      <c r="AS8034" s="20"/>
    </row>
    <row r="8035" spans="45:45" ht="14.4">
      <c r="AS8035" s="20"/>
    </row>
    <row r="8036" spans="45:45" ht="14.4">
      <c r="AS8036" s="20"/>
    </row>
    <row r="8037" spans="45:45" ht="14.4">
      <c r="AS8037" s="20"/>
    </row>
    <row r="8038" spans="45:45" ht="14.4">
      <c r="AS8038" s="20"/>
    </row>
    <row r="8039" spans="45:45" ht="14.4">
      <c r="AS8039" s="20"/>
    </row>
    <row r="8040" spans="45:45" ht="14.4">
      <c r="AS8040" s="20"/>
    </row>
    <row r="8041" spans="45:45" ht="14.4">
      <c r="AS8041" s="20"/>
    </row>
    <row r="8042" spans="45:45" ht="14.4">
      <c r="AS8042" s="20"/>
    </row>
    <row r="8043" spans="45:45" ht="14.4">
      <c r="AS8043" s="20"/>
    </row>
    <row r="8044" spans="45:45" ht="14.4">
      <c r="AS8044" s="20"/>
    </row>
    <row r="8045" spans="45:45" ht="14.4">
      <c r="AS8045" s="20"/>
    </row>
    <row r="8046" spans="45:45" ht="14.4">
      <c r="AS8046" s="20"/>
    </row>
    <row r="8047" spans="45:45" ht="14.4">
      <c r="AS8047" s="20"/>
    </row>
    <row r="8048" spans="45:45" ht="14.4">
      <c r="AS8048" s="20"/>
    </row>
    <row r="8049" spans="45:45" ht="14.4">
      <c r="AS8049" s="20"/>
    </row>
    <row r="8050" spans="45:45" ht="14.4">
      <c r="AS8050" s="20"/>
    </row>
    <row r="8051" spans="45:45" ht="14.4">
      <c r="AS8051" s="20"/>
    </row>
    <row r="8052" spans="45:45" ht="14.4">
      <c r="AS8052" s="20"/>
    </row>
    <row r="8053" spans="45:45" ht="14.4">
      <c r="AS8053" s="20"/>
    </row>
    <row r="8054" spans="45:45" ht="14.4">
      <c r="AS8054" s="20"/>
    </row>
    <row r="8055" spans="45:45" ht="14.4">
      <c r="AS8055" s="20"/>
    </row>
    <row r="8056" spans="45:45" ht="14.4">
      <c r="AS8056" s="20"/>
    </row>
    <row r="8057" spans="45:45" ht="14.4">
      <c r="AS8057" s="20"/>
    </row>
    <row r="8058" spans="45:45" ht="14.4">
      <c r="AS8058" s="20"/>
    </row>
    <row r="8059" spans="45:45" ht="14.4">
      <c r="AS8059" s="20"/>
    </row>
    <row r="8060" spans="45:45" ht="14.4">
      <c r="AS8060" s="20"/>
    </row>
    <row r="8061" spans="45:45" ht="14.4">
      <c r="AS8061" s="20"/>
    </row>
    <row r="8062" spans="45:45" ht="14.4">
      <c r="AS8062" s="20"/>
    </row>
    <row r="8063" spans="45:45" ht="14.4">
      <c r="AS8063" s="20"/>
    </row>
    <row r="8064" spans="45:45" ht="14.4">
      <c r="AS8064" s="20"/>
    </row>
    <row r="8065" spans="45:45" ht="14.4">
      <c r="AS8065" s="20"/>
    </row>
    <row r="8066" spans="45:45" ht="14.4">
      <c r="AS8066" s="20"/>
    </row>
    <row r="8067" spans="45:45" ht="14.4">
      <c r="AS8067" s="20"/>
    </row>
    <row r="8068" spans="45:45" ht="14.4">
      <c r="AS8068" s="20"/>
    </row>
    <row r="8069" spans="45:45" ht="14.4">
      <c r="AS8069" s="20"/>
    </row>
    <row r="8070" spans="45:45" ht="14.4">
      <c r="AS8070" s="20"/>
    </row>
    <row r="8071" spans="45:45" ht="14.4">
      <c r="AS8071" s="20"/>
    </row>
    <row r="8072" spans="45:45" ht="14.4">
      <c r="AS8072" s="20"/>
    </row>
    <row r="8073" spans="45:45" ht="14.4">
      <c r="AS8073" s="20"/>
    </row>
    <row r="8074" spans="45:45" ht="14.4">
      <c r="AS8074" s="20"/>
    </row>
    <row r="8075" spans="45:45" ht="14.4">
      <c r="AS8075" s="20"/>
    </row>
    <row r="8076" spans="45:45" ht="14.4">
      <c r="AS8076" s="20"/>
    </row>
    <row r="8077" spans="45:45" ht="14.4">
      <c r="AS8077" s="20"/>
    </row>
    <row r="8078" spans="45:45" ht="14.4">
      <c r="AS8078" s="20"/>
    </row>
    <row r="8079" spans="45:45" ht="14.4">
      <c r="AS8079" s="20"/>
    </row>
    <row r="8080" spans="45:45" ht="14.4">
      <c r="AS8080" s="20"/>
    </row>
    <row r="8081" spans="45:45" ht="14.4">
      <c r="AS8081" s="20"/>
    </row>
    <row r="8082" spans="45:45" ht="14.4">
      <c r="AS8082" s="20"/>
    </row>
    <row r="8083" spans="45:45" ht="14.4">
      <c r="AS8083" s="20"/>
    </row>
    <row r="8084" spans="45:45" ht="14.4">
      <c r="AS8084" s="20"/>
    </row>
    <row r="8085" spans="45:45" ht="14.4">
      <c r="AS8085" s="20"/>
    </row>
    <row r="8086" spans="45:45" ht="14.4">
      <c r="AS8086" s="20"/>
    </row>
    <row r="8087" spans="45:45" ht="14.4">
      <c r="AS8087" s="20"/>
    </row>
    <row r="8088" spans="45:45" ht="14.4">
      <c r="AS8088" s="20"/>
    </row>
    <row r="8089" spans="45:45" ht="14.4">
      <c r="AS8089" s="20"/>
    </row>
    <row r="8090" spans="45:45" ht="14.4">
      <c r="AS8090" s="20"/>
    </row>
    <row r="8091" spans="45:45" ht="14.4">
      <c r="AS8091" s="20"/>
    </row>
    <row r="8092" spans="45:45" ht="14.4">
      <c r="AS8092" s="20"/>
    </row>
    <row r="8093" spans="45:45" ht="14.4">
      <c r="AS8093" s="20"/>
    </row>
    <row r="8094" spans="45:45" ht="14.4">
      <c r="AS8094" s="20"/>
    </row>
    <row r="8095" spans="45:45" ht="14.4">
      <c r="AS8095" s="20"/>
    </row>
    <row r="8096" spans="45:45" ht="14.4">
      <c r="AS8096" s="20"/>
    </row>
    <row r="8097" spans="45:45" ht="14.4">
      <c r="AS8097" s="20"/>
    </row>
    <row r="8098" spans="45:45" ht="14.4">
      <c r="AS8098" s="20"/>
    </row>
    <row r="8099" spans="45:45" ht="14.4">
      <c r="AS8099" s="20"/>
    </row>
    <row r="8100" spans="45:45" ht="14.4">
      <c r="AS8100" s="20"/>
    </row>
    <row r="8101" spans="45:45" ht="14.4">
      <c r="AS8101" s="20"/>
    </row>
    <row r="8102" spans="45:45" ht="14.4">
      <c r="AS8102" s="20"/>
    </row>
    <row r="8103" spans="45:45" ht="14.4">
      <c r="AS8103" s="20"/>
    </row>
    <row r="8104" spans="45:45" ht="14.4">
      <c r="AS8104" s="20"/>
    </row>
    <row r="8105" spans="45:45" ht="14.4">
      <c r="AS8105" s="20"/>
    </row>
    <row r="8106" spans="45:45" ht="14.4">
      <c r="AS8106" s="20"/>
    </row>
    <row r="8107" spans="45:45" ht="14.4">
      <c r="AS8107" s="20"/>
    </row>
    <row r="8108" spans="45:45" ht="14.4">
      <c r="AS8108" s="20"/>
    </row>
    <row r="8109" spans="45:45" ht="14.4">
      <c r="AS8109" s="20"/>
    </row>
    <row r="8110" spans="45:45" ht="14.4">
      <c r="AS8110" s="20"/>
    </row>
    <row r="8111" spans="45:45" ht="14.4">
      <c r="AS8111" s="20"/>
    </row>
    <row r="8112" spans="45:45" ht="14.4">
      <c r="AS8112" s="20"/>
    </row>
    <row r="8113" spans="45:45" ht="14.4">
      <c r="AS8113" s="20"/>
    </row>
    <row r="8114" spans="45:45" ht="14.4">
      <c r="AS8114" s="20"/>
    </row>
    <row r="8115" spans="45:45" ht="14.4">
      <c r="AS8115" s="20"/>
    </row>
    <row r="8116" spans="45:45" ht="14.4">
      <c r="AS8116" s="20"/>
    </row>
    <row r="8117" spans="45:45" ht="14.4">
      <c r="AS8117" s="20"/>
    </row>
    <row r="8118" spans="45:45" ht="14.4">
      <c r="AS8118" s="20"/>
    </row>
    <row r="8119" spans="45:45" ht="14.4">
      <c r="AS8119" s="20"/>
    </row>
    <row r="8120" spans="45:45" ht="14.4">
      <c r="AS8120" s="20"/>
    </row>
    <row r="8121" spans="45:45" ht="14.4">
      <c r="AS8121" s="20"/>
    </row>
    <row r="8122" spans="45:45" ht="14.4">
      <c r="AS8122" s="20"/>
    </row>
    <row r="8123" spans="45:45" ht="14.4">
      <c r="AS8123" s="20"/>
    </row>
    <row r="8124" spans="45:45" ht="14.4">
      <c r="AS8124" s="20"/>
    </row>
    <row r="8125" spans="45:45" ht="14.4">
      <c r="AS8125" s="20"/>
    </row>
    <row r="8126" spans="45:45" ht="14.4">
      <c r="AS8126" s="20"/>
    </row>
    <row r="8127" spans="45:45" ht="14.4">
      <c r="AS8127" s="20"/>
    </row>
    <row r="8128" spans="45:45" ht="14.4">
      <c r="AS8128" s="20"/>
    </row>
    <row r="8129" spans="45:45" ht="14.4">
      <c r="AS8129" s="20"/>
    </row>
    <row r="8130" spans="45:45" ht="14.4">
      <c r="AS8130" s="20"/>
    </row>
    <row r="8131" spans="45:45" ht="14.4">
      <c r="AS8131" s="20"/>
    </row>
    <row r="8132" spans="45:45" ht="14.4">
      <c r="AS8132" s="20"/>
    </row>
    <row r="8133" spans="45:45" ht="14.4">
      <c r="AS8133" s="20"/>
    </row>
    <row r="8134" spans="45:45" ht="14.4">
      <c r="AS8134" s="20"/>
    </row>
    <row r="8135" spans="45:45" ht="14.4">
      <c r="AS8135" s="20"/>
    </row>
    <row r="8136" spans="45:45" ht="14.4">
      <c r="AS8136" s="20"/>
    </row>
    <row r="8137" spans="45:45" ht="14.4">
      <c r="AS8137" s="20"/>
    </row>
    <row r="8138" spans="45:45" ht="14.4">
      <c r="AS8138" s="20"/>
    </row>
    <row r="8139" spans="45:45" ht="14.4">
      <c r="AS8139" s="20"/>
    </row>
    <row r="8140" spans="45:45" ht="14.4">
      <c r="AS8140" s="20"/>
    </row>
    <row r="8141" spans="45:45" ht="14.4">
      <c r="AS8141" s="20"/>
    </row>
    <row r="8142" spans="45:45" ht="14.4">
      <c r="AS8142" s="20"/>
    </row>
    <row r="8143" spans="45:45" ht="14.4">
      <c r="AS8143" s="20"/>
    </row>
    <row r="8144" spans="45:45" ht="14.4">
      <c r="AS8144" s="20"/>
    </row>
    <row r="8145" spans="45:45" ht="14.4">
      <c r="AS8145" s="20"/>
    </row>
    <row r="8146" spans="45:45" ht="14.4">
      <c r="AS8146" s="20"/>
    </row>
    <row r="8147" spans="45:45" ht="14.4">
      <c r="AS8147" s="20"/>
    </row>
    <row r="8148" spans="45:45" ht="14.4">
      <c r="AS8148" s="20"/>
    </row>
    <row r="8149" spans="45:45" ht="14.4">
      <c r="AS8149" s="20"/>
    </row>
    <row r="8150" spans="45:45" ht="14.4">
      <c r="AS8150" s="20"/>
    </row>
    <row r="8151" spans="45:45" ht="14.4">
      <c r="AS8151" s="20"/>
    </row>
    <row r="8152" spans="45:45" ht="14.4">
      <c r="AS8152" s="20"/>
    </row>
    <row r="8153" spans="45:45" ht="14.4">
      <c r="AS8153" s="20"/>
    </row>
    <row r="8154" spans="45:45" ht="14.4">
      <c r="AS8154" s="20"/>
    </row>
    <row r="8155" spans="45:45" ht="14.4">
      <c r="AS8155" s="20"/>
    </row>
    <row r="8156" spans="45:45" ht="14.4">
      <c r="AS8156" s="20"/>
    </row>
    <row r="8157" spans="45:45" ht="14.4">
      <c r="AS8157" s="20"/>
    </row>
    <row r="8158" spans="45:45" ht="14.4">
      <c r="AS8158" s="20"/>
    </row>
    <row r="8159" spans="45:45" ht="14.4">
      <c r="AS8159" s="20"/>
    </row>
    <row r="8160" spans="45:45" ht="14.4">
      <c r="AS8160" s="20"/>
    </row>
    <row r="8161" spans="45:45" ht="14.4">
      <c r="AS8161" s="20"/>
    </row>
    <row r="8162" spans="45:45" ht="14.4">
      <c r="AS8162" s="20"/>
    </row>
    <row r="8163" spans="45:45" ht="14.4">
      <c r="AS8163" s="20"/>
    </row>
    <row r="8164" spans="45:45" ht="14.4">
      <c r="AS8164" s="20"/>
    </row>
    <row r="8165" spans="45:45" ht="14.4">
      <c r="AS8165" s="20"/>
    </row>
    <row r="8166" spans="45:45" ht="14.4">
      <c r="AS8166" s="20"/>
    </row>
    <row r="8167" spans="45:45" ht="14.4">
      <c r="AS8167" s="20"/>
    </row>
    <row r="8168" spans="45:45" ht="14.4">
      <c r="AS8168" s="20"/>
    </row>
    <row r="8169" spans="45:45" ht="14.4">
      <c r="AS8169" s="20"/>
    </row>
    <row r="8170" spans="45:45" ht="14.4">
      <c r="AS8170" s="20"/>
    </row>
    <row r="8171" spans="45:45" ht="14.4">
      <c r="AS8171" s="20"/>
    </row>
    <row r="8172" spans="45:45" ht="14.4">
      <c r="AS8172" s="20"/>
    </row>
    <row r="8173" spans="45:45" ht="14.4">
      <c r="AS8173" s="20"/>
    </row>
    <row r="8174" spans="45:45" ht="14.4">
      <c r="AS8174" s="20"/>
    </row>
    <row r="8175" spans="45:45" ht="14.4">
      <c r="AS8175" s="20"/>
    </row>
    <row r="8176" spans="45:45" ht="14.4">
      <c r="AS8176" s="20"/>
    </row>
    <row r="8177" spans="45:45" ht="14.4">
      <c r="AS8177" s="20"/>
    </row>
    <row r="8178" spans="45:45" ht="14.4">
      <c r="AS8178" s="20"/>
    </row>
    <row r="8179" spans="45:45" ht="14.4">
      <c r="AS8179" s="20"/>
    </row>
    <row r="8180" spans="45:45" ht="14.4">
      <c r="AS8180" s="20"/>
    </row>
    <row r="8181" spans="45:45" ht="14.4">
      <c r="AS8181" s="20"/>
    </row>
    <row r="8182" spans="45:45" ht="14.4">
      <c r="AS8182" s="20"/>
    </row>
    <row r="8183" spans="45:45" ht="14.4">
      <c r="AS8183" s="20"/>
    </row>
    <row r="8184" spans="45:45" ht="14.4">
      <c r="AS8184" s="20"/>
    </row>
    <row r="8185" spans="45:45" ht="14.4">
      <c r="AS8185" s="20"/>
    </row>
    <row r="8186" spans="45:45" ht="14.4">
      <c r="AS8186" s="20"/>
    </row>
    <row r="8187" spans="45:45" ht="14.4">
      <c r="AS8187" s="20"/>
    </row>
    <row r="8188" spans="45:45" ht="14.4">
      <c r="AS8188" s="20"/>
    </row>
    <row r="8189" spans="45:45" ht="14.4">
      <c r="AS8189" s="20"/>
    </row>
    <row r="8190" spans="45:45" ht="14.4">
      <c r="AS8190" s="20"/>
    </row>
    <row r="8191" spans="45:45" ht="14.4">
      <c r="AS8191" s="20"/>
    </row>
    <row r="8192" spans="45:45" ht="14.4">
      <c r="AS8192" s="20"/>
    </row>
    <row r="8193" spans="45:45" ht="14.4">
      <c r="AS8193" s="20"/>
    </row>
    <row r="8194" spans="45:45" ht="14.4">
      <c r="AS8194" s="20"/>
    </row>
    <row r="8195" spans="45:45" ht="14.4">
      <c r="AS8195" s="20"/>
    </row>
    <row r="8196" spans="45:45" ht="14.4">
      <c r="AS8196" s="20"/>
    </row>
    <row r="8197" spans="45:45" ht="14.4">
      <c r="AS8197" s="20"/>
    </row>
    <row r="8198" spans="45:45" ht="14.4">
      <c r="AS8198" s="20"/>
    </row>
    <row r="8199" spans="45:45" ht="14.4">
      <c r="AS8199" s="20"/>
    </row>
    <row r="8200" spans="45:45" ht="14.4">
      <c r="AS8200" s="20"/>
    </row>
    <row r="8201" spans="45:45" ht="14.4">
      <c r="AS8201" s="20"/>
    </row>
    <row r="8202" spans="45:45" ht="14.4">
      <c r="AS8202" s="20"/>
    </row>
    <row r="8203" spans="45:45" ht="14.4">
      <c r="AS8203" s="20"/>
    </row>
    <row r="8204" spans="45:45" ht="14.4">
      <c r="AS8204" s="20"/>
    </row>
    <row r="8205" spans="45:45" ht="14.4">
      <c r="AS8205" s="20"/>
    </row>
    <row r="8206" spans="45:45" ht="14.4">
      <c r="AS8206" s="20"/>
    </row>
    <row r="8207" spans="45:45" ht="14.4">
      <c r="AS8207" s="20"/>
    </row>
    <row r="8208" spans="45:45" ht="14.4">
      <c r="AS8208" s="20"/>
    </row>
    <row r="8209" spans="45:45" ht="14.4">
      <c r="AS8209" s="20"/>
    </row>
    <row r="8210" spans="45:45" ht="14.4">
      <c r="AS8210" s="20"/>
    </row>
    <row r="8211" spans="45:45" ht="14.4">
      <c r="AS8211" s="20"/>
    </row>
    <row r="8212" spans="45:45" ht="14.4">
      <c r="AS8212" s="20"/>
    </row>
    <row r="8213" spans="45:45" ht="14.4">
      <c r="AS8213" s="20"/>
    </row>
    <row r="8214" spans="45:45" ht="14.4">
      <c r="AS8214" s="20"/>
    </row>
    <row r="8215" spans="45:45" ht="14.4">
      <c r="AS8215" s="20"/>
    </row>
    <row r="8216" spans="45:45" ht="14.4">
      <c r="AS8216" s="20"/>
    </row>
    <row r="8217" spans="45:45" ht="14.4">
      <c r="AS8217" s="20"/>
    </row>
    <row r="8218" spans="45:45" ht="14.4">
      <c r="AS8218" s="20"/>
    </row>
    <row r="8219" spans="45:45" ht="14.4">
      <c r="AS8219" s="20"/>
    </row>
    <row r="8220" spans="45:45" ht="14.4">
      <c r="AS8220" s="20"/>
    </row>
    <row r="8221" spans="45:45" ht="14.4">
      <c r="AS8221" s="20"/>
    </row>
    <row r="8222" spans="45:45" ht="14.4">
      <c r="AS8222" s="20"/>
    </row>
    <row r="8223" spans="45:45" ht="14.4">
      <c r="AS8223" s="20"/>
    </row>
    <row r="8224" spans="45:45" ht="14.4">
      <c r="AS8224" s="20"/>
    </row>
    <row r="8225" spans="45:45" ht="14.4">
      <c r="AS8225" s="20"/>
    </row>
    <row r="8226" spans="45:45" ht="14.4">
      <c r="AS8226" s="20"/>
    </row>
    <row r="8227" spans="45:45" ht="14.4">
      <c r="AS8227" s="20"/>
    </row>
    <row r="8228" spans="45:45" ht="14.4">
      <c r="AS8228" s="20"/>
    </row>
    <row r="8229" spans="45:45" ht="14.4">
      <c r="AS8229" s="20"/>
    </row>
    <row r="8230" spans="45:45" ht="14.4">
      <c r="AS8230" s="20"/>
    </row>
    <row r="8231" spans="45:45" ht="14.4">
      <c r="AS8231" s="20"/>
    </row>
    <row r="8232" spans="45:45" ht="14.4">
      <c r="AS8232" s="20"/>
    </row>
    <row r="8233" spans="45:45" ht="14.4">
      <c r="AS8233" s="20"/>
    </row>
    <row r="8234" spans="45:45" ht="14.4">
      <c r="AS8234" s="20"/>
    </row>
    <row r="8235" spans="45:45" ht="14.4">
      <c r="AS8235" s="20"/>
    </row>
    <row r="8236" spans="45:45" ht="14.4">
      <c r="AS8236" s="20"/>
    </row>
    <row r="8237" spans="45:45" ht="14.4">
      <c r="AS8237" s="20"/>
    </row>
    <row r="8238" spans="45:45" ht="14.4">
      <c r="AS8238" s="20"/>
    </row>
    <row r="8239" spans="45:45" ht="14.4">
      <c r="AS8239" s="20"/>
    </row>
    <row r="8240" spans="45:45" ht="14.4">
      <c r="AS8240" s="20"/>
    </row>
    <row r="8241" spans="45:45" ht="14.4">
      <c r="AS8241" s="20"/>
    </row>
    <row r="8242" spans="45:45" ht="14.4">
      <c r="AS8242" s="20"/>
    </row>
    <row r="8243" spans="45:45" ht="14.4">
      <c r="AS8243" s="20"/>
    </row>
    <row r="8244" spans="45:45" ht="14.4">
      <c r="AS8244" s="20"/>
    </row>
    <row r="8245" spans="45:45" ht="14.4">
      <c r="AS8245" s="20"/>
    </row>
    <row r="8246" spans="45:45" ht="14.4">
      <c r="AS8246" s="20"/>
    </row>
    <row r="8247" spans="45:45" ht="14.4">
      <c r="AS8247" s="20"/>
    </row>
    <row r="8248" spans="45:45" ht="14.4">
      <c r="AS8248" s="20"/>
    </row>
    <row r="8249" spans="45:45" ht="14.4">
      <c r="AS8249" s="20"/>
    </row>
    <row r="8250" spans="45:45" ht="14.4">
      <c r="AS8250" s="20"/>
    </row>
    <row r="8251" spans="45:45" ht="14.4">
      <c r="AS8251" s="20"/>
    </row>
    <row r="8252" spans="45:45" ht="14.4">
      <c r="AS8252" s="20"/>
    </row>
    <row r="8253" spans="45:45" ht="14.4">
      <c r="AS8253" s="20"/>
    </row>
    <row r="8254" spans="45:45" ht="14.4">
      <c r="AS8254" s="20"/>
    </row>
    <row r="8255" spans="45:45" ht="14.4">
      <c r="AS8255" s="20"/>
    </row>
    <row r="8256" spans="45:45" ht="14.4">
      <c r="AS8256" s="20"/>
    </row>
    <row r="8257" spans="45:45" ht="14.4">
      <c r="AS8257" s="20"/>
    </row>
    <row r="8258" spans="45:45" ht="14.4">
      <c r="AS8258" s="20"/>
    </row>
    <row r="8259" spans="45:45" ht="14.4">
      <c r="AS8259" s="20"/>
    </row>
    <row r="8260" spans="45:45" ht="14.4">
      <c r="AS8260" s="20"/>
    </row>
    <row r="8261" spans="45:45" ht="14.4">
      <c r="AS8261" s="20"/>
    </row>
    <row r="8262" spans="45:45" ht="14.4">
      <c r="AS8262" s="20"/>
    </row>
    <row r="8263" spans="45:45" ht="14.4">
      <c r="AS8263" s="20"/>
    </row>
    <row r="8264" spans="45:45" ht="14.4">
      <c r="AS8264" s="20"/>
    </row>
    <row r="8265" spans="45:45" ht="14.4">
      <c r="AS8265" s="20"/>
    </row>
    <row r="8266" spans="45:45" ht="14.4">
      <c r="AS8266" s="20"/>
    </row>
    <row r="8267" spans="45:45" ht="14.4">
      <c r="AS8267" s="20"/>
    </row>
    <row r="8268" spans="45:45" ht="14.4">
      <c r="AS8268" s="20"/>
    </row>
    <row r="8269" spans="45:45" ht="14.4">
      <c r="AS8269" s="20"/>
    </row>
    <row r="8270" spans="45:45" ht="14.4">
      <c r="AS8270" s="20"/>
    </row>
    <row r="8271" spans="45:45" ht="14.4">
      <c r="AS8271" s="20"/>
    </row>
    <row r="8272" spans="45:45" ht="14.4">
      <c r="AS8272" s="20"/>
    </row>
    <row r="8273" spans="45:45" ht="14.4">
      <c r="AS8273" s="20"/>
    </row>
    <row r="8274" spans="45:45" ht="14.4">
      <c r="AS8274" s="20"/>
    </row>
    <row r="8275" spans="45:45" ht="14.4">
      <c r="AS8275" s="20"/>
    </row>
    <row r="8276" spans="45:45" ht="14.4">
      <c r="AS8276" s="20"/>
    </row>
    <row r="8277" spans="45:45" ht="14.4">
      <c r="AS8277" s="20"/>
    </row>
    <row r="8278" spans="45:45" ht="14.4">
      <c r="AS8278" s="20"/>
    </row>
    <row r="8279" spans="45:45" ht="14.4">
      <c r="AS8279" s="20"/>
    </row>
    <row r="8280" spans="45:45" ht="14.4">
      <c r="AS8280" s="20"/>
    </row>
    <row r="8281" spans="45:45" ht="14.4">
      <c r="AS8281" s="20"/>
    </row>
    <row r="8282" spans="45:45" ht="14.4">
      <c r="AS8282" s="20"/>
    </row>
    <row r="8283" spans="45:45" ht="14.4">
      <c r="AS8283" s="20"/>
    </row>
    <row r="8284" spans="45:45" ht="14.4">
      <c r="AS8284" s="20"/>
    </row>
    <row r="8285" spans="45:45" ht="14.4">
      <c r="AS8285" s="20"/>
    </row>
    <row r="8286" spans="45:45" ht="14.4">
      <c r="AS8286" s="20"/>
    </row>
    <row r="8287" spans="45:45" ht="14.4">
      <c r="AS8287" s="20"/>
    </row>
    <row r="8288" spans="45:45" ht="14.4">
      <c r="AS8288" s="20"/>
    </row>
    <row r="8289" spans="45:45" ht="14.4">
      <c r="AS8289" s="20"/>
    </row>
    <row r="8290" spans="45:45" ht="14.4">
      <c r="AS8290" s="20"/>
    </row>
    <row r="8291" spans="45:45" ht="14.4">
      <c r="AS8291" s="20"/>
    </row>
    <row r="8292" spans="45:45" ht="14.4">
      <c r="AS8292" s="20"/>
    </row>
    <row r="8293" spans="45:45" ht="14.4">
      <c r="AS8293" s="20"/>
    </row>
    <row r="8294" spans="45:45" ht="14.4">
      <c r="AS8294" s="20"/>
    </row>
    <row r="8295" spans="45:45" ht="14.4">
      <c r="AS8295" s="20"/>
    </row>
    <row r="8296" spans="45:45" ht="14.4">
      <c r="AS8296" s="20"/>
    </row>
    <row r="8297" spans="45:45" ht="14.4">
      <c r="AS8297" s="20"/>
    </row>
    <row r="8298" spans="45:45" ht="14.4">
      <c r="AS8298" s="20"/>
    </row>
    <row r="8299" spans="45:45" ht="14.4">
      <c r="AS8299" s="20"/>
    </row>
    <row r="8300" spans="45:45" ht="14.4">
      <c r="AS8300" s="20"/>
    </row>
    <row r="8301" spans="45:45" ht="14.4">
      <c r="AS8301" s="20"/>
    </row>
    <row r="8302" spans="45:45" ht="14.4">
      <c r="AS8302" s="20"/>
    </row>
    <row r="8303" spans="45:45" ht="14.4">
      <c r="AS8303" s="20"/>
    </row>
    <row r="8304" spans="45:45" ht="14.4">
      <c r="AS8304" s="20"/>
    </row>
    <row r="8305" spans="45:45" ht="14.4">
      <c r="AS8305" s="20"/>
    </row>
    <row r="8306" spans="45:45" ht="14.4">
      <c r="AS8306" s="20"/>
    </row>
    <row r="8307" spans="45:45" ht="14.4">
      <c r="AS8307" s="20"/>
    </row>
    <row r="8308" spans="45:45" ht="14.4">
      <c r="AS8308" s="20"/>
    </row>
    <row r="8309" spans="45:45" ht="14.4">
      <c r="AS8309" s="20"/>
    </row>
    <row r="8310" spans="45:45" ht="14.4">
      <c r="AS8310" s="20"/>
    </row>
    <row r="8311" spans="45:45" ht="14.4">
      <c r="AS8311" s="20"/>
    </row>
    <row r="8312" spans="45:45" ht="14.4">
      <c r="AS8312" s="20"/>
    </row>
    <row r="8313" spans="45:45" ht="14.4">
      <c r="AS8313" s="20"/>
    </row>
    <row r="8314" spans="45:45" ht="14.4">
      <c r="AS8314" s="20"/>
    </row>
    <row r="8315" spans="45:45" ht="14.4">
      <c r="AS8315" s="20"/>
    </row>
    <row r="8316" spans="45:45" ht="14.4">
      <c r="AS8316" s="20"/>
    </row>
    <row r="8317" spans="45:45" ht="14.4">
      <c r="AS8317" s="20"/>
    </row>
    <row r="8318" spans="45:45" ht="14.4">
      <c r="AS8318" s="20"/>
    </row>
    <row r="8319" spans="45:45" ht="14.4">
      <c r="AS8319" s="20"/>
    </row>
    <row r="8320" spans="45:45" ht="14.4">
      <c r="AS8320" s="20"/>
    </row>
    <row r="8321" spans="45:45" ht="14.4">
      <c r="AS8321" s="20"/>
    </row>
    <row r="8322" spans="45:45" ht="14.4">
      <c r="AS8322" s="20"/>
    </row>
    <row r="8323" spans="45:45" ht="14.4">
      <c r="AS8323" s="20"/>
    </row>
    <row r="8324" spans="45:45" ht="14.4">
      <c r="AS8324" s="20"/>
    </row>
    <row r="8325" spans="45:45" ht="14.4">
      <c r="AS8325" s="20"/>
    </row>
    <row r="8326" spans="45:45" ht="14.4">
      <c r="AS8326" s="20"/>
    </row>
    <row r="8327" spans="45:45" ht="14.4">
      <c r="AS8327" s="20"/>
    </row>
    <row r="8328" spans="45:45" ht="14.4">
      <c r="AS8328" s="20"/>
    </row>
    <row r="8329" spans="45:45" ht="14.4">
      <c r="AS8329" s="20"/>
    </row>
    <row r="8330" spans="45:45" ht="14.4">
      <c r="AS8330" s="20"/>
    </row>
    <row r="8331" spans="45:45" ht="14.4">
      <c r="AS8331" s="20"/>
    </row>
    <row r="8332" spans="45:45" ht="14.4">
      <c r="AS8332" s="20"/>
    </row>
    <row r="8333" spans="45:45" ht="14.4">
      <c r="AS8333" s="20"/>
    </row>
    <row r="8334" spans="45:45" ht="14.4">
      <c r="AS8334" s="20"/>
    </row>
    <row r="8335" spans="45:45" ht="14.4">
      <c r="AS8335" s="20"/>
    </row>
    <row r="8336" spans="45:45" ht="14.4">
      <c r="AS8336" s="20"/>
    </row>
    <row r="8337" spans="45:45" ht="14.4">
      <c r="AS8337" s="20"/>
    </row>
    <row r="8338" spans="45:45" ht="14.4">
      <c r="AS8338" s="20"/>
    </row>
    <row r="8339" spans="45:45" ht="14.4">
      <c r="AS8339" s="20"/>
    </row>
    <row r="8340" spans="45:45" ht="14.4">
      <c r="AS8340" s="20"/>
    </row>
    <row r="8341" spans="45:45" ht="14.4">
      <c r="AS8341" s="20"/>
    </row>
    <row r="8342" spans="45:45" ht="14.4">
      <c r="AS8342" s="20"/>
    </row>
    <row r="8343" spans="45:45" ht="14.4">
      <c r="AS8343" s="20"/>
    </row>
    <row r="8344" spans="45:45" ht="14.4">
      <c r="AS8344" s="20"/>
    </row>
    <row r="8345" spans="45:45" ht="14.4">
      <c r="AS8345" s="20"/>
    </row>
    <row r="8346" spans="45:45" ht="14.4">
      <c r="AS8346" s="20"/>
    </row>
    <row r="8347" spans="45:45" ht="14.4">
      <c r="AS8347" s="20"/>
    </row>
    <row r="8348" spans="45:45" ht="14.4">
      <c r="AS8348" s="20"/>
    </row>
    <row r="8349" spans="45:45" ht="14.4">
      <c r="AS8349" s="20"/>
    </row>
    <row r="8350" spans="45:45" ht="14.4">
      <c r="AS8350" s="20"/>
    </row>
    <row r="8351" spans="45:45" ht="14.4">
      <c r="AS8351" s="20"/>
    </row>
    <row r="8352" spans="45:45" ht="14.4">
      <c r="AS8352" s="20"/>
    </row>
    <row r="8353" spans="45:45" ht="14.4">
      <c r="AS8353" s="20"/>
    </row>
    <row r="8354" spans="45:45" ht="14.4">
      <c r="AS8354" s="20"/>
    </row>
    <row r="8355" spans="45:45" ht="14.4">
      <c r="AS8355" s="20"/>
    </row>
    <row r="8356" spans="45:45" ht="14.4">
      <c r="AS8356" s="20"/>
    </row>
    <row r="8357" spans="45:45" ht="14.4">
      <c r="AS8357" s="20"/>
    </row>
    <row r="8358" spans="45:45" ht="14.4">
      <c r="AS8358" s="20"/>
    </row>
    <row r="8359" spans="45:45" ht="14.4">
      <c r="AS8359" s="20"/>
    </row>
    <row r="8360" spans="45:45" ht="14.4">
      <c r="AS8360" s="20"/>
    </row>
    <row r="8361" spans="45:45" ht="14.4">
      <c r="AS8361" s="20"/>
    </row>
    <row r="8362" spans="45:45" ht="14.4">
      <c r="AS8362" s="20"/>
    </row>
    <row r="8363" spans="45:45" ht="14.4">
      <c r="AS8363" s="20"/>
    </row>
    <row r="8364" spans="45:45" ht="14.4">
      <c r="AS8364" s="20"/>
    </row>
    <row r="8365" spans="45:45" ht="14.4">
      <c r="AS8365" s="20"/>
    </row>
    <row r="8366" spans="45:45" ht="14.4">
      <c r="AS8366" s="20"/>
    </row>
    <row r="8367" spans="45:45" ht="14.4">
      <c r="AS8367" s="20"/>
    </row>
    <row r="8368" spans="45:45" ht="14.4">
      <c r="AS8368" s="20"/>
    </row>
    <row r="8369" spans="45:45" ht="14.4">
      <c r="AS8369" s="20"/>
    </row>
    <row r="8370" spans="45:45" ht="14.4">
      <c r="AS8370" s="20"/>
    </row>
    <row r="8371" spans="45:45" ht="14.4">
      <c r="AS8371" s="20"/>
    </row>
    <row r="8372" spans="45:45" ht="14.4">
      <c r="AS8372" s="20"/>
    </row>
    <row r="8373" spans="45:45" ht="14.4">
      <c r="AS8373" s="20"/>
    </row>
    <row r="8374" spans="45:45" ht="14.4">
      <c r="AS8374" s="20"/>
    </row>
    <row r="8375" spans="45:45" ht="14.4">
      <c r="AS8375" s="20"/>
    </row>
    <row r="8376" spans="45:45" ht="14.4">
      <c r="AS8376" s="20"/>
    </row>
    <row r="8377" spans="45:45" ht="14.4">
      <c r="AS8377" s="20"/>
    </row>
    <row r="8378" spans="45:45" ht="14.4">
      <c r="AS8378" s="20"/>
    </row>
    <row r="8379" spans="45:45" ht="14.4">
      <c r="AS8379" s="20"/>
    </row>
    <row r="8380" spans="45:45" ht="14.4">
      <c r="AS8380" s="20"/>
    </row>
    <row r="8381" spans="45:45" ht="14.4">
      <c r="AS8381" s="20"/>
    </row>
    <row r="8382" spans="45:45" ht="14.4">
      <c r="AS8382" s="20"/>
    </row>
    <row r="8383" spans="45:45" ht="14.4">
      <c r="AS8383" s="20"/>
    </row>
    <row r="8384" spans="45:45" ht="14.4">
      <c r="AS8384" s="20"/>
    </row>
    <row r="8385" spans="45:45" ht="14.4">
      <c r="AS8385" s="20"/>
    </row>
    <row r="8386" spans="45:45" ht="14.4">
      <c r="AS8386" s="20"/>
    </row>
    <row r="8387" spans="45:45" ht="14.4">
      <c r="AS8387" s="20"/>
    </row>
    <row r="8388" spans="45:45" ht="14.4">
      <c r="AS8388" s="20"/>
    </row>
    <row r="8389" spans="45:45" ht="14.4">
      <c r="AS8389" s="20"/>
    </row>
    <row r="8390" spans="45:45" ht="14.4">
      <c r="AS8390" s="20"/>
    </row>
    <row r="8391" spans="45:45" ht="14.4">
      <c r="AS8391" s="20"/>
    </row>
    <row r="8392" spans="45:45" ht="14.4">
      <c r="AS8392" s="20"/>
    </row>
    <row r="8393" spans="45:45" ht="14.4">
      <c r="AS8393" s="20"/>
    </row>
    <row r="8394" spans="45:45" ht="14.4">
      <c r="AS8394" s="20"/>
    </row>
    <row r="8395" spans="45:45" ht="14.4">
      <c r="AS8395" s="20"/>
    </row>
    <row r="8396" spans="45:45" ht="14.4">
      <c r="AS8396" s="20"/>
    </row>
    <row r="8397" spans="45:45" ht="14.4">
      <c r="AS8397" s="20"/>
    </row>
    <row r="8398" spans="45:45" ht="14.4">
      <c r="AS8398" s="20"/>
    </row>
    <row r="8399" spans="45:45" ht="14.4">
      <c r="AS8399" s="20"/>
    </row>
    <row r="8400" spans="45:45" ht="14.4">
      <c r="AS8400" s="20"/>
    </row>
    <row r="8401" spans="45:45" ht="14.4">
      <c r="AS8401" s="20"/>
    </row>
    <row r="8402" spans="45:45" ht="14.4">
      <c r="AS8402" s="20"/>
    </row>
    <row r="8403" spans="45:45" ht="14.4">
      <c r="AS8403" s="20"/>
    </row>
    <row r="8404" spans="45:45" ht="14.4">
      <c r="AS8404" s="20"/>
    </row>
    <row r="8405" spans="45:45" ht="14.4">
      <c r="AS8405" s="20"/>
    </row>
    <row r="8406" spans="45:45" ht="14.4">
      <c r="AS8406" s="20"/>
    </row>
    <row r="8407" spans="45:45" ht="14.4">
      <c r="AS8407" s="20"/>
    </row>
    <row r="8408" spans="45:45" ht="14.4">
      <c r="AS8408" s="20"/>
    </row>
    <row r="8409" spans="45:45" ht="14.4">
      <c r="AS8409" s="20"/>
    </row>
    <row r="8410" spans="45:45" ht="14.4">
      <c r="AS8410" s="20"/>
    </row>
    <row r="8411" spans="45:45" ht="14.4">
      <c r="AS8411" s="20"/>
    </row>
    <row r="8412" spans="45:45" ht="14.4">
      <c r="AS8412" s="20"/>
    </row>
    <row r="8413" spans="45:45" ht="14.4">
      <c r="AS8413" s="20"/>
    </row>
    <row r="8414" spans="45:45" ht="14.4">
      <c r="AS8414" s="20"/>
    </row>
    <row r="8415" spans="45:45" ht="14.4">
      <c r="AS8415" s="20"/>
    </row>
    <row r="8416" spans="45:45" ht="14.4">
      <c r="AS8416" s="20"/>
    </row>
    <row r="8417" spans="45:45" ht="14.4">
      <c r="AS8417" s="20"/>
    </row>
    <row r="8418" spans="45:45" ht="14.4">
      <c r="AS8418" s="20"/>
    </row>
    <row r="8419" spans="45:45" ht="14.4">
      <c r="AS8419" s="20"/>
    </row>
    <row r="8420" spans="45:45" ht="14.4">
      <c r="AS8420" s="20"/>
    </row>
    <row r="8421" spans="45:45" ht="14.4">
      <c r="AS8421" s="20"/>
    </row>
    <row r="8422" spans="45:45" ht="14.4">
      <c r="AS8422" s="20"/>
    </row>
    <row r="8423" spans="45:45" ht="14.4">
      <c r="AS8423" s="20"/>
    </row>
    <row r="8424" spans="45:45" ht="14.4">
      <c r="AS8424" s="20"/>
    </row>
    <row r="8425" spans="45:45" ht="14.4">
      <c r="AS8425" s="20"/>
    </row>
    <row r="8426" spans="45:45" ht="14.4">
      <c r="AS8426" s="20"/>
    </row>
    <row r="8427" spans="45:45" ht="14.4">
      <c r="AS8427" s="20"/>
    </row>
    <row r="8428" spans="45:45" ht="14.4">
      <c r="AS8428" s="20"/>
    </row>
    <row r="8429" spans="45:45" ht="14.4">
      <c r="AS8429" s="20"/>
    </row>
    <row r="8430" spans="45:45" ht="14.4">
      <c r="AS8430" s="20"/>
    </row>
    <row r="8431" spans="45:45" ht="14.4">
      <c r="AS8431" s="20"/>
    </row>
    <row r="8432" spans="45:45" ht="14.4">
      <c r="AS8432" s="20"/>
    </row>
    <row r="8433" spans="45:45" ht="14.4">
      <c r="AS8433" s="20"/>
    </row>
    <row r="8434" spans="45:45" ht="14.4">
      <c r="AS8434" s="20"/>
    </row>
    <row r="8435" spans="45:45" ht="14.4">
      <c r="AS8435" s="20"/>
    </row>
    <row r="8436" spans="45:45" ht="14.4">
      <c r="AS8436" s="20"/>
    </row>
    <row r="8437" spans="45:45" ht="14.4">
      <c r="AS8437" s="20"/>
    </row>
    <row r="8438" spans="45:45" ht="14.4">
      <c r="AS8438" s="20"/>
    </row>
    <row r="8439" spans="45:45" ht="14.4">
      <c r="AS8439" s="20"/>
    </row>
    <row r="8440" spans="45:45" ht="14.4">
      <c r="AS8440" s="20"/>
    </row>
    <row r="8441" spans="45:45" ht="14.4">
      <c r="AS8441" s="20"/>
    </row>
    <row r="8442" spans="45:45" ht="14.4">
      <c r="AS8442" s="20"/>
    </row>
    <row r="8443" spans="45:45" ht="14.4">
      <c r="AS8443" s="20"/>
    </row>
    <row r="8444" spans="45:45" ht="14.4">
      <c r="AS8444" s="20"/>
    </row>
    <row r="8445" spans="45:45" ht="14.4">
      <c r="AS8445" s="20"/>
    </row>
    <row r="8446" spans="45:45" ht="14.4">
      <c r="AS8446" s="20"/>
    </row>
    <row r="8447" spans="45:45" ht="14.4">
      <c r="AS8447" s="20"/>
    </row>
    <row r="8448" spans="45:45" ht="14.4">
      <c r="AS8448" s="20"/>
    </row>
    <row r="8449" spans="45:45" ht="14.4">
      <c r="AS8449" s="20"/>
    </row>
    <row r="8450" spans="45:45" ht="14.4">
      <c r="AS8450" s="20"/>
    </row>
    <row r="8451" spans="45:45" ht="14.4">
      <c r="AS8451" s="20"/>
    </row>
    <row r="8452" spans="45:45" ht="14.4">
      <c r="AS8452" s="20"/>
    </row>
    <row r="8453" spans="45:45" ht="14.4">
      <c r="AS8453" s="20"/>
    </row>
    <row r="8454" spans="45:45" ht="14.4">
      <c r="AS8454" s="20"/>
    </row>
    <row r="8455" spans="45:45" ht="14.4">
      <c r="AS8455" s="20"/>
    </row>
    <row r="8456" spans="45:45" ht="14.4">
      <c r="AS8456" s="20"/>
    </row>
    <row r="8457" spans="45:45" ht="14.4">
      <c r="AS8457" s="20"/>
    </row>
    <row r="8458" spans="45:45" ht="14.4">
      <c r="AS8458" s="20"/>
    </row>
    <row r="8459" spans="45:45" ht="14.4">
      <c r="AS8459" s="20"/>
    </row>
    <row r="8460" spans="45:45" ht="14.4">
      <c r="AS8460" s="20"/>
    </row>
    <row r="8461" spans="45:45" ht="14.4">
      <c r="AS8461" s="20"/>
    </row>
    <row r="8462" spans="45:45" ht="14.4">
      <c r="AS8462" s="20"/>
    </row>
    <row r="8463" spans="45:45" ht="14.4">
      <c r="AS8463" s="20"/>
    </row>
    <row r="8464" spans="45:45" ht="14.4">
      <c r="AS8464" s="20"/>
    </row>
    <row r="8465" spans="45:45" ht="14.4">
      <c r="AS8465" s="20"/>
    </row>
    <row r="8466" spans="45:45" ht="14.4">
      <c r="AS8466" s="20"/>
    </row>
    <row r="8467" spans="45:45" ht="14.4">
      <c r="AS8467" s="20"/>
    </row>
    <row r="8468" spans="45:45" ht="14.4">
      <c r="AS8468" s="20"/>
    </row>
    <row r="8469" spans="45:45" ht="14.4">
      <c r="AS8469" s="20"/>
    </row>
    <row r="8470" spans="45:45" ht="14.4">
      <c r="AS8470" s="20"/>
    </row>
    <row r="8471" spans="45:45" ht="14.4">
      <c r="AS8471" s="20"/>
    </row>
    <row r="8472" spans="45:45" ht="14.4">
      <c r="AS8472" s="20"/>
    </row>
    <row r="8473" spans="45:45" ht="14.4">
      <c r="AS8473" s="20"/>
    </row>
    <row r="8474" spans="45:45" ht="14.4">
      <c r="AS8474" s="20"/>
    </row>
    <row r="8475" spans="45:45" ht="14.4">
      <c r="AS8475" s="20"/>
    </row>
    <row r="8476" spans="45:45" ht="14.4">
      <c r="AS8476" s="20"/>
    </row>
    <row r="8477" spans="45:45" ht="14.4">
      <c r="AS8477" s="20"/>
    </row>
    <row r="8478" spans="45:45" ht="14.4">
      <c r="AS8478" s="20"/>
    </row>
    <row r="8479" spans="45:45" ht="14.4">
      <c r="AS8479" s="20"/>
    </row>
    <row r="8480" spans="45:45" ht="14.4">
      <c r="AS8480" s="20"/>
    </row>
    <row r="8481" spans="45:45" ht="14.4">
      <c r="AS8481" s="20"/>
    </row>
    <row r="8482" spans="45:45" ht="14.4">
      <c r="AS8482" s="20"/>
    </row>
    <row r="8483" spans="45:45" ht="14.4">
      <c r="AS8483" s="20"/>
    </row>
    <row r="8484" spans="45:45" ht="14.4">
      <c r="AS8484" s="20"/>
    </row>
    <row r="8485" spans="45:45" ht="14.4">
      <c r="AS8485" s="20"/>
    </row>
    <row r="8486" spans="45:45" ht="14.4">
      <c r="AS8486" s="20"/>
    </row>
    <row r="8487" spans="45:45" ht="14.4">
      <c r="AS8487" s="20"/>
    </row>
    <row r="8488" spans="45:45" ht="14.4">
      <c r="AS8488" s="20"/>
    </row>
    <row r="8489" spans="45:45" ht="14.4">
      <c r="AS8489" s="20"/>
    </row>
    <row r="8490" spans="45:45" ht="14.4">
      <c r="AS8490" s="20"/>
    </row>
    <row r="8491" spans="45:45" ht="14.4">
      <c r="AS8491" s="20"/>
    </row>
    <row r="8492" spans="45:45" ht="14.4">
      <c r="AS8492" s="20"/>
    </row>
    <row r="8493" spans="45:45" ht="14.4">
      <c r="AS8493" s="20"/>
    </row>
    <row r="8494" spans="45:45" ht="14.4">
      <c r="AS8494" s="20"/>
    </row>
    <row r="8495" spans="45:45" ht="14.4">
      <c r="AS8495" s="20"/>
    </row>
    <row r="8496" spans="45:45" ht="14.4">
      <c r="AS8496" s="20"/>
    </row>
    <row r="8497" spans="45:45" ht="14.4">
      <c r="AS8497" s="20"/>
    </row>
    <row r="8498" spans="45:45" ht="14.4">
      <c r="AS8498" s="20"/>
    </row>
    <row r="8499" spans="45:45" ht="14.4">
      <c r="AS8499" s="20"/>
    </row>
    <row r="8500" spans="45:45" ht="14.4">
      <c r="AS8500" s="20"/>
    </row>
    <row r="8501" spans="45:45" ht="14.4">
      <c r="AS8501" s="20"/>
    </row>
    <row r="8502" spans="45:45" ht="14.4">
      <c r="AS8502" s="20"/>
    </row>
    <row r="8503" spans="45:45" ht="14.4">
      <c r="AS8503" s="20"/>
    </row>
    <row r="8504" spans="45:45" ht="14.4">
      <c r="AS8504" s="20"/>
    </row>
    <row r="8505" spans="45:45" ht="14.4">
      <c r="AS8505" s="20"/>
    </row>
    <row r="8506" spans="45:45" ht="14.4">
      <c r="AS8506" s="20"/>
    </row>
    <row r="8507" spans="45:45" ht="14.4">
      <c r="AS8507" s="20"/>
    </row>
    <row r="8508" spans="45:45" ht="14.4">
      <c r="AS8508" s="20"/>
    </row>
    <row r="8509" spans="45:45" ht="14.4">
      <c r="AS8509" s="20"/>
    </row>
    <row r="8510" spans="45:45" ht="14.4">
      <c r="AS8510" s="20"/>
    </row>
    <row r="8511" spans="45:45" ht="14.4">
      <c r="AS8511" s="20"/>
    </row>
    <row r="8512" spans="45:45" ht="14.4">
      <c r="AS8512" s="20"/>
    </row>
    <row r="8513" spans="45:45" ht="14.4">
      <c r="AS8513" s="20"/>
    </row>
    <row r="8514" spans="45:45" ht="14.4">
      <c r="AS8514" s="20"/>
    </row>
    <row r="8515" spans="45:45" ht="14.4">
      <c r="AS8515" s="20"/>
    </row>
    <row r="8516" spans="45:45" ht="14.4">
      <c r="AS8516" s="20"/>
    </row>
    <row r="8517" spans="45:45" ht="14.4">
      <c r="AS8517" s="20"/>
    </row>
    <row r="8518" spans="45:45" ht="14.4">
      <c r="AS8518" s="20"/>
    </row>
    <row r="8519" spans="45:45" ht="14.4">
      <c r="AS8519" s="20"/>
    </row>
    <row r="8520" spans="45:45" ht="14.4">
      <c r="AS8520" s="20"/>
    </row>
    <row r="8521" spans="45:45" ht="14.4">
      <c r="AS8521" s="20"/>
    </row>
    <row r="8522" spans="45:45" ht="14.4">
      <c r="AS8522" s="20"/>
    </row>
    <row r="8523" spans="45:45" ht="14.4">
      <c r="AS8523" s="20"/>
    </row>
    <row r="8524" spans="45:45" ht="14.4">
      <c r="AS8524" s="20"/>
    </row>
    <row r="8525" spans="45:45" ht="14.4">
      <c r="AS8525" s="20"/>
    </row>
    <row r="8526" spans="45:45" ht="14.4">
      <c r="AS8526" s="20"/>
    </row>
    <row r="8527" spans="45:45" ht="14.4">
      <c r="AS8527" s="20"/>
    </row>
    <row r="8528" spans="45:45" ht="14.4">
      <c r="AS8528" s="20"/>
    </row>
    <row r="8529" spans="45:45" ht="14.4">
      <c r="AS8529" s="20"/>
    </row>
    <row r="8530" spans="45:45" ht="14.4">
      <c r="AS8530" s="20"/>
    </row>
    <row r="8531" spans="45:45" ht="14.4">
      <c r="AS8531" s="20"/>
    </row>
    <row r="8532" spans="45:45" ht="14.4">
      <c r="AS8532" s="20"/>
    </row>
    <row r="8533" spans="45:45" ht="14.4">
      <c r="AS8533" s="20"/>
    </row>
    <row r="8534" spans="45:45" ht="14.4">
      <c r="AS8534" s="20"/>
    </row>
    <row r="8535" spans="45:45" ht="14.4">
      <c r="AS8535" s="20"/>
    </row>
    <row r="8536" spans="45:45" ht="14.4">
      <c r="AS8536" s="20"/>
    </row>
    <row r="8537" spans="45:45" ht="14.4">
      <c r="AS8537" s="20"/>
    </row>
    <row r="8538" spans="45:45" ht="14.4">
      <c r="AS8538" s="20"/>
    </row>
    <row r="8539" spans="45:45" ht="14.4">
      <c r="AS8539" s="20"/>
    </row>
    <row r="8540" spans="45:45" ht="14.4">
      <c r="AS8540" s="20"/>
    </row>
    <row r="8541" spans="45:45" ht="14.4">
      <c r="AS8541" s="20"/>
    </row>
    <row r="8542" spans="45:45" ht="14.4">
      <c r="AS8542" s="20"/>
    </row>
    <row r="8543" spans="45:45" ht="14.4">
      <c r="AS8543" s="20"/>
    </row>
    <row r="8544" spans="45:45" ht="14.4">
      <c r="AS8544" s="20"/>
    </row>
    <row r="8545" spans="45:45" ht="14.4">
      <c r="AS8545" s="20"/>
    </row>
    <row r="8546" spans="45:45" ht="14.4">
      <c r="AS8546" s="20"/>
    </row>
    <row r="8547" spans="45:45" ht="14.4">
      <c r="AS8547" s="20"/>
    </row>
    <row r="8548" spans="45:45" ht="14.4">
      <c r="AS8548" s="20"/>
    </row>
    <row r="8549" spans="45:45" ht="14.4">
      <c r="AS8549" s="20"/>
    </row>
    <row r="8550" spans="45:45" ht="14.4">
      <c r="AS8550" s="20"/>
    </row>
    <row r="8551" spans="45:45" ht="14.4">
      <c r="AS8551" s="20"/>
    </row>
    <row r="8552" spans="45:45" ht="14.4">
      <c r="AS8552" s="20"/>
    </row>
    <row r="8553" spans="45:45" ht="14.4">
      <c r="AS8553" s="20"/>
    </row>
    <row r="8554" spans="45:45" ht="14.4">
      <c r="AS8554" s="20"/>
    </row>
    <row r="8555" spans="45:45" ht="14.4">
      <c r="AS8555" s="20"/>
    </row>
    <row r="8556" spans="45:45" ht="14.4">
      <c r="AS8556" s="20"/>
    </row>
    <row r="8557" spans="45:45" ht="14.4">
      <c r="AS8557" s="20"/>
    </row>
    <row r="8558" spans="45:45" ht="14.4">
      <c r="AS8558" s="20"/>
    </row>
    <row r="8559" spans="45:45" ht="14.4">
      <c r="AS8559" s="20"/>
    </row>
    <row r="8560" spans="45:45" ht="14.4">
      <c r="AS8560" s="20"/>
    </row>
    <row r="8561" spans="45:45" ht="14.4">
      <c r="AS8561" s="20"/>
    </row>
    <row r="8562" spans="45:45" ht="14.4">
      <c r="AS8562" s="20"/>
    </row>
    <row r="8563" spans="45:45" ht="14.4">
      <c r="AS8563" s="20"/>
    </row>
    <row r="8564" spans="45:45" ht="14.4">
      <c r="AS8564" s="20"/>
    </row>
    <row r="8565" spans="45:45" ht="14.4">
      <c r="AS8565" s="20"/>
    </row>
    <row r="8566" spans="45:45" ht="14.4">
      <c r="AS8566" s="20"/>
    </row>
    <row r="8567" spans="45:45" ht="14.4">
      <c r="AS8567" s="20"/>
    </row>
    <row r="8568" spans="45:45" ht="14.4">
      <c r="AS8568" s="20"/>
    </row>
    <row r="8569" spans="45:45" ht="14.4">
      <c r="AS8569" s="20"/>
    </row>
    <row r="8570" spans="45:45" ht="14.4">
      <c r="AS8570" s="20"/>
    </row>
    <row r="8571" spans="45:45" ht="14.4">
      <c r="AS8571" s="20"/>
    </row>
    <row r="8572" spans="45:45" ht="14.4">
      <c r="AS8572" s="20"/>
    </row>
    <row r="8573" spans="45:45" ht="14.4">
      <c r="AS8573" s="20"/>
    </row>
    <row r="8574" spans="45:45" ht="14.4">
      <c r="AS8574" s="20"/>
    </row>
    <row r="8575" spans="45:45" ht="14.4">
      <c r="AS8575" s="20"/>
    </row>
    <row r="8576" spans="45:45" ht="14.4">
      <c r="AS8576" s="20"/>
    </row>
    <row r="8577" spans="45:45" ht="14.4">
      <c r="AS8577" s="20"/>
    </row>
    <row r="8578" spans="45:45" ht="14.4">
      <c r="AS8578" s="20"/>
    </row>
    <row r="8579" spans="45:45" ht="14.4">
      <c r="AS8579" s="20"/>
    </row>
    <row r="8580" spans="45:45" ht="14.4">
      <c r="AS8580" s="20"/>
    </row>
    <row r="8581" spans="45:45" ht="14.4">
      <c r="AS8581" s="20"/>
    </row>
    <row r="8582" spans="45:45" ht="14.4">
      <c r="AS8582" s="20"/>
    </row>
    <row r="8583" spans="45:45" ht="14.4">
      <c r="AS8583" s="20"/>
    </row>
    <row r="8584" spans="45:45" ht="14.4">
      <c r="AS8584" s="20"/>
    </row>
    <row r="8585" spans="45:45" ht="14.4">
      <c r="AS8585" s="20"/>
    </row>
    <row r="8586" spans="45:45" ht="14.4">
      <c r="AS8586" s="20"/>
    </row>
    <row r="8587" spans="45:45" ht="14.4">
      <c r="AS8587" s="20"/>
    </row>
    <row r="8588" spans="45:45" ht="14.4">
      <c r="AS8588" s="20"/>
    </row>
    <row r="8589" spans="45:45" ht="14.4">
      <c r="AS8589" s="20"/>
    </row>
    <row r="8590" spans="45:45" ht="14.4">
      <c r="AS8590" s="20"/>
    </row>
    <row r="8591" spans="45:45" ht="14.4">
      <c r="AS8591" s="20"/>
    </row>
    <row r="8592" spans="45:45" ht="14.4">
      <c r="AS8592" s="20"/>
    </row>
    <row r="8593" spans="45:45" ht="14.4">
      <c r="AS8593" s="20"/>
    </row>
    <row r="8594" spans="45:45" ht="14.4">
      <c r="AS8594" s="20"/>
    </row>
    <row r="8595" spans="45:45" ht="14.4">
      <c r="AS8595" s="20"/>
    </row>
    <row r="8596" spans="45:45" ht="14.4">
      <c r="AS8596" s="20"/>
    </row>
    <row r="8597" spans="45:45" ht="14.4">
      <c r="AS8597" s="20"/>
    </row>
    <row r="8598" spans="45:45" ht="14.4">
      <c r="AS8598" s="20"/>
    </row>
    <row r="8599" spans="45:45" ht="14.4">
      <c r="AS8599" s="20"/>
    </row>
    <row r="8600" spans="45:45" ht="14.4">
      <c r="AS8600" s="20"/>
    </row>
    <row r="8601" spans="45:45" ht="14.4">
      <c r="AS8601" s="20"/>
    </row>
    <row r="8602" spans="45:45" ht="14.4">
      <c r="AS8602" s="20"/>
    </row>
    <row r="8603" spans="45:45" ht="14.4">
      <c r="AS8603" s="20"/>
    </row>
    <row r="8604" spans="45:45" ht="14.4">
      <c r="AS8604" s="20"/>
    </row>
    <row r="8605" spans="45:45" ht="14.4">
      <c r="AS8605" s="20"/>
    </row>
    <row r="8606" spans="45:45" ht="14.4">
      <c r="AS8606" s="20"/>
    </row>
    <row r="8607" spans="45:45" ht="14.4">
      <c r="AS8607" s="20"/>
    </row>
    <row r="8608" spans="45:45" ht="14.4">
      <c r="AS8608" s="20"/>
    </row>
    <row r="8609" spans="45:45" ht="14.4">
      <c r="AS8609" s="20"/>
    </row>
    <row r="8610" spans="45:45" ht="14.4">
      <c r="AS8610" s="20"/>
    </row>
    <row r="8611" spans="45:45" ht="14.4">
      <c r="AS8611" s="20"/>
    </row>
    <row r="8612" spans="45:45" ht="14.4">
      <c r="AS8612" s="20"/>
    </row>
    <row r="8613" spans="45:45" ht="14.4">
      <c r="AS8613" s="20"/>
    </row>
    <row r="8614" spans="45:45" ht="14.4">
      <c r="AS8614" s="20"/>
    </row>
    <row r="8615" spans="45:45" ht="14.4">
      <c r="AS8615" s="20"/>
    </row>
    <row r="8616" spans="45:45" ht="14.4">
      <c r="AS8616" s="20"/>
    </row>
    <row r="8617" spans="45:45" ht="14.4">
      <c r="AS8617" s="20"/>
    </row>
    <row r="8618" spans="45:45" ht="14.4">
      <c r="AS8618" s="20"/>
    </row>
    <row r="8619" spans="45:45" ht="14.4">
      <c r="AS8619" s="20"/>
    </row>
    <row r="8620" spans="45:45" ht="14.4">
      <c r="AS8620" s="20"/>
    </row>
    <row r="8621" spans="45:45" ht="14.4">
      <c r="AS8621" s="20"/>
    </row>
    <row r="8622" spans="45:45" ht="14.4">
      <c r="AS8622" s="20"/>
    </row>
    <row r="8623" spans="45:45" ht="14.4">
      <c r="AS8623" s="20"/>
    </row>
    <row r="8624" spans="45:45" ht="14.4">
      <c r="AS8624" s="20"/>
    </row>
    <row r="8625" spans="45:45" ht="14.4">
      <c r="AS8625" s="20"/>
    </row>
    <row r="8626" spans="45:45" ht="14.4">
      <c r="AS8626" s="20"/>
    </row>
    <row r="8627" spans="45:45" ht="14.4">
      <c r="AS8627" s="20"/>
    </row>
    <row r="8628" spans="45:45" ht="14.4">
      <c r="AS8628" s="20"/>
    </row>
    <row r="8629" spans="45:45" ht="14.4">
      <c r="AS8629" s="20"/>
    </row>
    <row r="8630" spans="45:45" ht="14.4">
      <c r="AS8630" s="20"/>
    </row>
    <row r="8631" spans="45:45" ht="14.4">
      <c r="AS8631" s="20"/>
    </row>
    <row r="8632" spans="45:45" ht="14.4">
      <c r="AS8632" s="20"/>
    </row>
    <row r="8633" spans="45:45" ht="14.4">
      <c r="AS8633" s="20"/>
    </row>
    <row r="8634" spans="45:45" ht="14.4">
      <c r="AS8634" s="20"/>
    </row>
    <row r="8635" spans="45:45" ht="14.4">
      <c r="AS8635" s="20"/>
    </row>
    <row r="8636" spans="45:45" ht="14.4">
      <c r="AS8636" s="20"/>
    </row>
    <row r="8637" spans="45:45" ht="14.4">
      <c r="AS8637" s="20"/>
    </row>
    <row r="8638" spans="45:45" ht="14.4">
      <c r="AS8638" s="20"/>
    </row>
    <row r="8639" spans="45:45" ht="14.4">
      <c r="AS8639" s="20"/>
    </row>
    <row r="8640" spans="45:45" ht="14.4">
      <c r="AS8640" s="20"/>
    </row>
    <row r="8641" spans="45:45" ht="14.4">
      <c r="AS8641" s="20"/>
    </row>
    <row r="8642" spans="45:45" ht="14.4">
      <c r="AS8642" s="20"/>
    </row>
    <row r="8643" spans="45:45" ht="14.4">
      <c r="AS8643" s="20"/>
    </row>
    <row r="8644" spans="45:45" ht="14.4">
      <c r="AS8644" s="20"/>
    </row>
    <row r="8645" spans="45:45" ht="14.4">
      <c r="AS8645" s="20"/>
    </row>
    <row r="8646" spans="45:45" ht="14.4">
      <c r="AS8646" s="20"/>
    </row>
    <row r="8647" spans="45:45" ht="14.4">
      <c r="AS8647" s="20"/>
    </row>
    <row r="8648" spans="45:45" ht="14.4">
      <c r="AS8648" s="20"/>
    </row>
    <row r="8649" spans="45:45" ht="14.4">
      <c r="AS8649" s="20"/>
    </row>
    <row r="8650" spans="45:45" ht="14.4">
      <c r="AS8650" s="20"/>
    </row>
    <row r="8651" spans="45:45" ht="14.4">
      <c r="AS8651" s="20"/>
    </row>
    <row r="8652" spans="45:45" ht="14.4">
      <c r="AS8652" s="20"/>
    </row>
    <row r="8653" spans="45:45" ht="14.4">
      <c r="AS8653" s="20"/>
    </row>
    <row r="8654" spans="45:45" ht="14.4">
      <c r="AS8654" s="20"/>
    </row>
    <row r="8655" spans="45:45" ht="14.4">
      <c r="AS8655" s="20"/>
    </row>
    <row r="8656" spans="45:45" ht="14.4">
      <c r="AS8656" s="20"/>
    </row>
    <row r="8657" spans="45:45" ht="14.4">
      <c r="AS8657" s="20"/>
    </row>
    <row r="8658" spans="45:45" ht="14.4">
      <c r="AS8658" s="20"/>
    </row>
    <row r="8659" spans="45:45" ht="14.4">
      <c r="AS8659" s="20"/>
    </row>
    <row r="8660" spans="45:45" ht="14.4">
      <c r="AS8660" s="20"/>
    </row>
    <row r="8661" spans="45:45" ht="14.4">
      <c r="AS8661" s="20"/>
    </row>
    <row r="8662" spans="45:45" ht="14.4">
      <c r="AS8662" s="20"/>
    </row>
    <row r="8663" spans="45:45" ht="14.4">
      <c r="AS8663" s="20"/>
    </row>
    <row r="8664" spans="45:45" ht="14.4">
      <c r="AS8664" s="20"/>
    </row>
    <row r="8665" spans="45:45" ht="14.4">
      <c r="AS8665" s="20"/>
    </row>
    <row r="8666" spans="45:45" ht="14.4">
      <c r="AS8666" s="20"/>
    </row>
    <row r="8667" spans="45:45" ht="14.4">
      <c r="AS8667" s="20"/>
    </row>
    <row r="8668" spans="45:45" ht="14.4">
      <c r="AS8668" s="20"/>
    </row>
    <row r="8669" spans="45:45" ht="14.4">
      <c r="AS8669" s="20"/>
    </row>
    <row r="8670" spans="45:45" ht="14.4">
      <c r="AS8670" s="20"/>
    </row>
    <row r="8671" spans="45:45" ht="14.4">
      <c r="AS8671" s="20"/>
    </row>
    <row r="8672" spans="45:45" ht="14.4">
      <c r="AS8672" s="20"/>
    </row>
    <row r="8673" spans="45:45" ht="14.4">
      <c r="AS8673" s="20"/>
    </row>
    <row r="8674" spans="45:45" ht="14.4">
      <c r="AS8674" s="20"/>
    </row>
    <row r="8675" spans="45:45" ht="14.4">
      <c r="AS8675" s="20"/>
    </row>
    <row r="8676" spans="45:45" ht="14.4">
      <c r="AS8676" s="20"/>
    </row>
    <row r="8677" spans="45:45" ht="14.4">
      <c r="AS8677" s="20"/>
    </row>
    <row r="8678" spans="45:45" ht="14.4">
      <c r="AS8678" s="20"/>
    </row>
    <row r="8679" spans="45:45" ht="14.4">
      <c r="AS8679" s="20"/>
    </row>
    <row r="8680" spans="45:45" ht="14.4">
      <c r="AS8680" s="20"/>
    </row>
    <row r="8681" spans="45:45" ht="14.4">
      <c r="AS8681" s="20"/>
    </row>
    <row r="8682" spans="45:45" ht="14.4">
      <c r="AS8682" s="20"/>
    </row>
    <row r="8683" spans="45:45" ht="14.4">
      <c r="AS8683" s="20"/>
    </row>
    <row r="8684" spans="45:45" ht="14.4">
      <c r="AS8684" s="20"/>
    </row>
    <row r="8685" spans="45:45" ht="14.4">
      <c r="AS8685" s="20"/>
    </row>
    <row r="8686" spans="45:45" ht="14.4">
      <c r="AS8686" s="20"/>
    </row>
    <row r="8687" spans="45:45" ht="14.4">
      <c r="AS8687" s="20"/>
    </row>
    <row r="8688" spans="45:45" ht="14.4">
      <c r="AS8688" s="20"/>
    </row>
    <row r="8689" spans="45:45" ht="14.4">
      <c r="AS8689" s="20"/>
    </row>
    <row r="8690" spans="45:45" ht="14.4">
      <c r="AS8690" s="20"/>
    </row>
    <row r="8691" spans="45:45" ht="14.4">
      <c r="AS8691" s="20"/>
    </row>
    <row r="8692" spans="45:45" ht="14.4">
      <c r="AS8692" s="20"/>
    </row>
    <row r="8693" spans="45:45" ht="14.4">
      <c r="AS8693" s="20"/>
    </row>
    <row r="8694" spans="45:45" ht="14.4">
      <c r="AS8694" s="20"/>
    </row>
    <row r="8695" spans="45:45" ht="14.4">
      <c r="AS8695" s="20"/>
    </row>
    <row r="8696" spans="45:45" ht="14.4">
      <c r="AS8696" s="20"/>
    </row>
    <row r="8697" spans="45:45" ht="14.4">
      <c r="AS8697" s="20"/>
    </row>
    <row r="8698" spans="45:45" ht="14.4">
      <c r="AS8698" s="20"/>
    </row>
    <row r="8699" spans="45:45" ht="14.4">
      <c r="AS8699" s="20"/>
    </row>
    <row r="8700" spans="45:45" ht="14.4">
      <c r="AS8700" s="20"/>
    </row>
    <row r="8701" spans="45:45" ht="14.4">
      <c r="AS8701" s="20"/>
    </row>
    <row r="8702" spans="45:45" ht="14.4">
      <c r="AS8702" s="20"/>
    </row>
    <row r="8703" spans="45:45" ht="14.4">
      <c r="AS8703" s="20"/>
    </row>
    <row r="8704" spans="45:45" ht="14.4">
      <c r="AS8704" s="20"/>
    </row>
    <row r="8705" spans="45:45" ht="14.4">
      <c r="AS8705" s="20"/>
    </row>
    <row r="8706" spans="45:45" ht="14.4">
      <c r="AS8706" s="20"/>
    </row>
    <row r="8707" spans="45:45" ht="14.4">
      <c r="AS8707" s="20"/>
    </row>
    <row r="8708" spans="45:45" ht="14.4">
      <c r="AS8708" s="20"/>
    </row>
    <row r="8709" spans="45:45" ht="14.4">
      <c r="AS8709" s="20"/>
    </row>
    <row r="8710" spans="45:45" ht="14.4">
      <c r="AS8710" s="20"/>
    </row>
    <row r="8711" spans="45:45" ht="14.4">
      <c r="AS8711" s="20"/>
    </row>
    <row r="8712" spans="45:45" ht="14.4">
      <c r="AS8712" s="20"/>
    </row>
    <row r="8713" spans="45:45" ht="14.4">
      <c r="AS8713" s="20"/>
    </row>
    <row r="8714" spans="45:45" ht="14.4">
      <c r="AS8714" s="20"/>
    </row>
    <row r="8715" spans="45:45" ht="14.4">
      <c r="AS8715" s="20"/>
    </row>
    <row r="8716" spans="45:45" ht="14.4">
      <c r="AS8716" s="20"/>
    </row>
    <row r="8717" spans="45:45" ht="14.4">
      <c r="AS8717" s="20"/>
    </row>
    <row r="8718" spans="45:45" ht="14.4">
      <c r="AS8718" s="20"/>
    </row>
    <row r="8719" spans="45:45" ht="14.4">
      <c r="AS8719" s="20"/>
    </row>
    <row r="8720" spans="45:45" ht="14.4">
      <c r="AS8720" s="20"/>
    </row>
    <row r="8721" spans="45:45" ht="14.4">
      <c r="AS8721" s="20"/>
    </row>
    <row r="8722" spans="45:45" ht="14.4">
      <c r="AS8722" s="20"/>
    </row>
    <row r="8723" spans="45:45" ht="14.4">
      <c r="AS8723" s="20"/>
    </row>
    <row r="8724" spans="45:45" ht="14.4">
      <c r="AS8724" s="20"/>
    </row>
    <row r="8725" spans="45:45" ht="14.4">
      <c r="AS8725" s="20"/>
    </row>
    <row r="8726" spans="45:45" ht="14.4">
      <c r="AS8726" s="20"/>
    </row>
    <row r="8727" spans="45:45" ht="14.4">
      <c r="AS8727" s="20"/>
    </row>
    <row r="8728" spans="45:45" ht="14.4">
      <c r="AS8728" s="20"/>
    </row>
    <row r="8729" spans="45:45" ht="14.4">
      <c r="AS8729" s="20"/>
    </row>
    <row r="8730" spans="45:45" ht="14.4">
      <c r="AS8730" s="20"/>
    </row>
    <row r="8731" spans="45:45" ht="14.4">
      <c r="AS8731" s="20"/>
    </row>
    <row r="8732" spans="45:45" ht="14.4">
      <c r="AS8732" s="20"/>
    </row>
    <row r="8733" spans="45:45" ht="14.4">
      <c r="AS8733" s="20"/>
    </row>
    <row r="8734" spans="45:45" ht="14.4">
      <c r="AS8734" s="20"/>
    </row>
    <row r="8735" spans="45:45" ht="14.4">
      <c r="AS8735" s="20"/>
    </row>
    <row r="8736" spans="45:45" ht="14.4">
      <c r="AS8736" s="20"/>
    </row>
    <row r="8737" spans="45:45" ht="14.4">
      <c r="AS8737" s="20"/>
    </row>
    <row r="8738" spans="45:45" ht="14.4">
      <c r="AS8738" s="20"/>
    </row>
    <row r="8739" spans="45:45" ht="14.4">
      <c r="AS8739" s="20"/>
    </row>
    <row r="8740" spans="45:45" ht="14.4">
      <c r="AS8740" s="20"/>
    </row>
    <row r="8741" spans="45:45" ht="14.4">
      <c r="AS8741" s="20"/>
    </row>
    <row r="8742" spans="45:45" ht="14.4">
      <c r="AS8742" s="20"/>
    </row>
    <row r="8743" spans="45:45" ht="14.4">
      <c r="AS8743" s="20"/>
    </row>
    <row r="8744" spans="45:45" ht="14.4">
      <c r="AS8744" s="20"/>
    </row>
    <row r="8745" spans="45:45" ht="14.4">
      <c r="AS8745" s="20"/>
    </row>
    <row r="8746" spans="45:45" ht="14.4">
      <c r="AS8746" s="20"/>
    </row>
    <row r="8747" spans="45:45" ht="14.4">
      <c r="AS8747" s="20"/>
    </row>
    <row r="8748" spans="45:45" ht="14.4">
      <c r="AS8748" s="20"/>
    </row>
    <row r="8749" spans="45:45" ht="14.4">
      <c r="AS8749" s="20"/>
    </row>
    <row r="8750" spans="45:45" ht="14.4">
      <c r="AS8750" s="20"/>
    </row>
    <row r="8751" spans="45:45" ht="14.4">
      <c r="AS8751" s="20"/>
    </row>
    <row r="8752" spans="45:45" ht="14.4">
      <c r="AS8752" s="20"/>
    </row>
    <row r="8753" spans="45:45" ht="14.4">
      <c r="AS8753" s="20"/>
    </row>
    <row r="8754" spans="45:45" ht="14.4">
      <c r="AS8754" s="20"/>
    </row>
    <row r="8755" spans="45:45" ht="14.4">
      <c r="AS8755" s="20"/>
    </row>
    <row r="8756" spans="45:45" ht="14.4">
      <c r="AS8756" s="20"/>
    </row>
    <row r="8757" spans="45:45" ht="14.4">
      <c r="AS8757" s="20"/>
    </row>
    <row r="8758" spans="45:45" ht="14.4">
      <c r="AS8758" s="20"/>
    </row>
    <row r="8759" spans="45:45" ht="14.4">
      <c r="AS8759" s="20"/>
    </row>
    <row r="8760" spans="45:45" ht="14.4">
      <c r="AS8760" s="20"/>
    </row>
    <row r="8761" spans="45:45" ht="14.4">
      <c r="AS8761" s="20"/>
    </row>
    <row r="8762" spans="45:45" ht="14.4">
      <c r="AS8762" s="20"/>
    </row>
    <row r="8763" spans="45:45" ht="14.4">
      <c r="AS8763" s="20"/>
    </row>
    <row r="8764" spans="45:45" ht="14.4">
      <c r="AS8764" s="20"/>
    </row>
    <row r="8765" spans="45:45" ht="14.4">
      <c r="AS8765" s="20"/>
    </row>
    <row r="8766" spans="45:45" ht="14.4">
      <c r="AS8766" s="20"/>
    </row>
    <row r="8767" spans="45:45" ht="14.4">
      <c r="AS8767" s="20"/>
    </row>
    <row r="8768" spans="45:45" ht="14.4">
      <c r="AS8768" s="20"/>
    </row>
    <row r="8769" spans="45:45" ht="14.4">
      <c r="AS8769" s="20"/>
    </row>
    <row r="8770" spans="45:45" ht="14.4">
      <c r="AS8770" s="20"/>
    </row>
    <row r="8771" spans="45:45" ht="14.4">
      <c r="AS8771" s="20"/>
    </row>
    <row r="8772" spans="45:45" ht="14.4">
      <c r="AS8772" s="20"/>
    </row>
    <row r="8773" spans="45:45" ht="14.4">
      <c r="AS8773" s="20"/>
    </row>
    <row r="8774" spans="45:45" ht="14.4">
      <c r="AS8774" s="20"/>
    </row>
    <row r="8775" spans="45:45" ht="14.4">
      <c r="AS8775" s="20"/>
    </row>
    <row r="8776" spans="45:45" ht="14.4">
      <c r="AS8776" s="20"/>
    </row>
    <row r="8777" spans="45:45" ht="14.4">
      <c r="AS8777" s="20"/>
    </row>
    <row r="8778" spans="45:45" ht="14.4">
      <c r="AS8778" s="20"/>
    </row>
    <row r="8779" spans="45:45" ht="14.4">
      <c r="AS8779" s="20"/>
    </row>
    <row r="8780" spans="45:45" ht="14.4">
      <c r="AS8780" s="20"/>
    </row>
    <row r="8781" spans="45:45" ht="14.4">
      <c r="AS8781" s="20"/>
    </row>
    <row r="8782" spans="45:45" ht="14.4">
      <c r="AS8782" s="20"/>
    </row>
    <row r="8783" spans="45:45" ht="14.4">
      <c r="AS8783" s="20"/>
    </row>
    <row r="8784" spans="45:45" ht="14.4">
      <c r="AS8784" s="20"/>
    </row>
    <row r="8785" spans="45:45" ht="14.4">
      <c r="AS8785" s="20"/>
    </row>
    <row r="8786" spans="45:45" ht="14.4">
      <c r="AS8786" s="20"/>
    </row>
    <row r="8787" spans="45:45" ht="14.4">
      <c r="AS8787" s="20"/>
    </row>
    <row r="8788" spans="45:45" ht="14.4">
      <c r="AS8788" s="20"/>
    </row>
    <row r="8789" spans="45:45" ht="14.4">
      <c r="AS8789" s="20"/>
    </row>
    <row r="8790" spans="45:45" ht="14.4">
      <c r="AS8790" s="20"/>
    </row>
    <row r="8791" spans="45:45" ht="14.4">
      <c r="AS8791" s="20"/>
    </row>
    <row r="8792" spans="45:45" ht="14.4">
      <c r="AS8792" s="20"/>
    </row>
    <row r="8793" spans="45:45" ht="14.4">
      <c r="AS8793" s="20"/>
    </row>
    <row r="8794" spans="45:45" ht="14.4">
      <c r="AS8794" s="20"/>
    </row>
    <row r="8795" spans="45:45" ht="14.4">
      <c r="AS8795" s="20"/>
    </row>
    <row r="8796" spans="45:45" ht="14.4">
      <c r="AS8796" s="20"/>
    </row>
    <row r="8797" spans="45:45" ht="14.4">
      <c r="AS8797" s="20"/>
    </row>
    <row r="8798" spans="45:45" ht="14.4">
      <c r="AS8798" s="20"/>
    </row>
    <row r="8799" spans="45:45" ht="14.4">
      <c r="AS8799" s="20"/>
    </row>
    <row r="8800" spans="45:45" ht="14.4">
      <c r="AS8800" s="20"/>
    </row>
    <row r="8801" spans="45:45" ht="14.4">
      <c r="AS8801" s="20"/>
    </row>
    <row r="8802" spans="45:45" ht="14.4">
      <c r="AS8802" s="20"/>
    </row>
    <row r="8803" spans="45:45" ht="14.4">
      <c r="AS8803" s="20"/>
    </row>
    <row r="8804" spans="45:45" ht="14.4">
      <c r="AS8804" s="20"/>
    </row>
    <row r="8805" spans="45:45" ht="14.4">
      <c r="AS8805" s="20"/>
    </row>
    <row r="8806" spans="45:45" ht="14.4">
      <c r="AS8806" s="20"/>
    </row>
    <row r="8807" spans="45:45" ht="14.4">
      <c r="AS8807" s="20"/>
    </row>
    <row r="8808" spans="45:45" ht="14.4">
      <c r="AS8808" s="20"/>
    </row>
    <row r="8809" spans="45:45" ht="14.4">
      <c r="AS8809" s="20"/>
    </row>
    <row r="8810" spans="45:45" ht="14.4">
      <c r="AS8810" s="20"/>
    </row>
    <row r="8811" spans="45:45" ht="14.4">
      <c r="AS8811" s="20"/>
    </row>
    <row r="8812" spans="45:45" ht="14.4">
      <c r="AS8812" s="20"/>
    </row>
    <row r="8813" spans="45:45" ht="14.4">
      <c r="AS8813" s="20"/>
    </row>
    <row r="8814" spans="45:45" ht="14.4">
      <c r="AS8814" s="20"/>
    </row>
    <row r="8815" spans="45:45" ht="14.4">
      <c r="AS8815" s="20"/>
    </row>
    <row r="8816" spans="45:45" ht="14.4">
      <c r="AS8816" s="20"/>
    </row>
    <row r="8817" spans="45:45" ht="14.4">
      <c r="AS8817" s="20"/>
    </row>
    <row r="8818" spans="45:45" ht="14.4">
      <c r="AS8818" s="20"/>
    </row>
    <row r="8819" spans="45:45" ht="14.4">
      <c r="AS8819" s="20"/>
    </row>
    <row r="8820" spans="45:45" ht="14.4">
      <c r="AS8820" s="20"/>
    </row>
    <row r="8821" spans="45:45" ht="14.4">
      <c r="AS8821" s="20"/>
    </row>
    <row r="8822" spans="45:45" ht="14.4">
      <c r="AS8822" s="20"/>
    </row>
    <row r="8823" spans="45:45" ht="14.4">
      <c r="AS8823" s="20"/>
    </row>
    <row r="8824" spans="45:45" ht="14.4">
      <c r="AS8824" s="20"/>
    </row>
    <row r="8825" spans="45:45" ht="14.4">
      <c r="AS8825" s="20"/>
    </row>
    <row r="8826" spans="45:45" ht="14.4">
      <c r="AS8826" s="20"/>
    </row>
    <row r="8827" spans="45:45" ht="14.4">
      <c r="AS8827" s="20"/>
    </row>
    <row r="8828" spans="45:45" ht="14.4">
      <c r="AS8828" s="20"/>
    </row>
    <row r="8829" spans="45:45" ht="14.4">
      <c r="AS8829" s="20"/>
    </row>
    <row r="8830" spans="45:45" ht="14.4">
      <c r="AS8830" s="20"/>
    </row>
    <row r="8831" spans="45:45" ht="14.4">
      <c r="AS8831" s="20"/>
    </row>
    <row r="8832" spans="45:45" ht="14.4">
      <c r="AS8832" s="20"/>
    </row>
    <row r="8833" spans="45:45" ht="14.4">
      <c r="AS8833" s="20"/>
    </row>
    <row r="8834" spans="45:45" ht="14.4">
      <c r="AS8834" s="20"/>
    </row>
    <row r="8835" spans="45:45" ht="14.4">
      <c r="AS8835" s="20"/>
    </row>
    <row r="8836" spans="45:45" ht="14.4">
      <c r="AS8836" s="20"/>
    </row>
    <row r="8837" spans="45:45" ht="14.4">
      <c r="AS8837" s="20"/>
    </row>
    <row r="8838" spans="45:45" ht="14.4">
      <c r="AS8838" s="20"/>
    </row>
    <row r="8839" spans="45:45" ht="14.4">
      <c r="AS8839" s="20"/>
    </row>
    <row r="8840" spans="45:45" ht="14.4">
      <c r="AS8840" s="20"/>
    </row>
    <row r="8841" spans="45:45" ht="14.4">
      <c r="AS8841" s="20"/>
    </row>
    <row r="8842" spans="45:45" ht="14.4">
      <c r="AS8842" s="20"/>
    </row>
    <row r="8843" spans="45:45" ht="14.4">
      <c r="AS8843" s="20"/>
    </row>
    <row r="8844" spans="45:45" ht="14.4">
      <c r="AS8844" s="20"/>
    </row>
    <row r="8845" spans="45:45" ht="14.4">
      <c r="AS8845" s="20"/>
    </row>
    <row r="8846" spans="45:45" ht="14.4">
      <c r="AS8846" s="20"/>
    </row>
    <row r="8847" spans="45:45" ht="14.4">
      <c r="AS8847" s="20"/>
    </row>
    <row r="8848" spans="45:45" ht="14.4">
      <c r="AS8848" s="20"/>
    </row>
    <row r="8849" spans="45:45" ht="14.4">
      <c r="AS8849" s="20"/>
    </row>
    <row r="8850" spans="45:45" ht="14.4">
      <c r="AS8850" s="20"/>
    </row>
    <row r="8851" spans="45:45" ht="14.4">
      <c r="AS8851" s="20"/>
    </row>
    <row r="8852" spans="45:45" ht="14.4">
      <c r="AS8852" s="20"/>
    </row>
    <row r="8853" spans="45:45" ht="14.4">
      <c r="AS8853" s="20"/>
    </row>
    <row r="8854" spans="45:45" ht="14.4">
      <c r="AS8854" s="20"/>
    </row>
    <row r="8855" spans="45:45" ht="14.4">
      <c r="AS8855" s="20"/>
    </row>
    <row r="8856" spans="45:45" ht="14.4">
      <c r="AS8856" s="20"/>
    </row>
    <row r="8857" spans="45:45" ht="14.4">
      <c r="AS8857" s="20"/>
    </row>
    <row r="8858" spans="45:45" ht="14.4">
      <c r="AS8858" s="20"/>
    </row>
    <row r="8859" spans="45:45" ht="14.4">
      <c r="AS8859" s="20"/>
    </row>
    <row r="8860" spans="45:45" ht="14.4">
      <c r="AS8860" s="20"/>
    </row>
    <row r="8861" spans="45:45" ht="14.4">
      <c r="AS8861" s="20"/>
    </row>
    <row r="8862" spans="45:45" ht="14.4">
      <c r="AS8862" s="20"/>
    </row>
    <row r="8863" spans="45:45" ht="14.4">
      <c r="AS8863" s="20"/>
    </row>
    <row r="8864" spans="45:45" ht="14.4">
      <c r="AS8864" s="20"/>
    </row>
    <row r="8865" spans="45:45" ht="14.4">
      <c r="AS8865" s="20"/>
    </row>
    <row r="8866" spans="45:45" ht="14.4">
      <c r="AS8866" s="20"/>
    </row>
    <row r="8867" spans="45:45" ht="14.4">
      <c r="AS8867" s="20"/>
    </row>
    <row r="8868" spans="45:45" ht="14.4">
      <c r="AS8868" s="20"/>
    </row>
    <row r="8869" spans="45:45" ht="14.4">
      <c r="AS8869" s="20"/>
    </row>
    <row r="8870" spans="45:45" ht="14.4">
      <c r="AS8870" s="20"/>
    </row>
    <row r="8871" spans="45:45" ht="14.4">
      <c r="AS8871" s="20"/>
    </row>
    <row r="8872" spans="45:45" ht="14.4">
      <c r="AS8872" s="20"/>
    </row>
    <row r="8873" spans="45:45" ht="14.4">
      <c r="AS8873" s="20"/>
    </row>
    <row r="8874" spans="45:45" ht="14.4">
      <c r="AS8874" s="20"/>
    </row>
    <row r="8875" spans="45:45" ht="14.4">
      <c r="AS8875" s="20"/>
    </row>
    <row r="8876" spans="45:45" ht="14.4">
      <c r="AS8876" s="20"/>
    </row>
    <row r="8877" spans="45:45" ht="14.4">
      <c r="AS8877" s="20"/>
    </row>
    <row r="8878" spans="45:45" ht="14.4">
      <c r="AS8878" s="20"/>
    </row>
    <row r="8879" spans="45:45" ht="14.4">
      <c r="AS8879" s="20"/>
    </row>
    <row r="8880" spans="45:45" ht="14.4">
      <c r="AS8880" s="20"/>
    </row>
    <row r="8881" spans="45:45" ht="14.4">
      <c r="AS8881" s="20"/>
    </row>
    <row r="8882" spans="45:45" ht="14.4">
      <c r="AS8882" s="20"/>
    </row>
    <row r="8883" spans="45:45" ht="14.4">
      <c r="AS8883" s="20"/>
    </row>
    <row r="8884" spans="45:45" ht="14.4">
      <c r="AS8884" s="20"/>
    </row>
    <row r="8885" spans="45:45" ht="14.4">
      <c r="AS8885" s="20"/>
    </row>
    <row r="8886" spans="45:45" ht="14.4">
      <c r="AS8886" s="20"/>
    </row>
    <row r="8887" spans="45:45" ht="14.4">
      <c r="AS8887" s="20"/>
    </row>
    <row r="8888" spans="45:45" ht="14.4">
      <c r="AS8888" s="20"/>
    </row>
    <row r="8889" spans="45:45" ht="14.4">
      <c r="AS8889" s="20"/>
    </row>
    <row r="8890" spans="45:45" ht="14.4">
      <c r="AS8890" s="20"/>
    </row>
    <row r="8891" spans="45:45" ht="14.4">
      <c r="AS8891" s="20"/>
    </row>
    <row r="8892" spans="45:45" ht="14.4">
      <c r="AS8892" s="20"/>
    </row>
    <row r="8893" spans="45:45" ht="14.4">
      <c r="AS8893" s="20"/>
    </row>
    <row r="8894" spans="45:45" ht="14.4">
      <c r="AS8894" s="20"/>
    </row>
    <row r="8895" spans="45:45" ht="14.4">
      <c r="AS8895" s="20"/>
    </row>
    <row r="8896" spans="45:45" ht="14.4">
      <c r="AS8896" s="20"/>
    </row>
    <row r="8897" spans="45:45" ht="14.4">
      <c r="AS8897" s="20"/>
    </row>
    <row r="8898" spans="45:45" ht="14.4">
      <c r="AS8898" s="20"/>
    </row>
    <row r="8899" spans="45:45" ht="14.4">
      <c r="AS8899" s="20"/>
    </row>
    <row r="8900" spans="45:45" ht="14.4">
      <c r="AS8900" s="20"/>
    </row>
    <row r="8901" spans="45:45" ht="14.4">
      <c r="AS8901" s="20"/>
    </row>
    <row r="8902" spans="45:45" ht="14.4">
      <c r="AS8902" s="20"/>
    </row>
    <row r="8903" spans="45:45" ht="14.4">
      <c r="AS8903" s="20"/>
    </row>
    <row r="8904" spans="45:45" ht="14.4">
      <c r="AS8904" s="20"/>
    </row>
    <row r="8905" spans="45:45" ht="14.4">
      <c r="AS8905" s="20"/>
    </row>
    <row r="8906" spans="45:45" ht="14.4">
      <c r="AS8906" s="20"/>
    </row>
    <row r="8907" spans="45:45" ht="14.4">
      <c r="AS8907" s="20"/>
    </row>
    <row r="8908" spans="45:45" ht="14.4">
      <c r="AS8908" s="20"/>
    </row>
    <row r="8909" spans="45:45" ht="14.4">
      <c r="AS8909" s="20"/>
    </row>
    <row r="8910" spans="45:45" ht="14.4">
      <c r="AS8910" s="20"/>
    </row>
    <row r="8911" spans="45:45" ht="14.4">
      <c r="AS8911" s="20"/>
    </row>
    <row r="8912" spans="45:45" ht="14.4">
      <c r="AS8912" s="20"/>
    </row>
    <row r="8913" spans="45:45" ht="14.4">
      <c r="AS8913" s="20"/>
    </row>
    <row r="8914" spans="45:45" ht="14.4">
      <c r="AS8914" s="20"/>
    </row>
    <row r="8915" spans="45:45" ht="14.4">
      <c r="AS8915" s="20"/>
    </row>
    <row r="8916" spans="45:45" ht="14.4">
      <c r="AS8916" s="20"/>
    </row>
    <row r="8917" spans="45:45" ht="14.4">
      <c r="AS8917" s="20"/>
    </row>
    <row r="8918" spans="45:45" ht="14.4">
      <c r="AS8918" s="20"/>
    </row>
    <row r="8919" spans="45:45" ht="14.4">
      <c r="AS8919" s="20"/>
    </row>
    <row r="8920" spans="45:45" ht="14.4">
      <c r="AS8920" s="20"/>
    </row>
    <row r="8921" spans="45:45" ht="14.4">
      <c r="AS8921" s="20"/>
    </row>
    <row r="8922" spans="45:45" ht="14.4">
      <c r="AS8922" s="20"/>
    </row>
    <row r="8923" spans="45:45" ht="14.4">
      <c r="AS8923" s="20"/>
    </row>
    <row r="8924" spans="45:45" ht="14.4">
      <c r="AS8924" s="20"/>
    </row>
    <row r="8925" spans="45:45" ht="14.4">
      <c r="AS8925" s="20"/>
    </row>
    <row r="8926" spans="45:45" ht="14.4">
      <c r="AS8926" s="20"/>
    </row>
    <row r="8927" spans="45:45" ht="14.4">
      <c r="AS8927" s="20"/>
    </row>
    <row r="8928" spans="45:45" ht="14.4">
      <c r="AS8928" s="20"/>
    </row>
    <row r="8929" spans="45:45" ht="14.4">
      <c r="AS8929" s="20"/>
    </row>
    <row r="8930" spans="45:45" ht="14.4">
      <c r="AS8930" s="20"/>
    </row>
    <row r="8931" spans="45:45" ht="14.4">
      <c r="AS8931" s="20"/>
    </row>
    <row r="8932" spans="45:45" ht="14.4">
      <c r="AS8932" s="20"/>
    </row>
    <row r="8933" spans="45:45" ht="14.4">
      <c r="AS8933" s="20"/>
    </row>
    <row r="8934" spans="45:45" ht="14.4">
      <c r="AS8934" s="20"/>
    </row>
    <row r="8935" spans="45:45" ht="14.4">
      <c r="AS8935" s="20"/>
    </row>
    <row r="8936" spans="45:45" ht="14.4">
      <c r="AS8936" s="20"/>
    </row>
    <row r="8937" spans="45:45" ht="14.4">
      <c r="AS8937" s="20"/>
    </row>
    <row r="8938" spans="45:45" ht="14.4">
      <c r="AS8938" s="20"/>
    </row>
    <row r="8939" spans="45:45" ht="14.4">
      <c r="AS8939" s="20"/>
    </row>
    <row r="8940" spans="45:45" ht="14.4">
      <c r="AS8940" s="20"/>
    </row>
    <row r="8941" spans="45:45" ht="14.4">
      <c r="AS8941" s="20"/>
    </row>
    <row r="8942" spans="45:45" ht="14.4">
      <c r="AS8942" s="20"/>
    </row>
    <row r="8943" spans="45:45" ht="14.4">
      <c r="AS8943" s="20"/>
    </row>
    <row r="8944" spans="45:45" ht="14.4">
      <c r="AS8944" s="20"/>
    </row>
    <row r="8945" spans="45:45" ht="14.4">
      <c r="AS8945" s="20"/>
    </row>
    <row r="8946" spans="45:45" ht="14.4">
      <c r="AS8946" s="20"/>
    </row>
    <row r="8947" spans="45:45" ht="14.4">
      <c r="AS8947" s="20"/>
    </row>
    <row r="8948" spans="45:45" ht="14.4">
      <c r="AS8948" s="20"/>
    </row>
    <row r="8949" spans="45:45" ht="14.4">
      <c r="AS8949" s="20"/>
    </row>
    <row r="8950" spans="45:45" ht="14.4">
      <c r="AS8950" s="20"/>
    </row>
    <row r="8951" spans="45:45" ht="14.4">
      <c r="AS8951" s="20"/>
    </row>
    <row r="8952" spans="45:45" ht="14.4">
      <c r="AS8952" s="20"/>
    </row>
    <row r="8953" spans="45:45" ht="14.4">
      <c r="AS8953" s="20"/>
    </row>
    <row r="8954" spans="45:45" ht="14.4">
      <c r="AS8954" s="20"/>
    </row>
    <row r="8955" spans="45:45" ht="14.4">
      <c r="AS8955" s="20"/>
    </row>
    <row r="8956" spans="45:45" ht="14.4">
      <c r="AS8956" s="20"/>
    </row>
    <row r="8957" spans="45:45" ht="14.4">
      <c r="AS8957" s="20"/>
    </row>
    <row r="8958" spans="45:45" ht="14.4">
      <c r="AS8958" s="20"/>
    </row>
    <row r="8959" spans="45:45" ht="14.4">
      <c r="AS8959" s="20"/>
    </row>
    <row r="8960" spans="45:45" ht="14.4">
      <c r="AS8960" s="20"/>
    </row>
    <row r="8961" spans="45:45" ht="14.4">
      <c r="AS8961" s="20"/>
    </row>
    <row r="8962" spans="45:45" ht="14.4">
      <c r="AS8962" s="20"/>
    </row>
    <row r="8963" spans="45:45" ht="14.4">
      <c r="AS8963" s="20"/>
    </row>
    <row r="8964" spans="45:45" ht="14.4">
      <c r="AS8964" s="20"/>
    </row>
    <row r="8965" spans="45:45" ht="14.4">
      <c r="AS8965" s="20"/>
    </row>
    <row r="8966" spans="45:45" ht="14.4">
      <c r="AS8966" s="20"/>
    </row>
    <row r="8967" spans="45:45" ht="14.4">
      <c r="AS8967" s="20"/>
    </row>
    <row r="8968" spans="45:45" ht="14.4">
      <c r="AS8968" s="20"/>
    </row>
    <row r="8969" spans="45:45" ht="14.4">
      <c r="AS8969" s="20"/>
    </row>
    <row r="8970" spans="45:45" ht="14.4">
      <c r="AS8970" s="20"/>
    </row>
    <row r="8971" spans="45:45" ht="14.4">
      <c r="AS8971" s="20"/>
    </row>
    <row r="8972" spans="45:45" ht="14.4">
      <c r="AS8972" s="20"/>
    </row>
    <row r="8973" spans="45:45" ht="14.4">
      <c r="AS8973" s="20"/>
    </row>
    <row r="8974" spans="45:45" ht="14.4">
      <c r="AS8974" s="20"/>
    </row>
    <row r="8975" spans="45:45" ht="14.4">
      <c r="AS8975" s="20"/>
    </row>
    <row r="8976" spans="45:45" ht="14.4">
      <c r="AS8976" s="20"/>
    </row>
    <row r="8977" spans="45:45" ht="14.4">
      <c r="AS8977" s="20"/>
    </row>
    <row r="8978" spans="45:45" ht="14.4">
      <c r="AS8978" s="20"/>
    </row>
    <row r="8979" spans="45:45" ht="14.4">
      <c r="AS8979" s="20"/>
    </row>
    <row r="8980" spans="45:45" ht="14.4">
      <c r="AS8980" s="20"/>
    </row>
    <row r="8981" spans="45:45" ht="14.4">
      <c r="AS8981" s="20"/>
    </row>
    <row r="8982" spans="45:45" ht="14.4">
      <c r="AS8982" s="20"/>
    </row>
    <row r="8983" spans="45:45" ht="14.4">
      <c r="AS8983" s="20"/>
    </row>
    <row r="8984" spans="45:45" ht="14.4">
      <c r="AS8984" s="20"/>
    </row>
    <row r="8985" spans="45:45" ht="14.4">
      <c r="AS8985" s="20"/>
    </row>
    <row r="8986" spans="45:45" ht="14.4">
      <c r="AS8986" s="20"/>
    </row>
    <row r="8987" spans="45:45" ht="14.4">
      <c r="AS8987" s="20"/>
    </row>
    <row r="8988" spans="45:45" ht="14.4">
      <c r="AS8988" s="20"/>
    </row>
    <row r="8989" spans="45:45" ht="14.4">
      <c r="AS8989" s="20"/>
    </row>
    <row r="8990" spans="45:45" ht="14.4">
      <c r="AS8990" s="20"/>
    </row>
    <row r="8991" spans="45:45" ht="14.4">
      <c r="AS8991" s="20"/>
    </row>
    <row r="8992" spans="45:45" ht="14.4">
      <c r="AS8992" s="20"/>
    </row>
    <row r="8993" spans="45:45" ht="14.4">
      <c r="AS8993" s="20"/>
    </row>
    <row r="8994" spans="45:45" ht="14.4">
      <c r="AS8994" s="20"/>
    </row>
    <row r="8995" spans="45:45" ht="14.4">
      <c r="AS8995" s="20"/>
    </row>
    <row r="8996" spans="45:45" ht="14.4">
      <c r="AS8996" s="20"/>
    </row>
    <row r="8997" spans="45:45" ht="14.4">
      <c r="AS8997" s="20"/>
    </row>
    <row r="8998" spans="45:45" ht="14.4">
      <c r="AS8998" s="20"/>
    </row>
    <row r="8999" spans="45:45" ht="14.4">
      <c r="AS8999" s="20"/>
    </row>
    <row r="9000" spans="45:45" ht="14.4">
      <c r="AS9000" s="20"/>
    </row>
    <row r="9001" spans="45:45" ht="14.4">
      <c r="AS9001" s="20"/>
    </row>
    <row r="9002" spans="45:45" ht="14.4">
      <c r="AS9002" s="20"/>
    </row>
    <row r="9003" spans="45:45" ht="14.4">
      <c r="AS9003" s="20"/>
    </row>
    <row r="9004" spans="45:45" ht="14.4">
      <c r="AS9004" s="20"/>
    </row>
    <row r="9005" spans="45:45" ht="14.4">
      <c r="AS9005" s="20"/>
    </row>
    <row r="9006" spans="45:45" ht="14.4">
      <c r="AS9006" s="20"/>
    </row>
    <row r="9007" spans="45:45" ht="14.4">
      <c r="AS9007" s="20"/>
    </row>
    <row r="9008" spans="45:45" ht="14.4">
      <c r="AS9008" s="20"/>
    </row>
    <row r="9009" spans="45:45" ht="14.4">
      <c r="AS9009" s="20"/>
    </row>
    <row r="9010" spans="45:45" ht="14.4">
      <c r="AS9010" s="20"/>
    </row>
    <row r="9011" spans="45:45" ht="14.4">
      <c r="AS9011" s="20"/>
    </row>
    <row r="9012" spans="45:45" ht="14.4">
      <c r="AS9012" s="20"/>
    </row>
    <row r="9013" spans="45:45" ht="14.4">
      <c r="AS9013" s="20"/>
    </row>
    <row r="9014" spans="45:45" ht="14.4">
      <c r="AS9014" s="20"/>
    </row>
    <row r="9015" spans="45:45" ht="14.4">
      <c r="AS9015" s="20"/>
    </row>
    <row r="9016" spans="45:45" ht="14.4">
      <c r="AS9016" s="20"/>
    </row>
    <row r="9017" spans="45:45" ht="14.4">
      <c r="AS9017" s="20"/>
    </row>
    <row r="9018" spans="45:45" ht="14.4">
      <c r="AS9018" s="20"/>
    </row>
    <row r="9019" spans="45:45" ht="14.4">
      <c r="AS9019" s="20"/>
    </row>
    <row r="9020" spans="45:45" ht="14.4">
      <c r="AS9020" s="20"/>
    </row>
    <row r="9021" spans="45:45" ht="14.4">
      <c r="AS9021" s="20"/>
    </row>
    <row r="9022" spans="45:45" ht="14.4">
      <c r="AS9022" s="20"/>
    </row>
    <row r="9023" spans="45:45" ht="14.4">
      <c r="AS9023" s="20"/>
    </row>
    <row r="9024" spans="45:45" ht="14.4">
      <c r="AS9024" s="20"/>
    </row>
    <row r="9025" spans="45:45" ht="14.4">
      <c r="AS9025" s="20"/>
    </row>
    <row r="9026" spans="45:45" ht="14.4">
      <c r="AS9026" s="20"/>
    </row>
    <row r="9027" spans="45:45" ht="14.4">
      <c r="AS9027" s="20"/>
    </row>
    <row r="9028" spans="45:45" ht="14.4">
      <c r="AS9028" s="20"/>
    </row>
    <row r="9029" spans="45:45" ht="14.4">
      <c r="AS9029" s="20"/>
    </row>
    <row r="9030" spans="45:45" ht="14.4">
      <c r="AS9030" s="20"/>
    </row>
    <row r="9031" spans="45:45" ht="14.4">
      <c r="AS9031" s="20"/>
    </row>
    <row r="9032" spans="45:45" ht="14.4">
      <c r="AS9032" s="20"/>
    </row>
    <row r="9033" spans="45:45" ht="14.4">
      <c r="AS9033" s="20"/>
    </row>
    <row r="9034" spans="45:45" ht="14.4">
      <c r="AS9034" s="20"/>
    </row>
    <row r="9035" spans="45:45" ht="14.4">
      <c r="AS9035" s="20"/>
    </row>
    <row r="9036" spans="45:45" ht="14.4">
      <c r="AS9036" s="20"/>
    </row>
    <row r="9037" spans="45:45" ht="14.4">
      <c r="AS9037" s="20"/>
    </row>
    <row r="9038" spans="45:45" ht="14.4">
      <c r="AS9038" s="20"/>
    </row>
    <row r="9039" spans="45:45" ht="14.4">
      <c r="AS9039" s="20"/>
    </row>
    <row r="9040" spans="45:45" ht="14.4">
      <c r="AS9040" s="20"/>
    </row>
    <row r="9041" spans="45:45" ht="14.4">
      <c r="AS9041" s="20"/>
    </row>
    <row r="9042" spans="45:45" ht="14.4">
      <c r="AS9042" s="20"/>
    </row>
    <row r="9043" spans="45:45" ht="14.4">
      <c r="AS9043" s="20"/>
    </row>
    <row r="9044" spans="45:45" ht="14.4">
      <c r="AS9044" s="20"/>
    </row>
    <row r="9045" spans="45:45" ht="14.4">
      <c r="AS9045" s="20"/>
    </row>
    <row r="9046" spans="45:45" ht="14.4">
      <c r="AS9046" s="20"/>
    </row>
    <row r="9047" spans="45:45" ht="14.4">
      <c r="AS9047" s="20"/>
    </row>
    <row r="9048" spans="45:45" ht="14.4">
      <c r="AS9048" s="20"/>
    </row>
    <row r="9049" spans="45:45" ht="14.4">
      <c r="AS9049" s="20"/>
    </row>
    <row r="9050" spans="45:45" ht="14.4">
      <c r="AS9050" s="20"/>
    </row>
    <row r="9051" spans="45:45" ht="14.4">
      <c r="AS9051" s="20"/>
    </row>
    <row r="9052" spans="45:45" ht="14.4">
      <c r="AS9052" s="20"/>
    </row>
    <row r="9053" spans="45:45" ht="14.4">
      <c r="AS9053" s="20"/>
    </row>
    <row r="9054" spans="45:45" ht="14.4">
      <c r="AS9054" s="20"/>
    </row>
    <row r="9055" spans="45:45" ht="14.4">
      <c r="AS9055" s="20"/>
    </row>
    <row r="9056" spans="45:45" ht="14.4">
      <c r="AS9056" s="20"/>
    </row>
    <row r="9057" spans="45:45" ht="14.4">
      <c r="AS9057" s="20"/>
    </row>
    <row r="9058" spans="45:45" ht="14.4">
      <c r="AS9058" s="20"/>
    </row>
    <row r="9059" spans="45:45" ht="14.4">
      <c r="AS9059" s="20"/>
    </row>
    <row r="9060" spans="45:45" ht="14.4">
      <c r="AS9060" s="20"/>
    </row>
    <row r="9061" spans="45:45" ht="14.4">
      <c r="AS9061" s="20"/>
    </row>
    <row r="9062" spans="45:45" ht="14.4">
      <c r="AS9062" s="20"/>
    </row>
    <row r="9063" spans="45:45" ht="14.4">
      <c r="AS9063" s="20"/>
    </row>
    <row r="9064" spans="45:45" ht="14.4">
      <c r="AS9064" s="20"/>
    </row>
    <row r="9065" spans="45:45" ht="14.4">
      <c r="AS9065" s="20"/>
    </row>
    <row r="9066" spans="45:45" ht="14.4">
      <c r="AS9066" s="20"/>
    </row>
    <row r="9067" spans="45:45" ht="14.4">
      <c r="AS9067" s="20"/>
    </row>
    <row r="9068" spans="45:45" ht="14.4">
      <c r="AS9068" s="20"/>
    </row>
    <row r="9069" spans="45:45" ht="14.4">
      <c r="AS9069" s="20"/>
    </row>
    <row r="9070" spans="45:45" ht="14.4">
      <c r="AS9070" s="20"/>
    </row>
    <row r="9071" spans="45:45" ht="14.4">
      <c r="AS9071" s="20"/>
    </row>
    <row r="9072" spans="45:45" ht="14.4">
      <c r="AS9072" s="20"/>
    </row>
    <row r="9073" spans="45:45" ht="14.4">
      <c r="AS9073" s="20"/>
    </row>
    <row r="9074" spans="45:45" ht="14.4">
      <c r="AS9074" s="20"/>
    </row>
    <row r="9075" spans="45:45" ht="14.4">
      <c r="AS9075" s="20"/>
    </row>
    <row r="9076" spans="45:45" ht="14.4">
      <c r="AS9076" s="20"/>
    </row>
    <row r="9077" spans="45:45" ht="14.4">
      <c r="AS9077" s="20"/>
    </row>
    <row r="9078" spans="45:45" ht="14.4">
      <c r="AS9078" s="20"/>
    </row>
    <row r="9079" spans="45:45" ht="14.4">
      <c r="AS9079" s="20"/>
    </row>
    <row r="9080" spans="45:45" ht="14.4">
      <c r="AS9080" s="20"/>
    </row>
    <row r="9081" spans="45:45" ht="14.4">
      <c r="AS9081" s="20"/>
    </row>
    <row r="9082" spans="45:45" ht="14.4">
      <c r="AS9082" s="20"/>
    </row>
    <row r="9083" spans="45:45" ht="14.4">
      <c r="AS9083" s="20"/>
    </row>
    <row r="9084" spans="45:45" ht="14.4">
      <c r="AS9084" s="20"/>
    </row>
    <row r="9085" spans="45:45" ht="14.4">
      <c r="AS9085" s="20"/>
    </row>
    <row r="9086" spans="45:45" ht="14.4">
      <c r="AS9086" s="20"/>
    </row>
    <row r="9087" spans="45:45" ht="14.4">
      <c r="AS9087" s="20"/>
    </row>
    <row r="9088" spans="45:45" ht="14.4">
      <c r="AS9088" s="20"/>
    </row>
    <row r="9089" spans="45:45" ht="14.4">
      <c r="AS9089" s="20"/>
    </row>
    <row r="9090" spans="45:45" ht="14.4">
      <c r="AS9090" s="20"/>
    </row>
    <row r="9091" spans="45:45" ht="14.4">
      <c r="AS9091" s="20"/>
    </row>
    <row r="9092" spans="45:45" ht="14.4">
      <c r="AS9092" s="20"/>
    </row>
    <row r="9093" spans="45:45" ht="14.4">
      <c r="AS9093" s="20"/>
    </row>
    <row r="9094" spans="45:45" ht="14.4">
      <c r="AS9094" s="20"/>
    </row>
    <row r="9095" spans="45:45" ht="14.4">
      <c r="AS9095" s="20"/>
    </row>
    <row r="9096" spans="45:45" ht="14.4">
      <c r="AS9096" s="20"/>
    </row>
    <row r="9097" spans="45:45" ht="14.4">
      <c r="AS9097" s="20"/>
    </row>
    <row r="9098" spans="45:45" ht="14.4">
      <c r="AS9098" s="20"/>
    </row>
    <row r="9099" spans="45:45" ht="14.4">
      <c r="AS9099" s="20"/>
    </row>
    <row r="9100" spans="45:45" ht="14.4">
      <c r="AS9100" s="20"/>
    </row>
    <row r="9101" spans="45:45" ht="14.4">
      <c r="AS9101" s="20"/>
    </row>
    <row r="9102" spans="45:45" ht="14.4">
      <c r="AS9102" s="20"/>
    </row>
    <row r="9103" spans="45:45" ht="14.4">
      <c r="AS9103" s="20"/>
    </row>
    <row r="9104" spans="45:45" ht="14.4">
      <c r="AS9104" s="20"/>
    </row>
    <row r="9105" spans="45:45" ht="14.4">
      <c r="AS9105" s="20"/>
    </row>
    <row r="9106" spans="45:45" ht="14.4">
      <c r="AS9106" s="20"/>
    </row>
    <row r="9107" spans="45:45" ht="14.4">
      <c r="AS9107" s="20"/>
    </row>
    <row r="9108" spans="45:45" ht="14.4">
      <c r="AS9108" s="20"/>
    </row>
    <row r="9109" spans="45:45" ht="14.4">
      <c r="AS9109" s="20"/>
    </row>
    <row r="9110" spans="45:45" ht="14.4">
      <c r="AS9110" s="20"/>
    </row>
    <row r="9111" spans="45:45" ht="14.4">
      <c r="AS9111" s="20"/>
    </row>
    <row r="9112" spans="45:45" ht="14.4">
      <c r="AS9112" s="20"/>
    </row>
    <row r="9113" spans="45:45" ht="14.4">
      <c r="AS9113" s="20"/>
    </row>
    <row r="9114" spans="45:45" ht="14.4">
      <c r="AS9114" s="20"/>
    </row>
    <row r="9115" spans="45:45" ht="14.4">
      <c r="AS9115" s="20"/>
    </row>
    <row r="9116" spans="45:45" ht="14.4">
      <c r="AS9116" s="20"/>
    </row>
    <row r="9117" spans="45:45" ht="14.4">
      <c r="AS9117" s="20"/>
    </row>
    <row r="9118" spans="45:45" ht="14.4">
      <c r="AS9118" s="20"/>
    </row>
    <row r="9119" spans="45:45" ht="14.4">
      <c r="AS9119" s="20"/>
    </row>
    <row r="9120" spans="45:45" ht="14.4">
      <c r="AS9120" s="20"/>
    </row>
    <row r="9121" spans="45:45" ht="14.4">
      <c r="AS9121" s="20"/>
    </row>
    <row r="9122" spans="45:45" ht="14.4">
      <c r="AS9122" s="20"/>
    </row>
    <row r="9123" spans="45:45" ht="14.4">
      <c r="AS9123" s="20"/>
    </row>
    <row r="9124" spans="45:45" ht="14.4">
      <c r="AS9124" s="20"/>
    </row>
    <row r="9125" spans="45:45" ht="14.4">
      <c r="AS9125" s="20"/>
    </row>
    <row r="9126" spans="45:45" ht="14.4">
      <c r="AS9126" s="20"/>
    </row>
    <row r="9127" spans="45:45" ht="14.4">
      <c r="AS9127" s="20"/>
    </row>
    <row r="9128" spans="45:45" ht="14.4">
      <c r="AS9128" s="20"/>
    </row>
    <row r="9129" spans="45:45" ht="14.4">
      <c r="AS9129" s="20"/>
    </row>
    <row r="9130" spans="45:45" ht="14.4">
      <c r="AS9130" s="20"/>
    </row>
    <row r="9131" spans="45:45" ht="14.4">
      <c r="AS9131" s="20"/>
    </row>
    <row r="9132" spans="45:45" ht="14.4">
      <c r="AS9132" s="20"/>
    </row>
    <row r="9133" spans="45:45" ht="14.4">
      <c r="AS9133" s="20"/>
    </row>
    <row r="9134" spans="45:45" ht="14.4">
      <c r="AS9134" s="20"/>
    </row>
    <row r="9135" spans="45:45" ht="14.4">
      <c r="AS9135" s="20"/>
    </row>
    <row r="9136" spans="45:45" ht="14.4">
      <c r="AS9136" s="20"/>
    </row>
    <row r="9137" spans="45:45" ht="14.4">
      <c r="AS9137" s="20"/>
    </row>
    <row r="9138" spans="45:45" ht="14.4">
      <c r="AS9138" s="20"/>
    </row>
    <row r="9139" spans="45:45" ht="14.4">
      <c r="AS9139" s="20"/>
    </row>
    <row r="9140" spans="45:45" ht="14.4">
      <c r="AS9140" s="20"/>
    </row>
    <row r="9141" spans="45:45" ht="14.4">
      <c r="AS9141" s="20"/>
    </row>
    <row r="9142" spans="45:45" ht="14.4">
      <c r="AS9142" s="20"/>
    </row>
    <row r="9143" spans="45:45" ht="14.4">
      <c r="AS9143" s="20"/>
    </row>
    <row r="9144" spans="45:45" ht="14.4">
      <c r="AS9144" s="20"/>
    </row>
    <row r="9145" spans="45:45" ht="14.4">
      <c r="AS9145" s="20"/>
    </row>
    <row r="9146" spans="45:45" ht="14.4">
      <c r="AS9146" s="20"/>
    </row>
    <row r="9147" spans="45:45" ht="14.4">
      <c r="AS9147" s="20"/>
    </row>
    <row r="9148" spans="45:45" ht="14.4">
      <c r="AS9148" s="20"/>
    </row>
    <row r="9149" spans="45:45" ht="14.4">
      <c r="AS9149" s="20"/>
    </row>
    <row r="9150" spans="45:45" ht="14.4">
      <c r="AS9150" s="20"/>
    </row>
    <row r="9151" spans="45:45" ht="14.4">
      <c r="AS9151" s="20"/>
    </row>
    <row r="9152" spans="45:45" ht="14.4">
      <c r="AS9152" s="20"/>
    </row>
    <row r="9153" spans="45:45" ht="14.4">
      <c r="AS9153" s="20"/>
    </row>
    <row r="9154" spans="45:45" ht="14.4">
      <c r="AS9154" s="20"/>
    </row>
    <row r="9155" spans="45:45" ht="14.4">
      <c r="AS9155" s="20"/>
    </row>
    <row r="9156" spans="45:45" ht="14.4">
      <c r="AS9156" s="20"/>
    </row>
    <row r="9157" spans="45:45" ht="14.4">
      <c r="AS9157" s="20"/>
    </row>
    <row r="9158" spans="45:45" ht="14.4">
      <c r="AS9158" s="20"/>
    </row>
    <row r="9159" spans="45:45" ht="14.4">
      <c r="AS9159" s="20"/>
    </row>
    <row r="9160" spans="45:45" ht="14.4">
      <c r="AS9160" s="20"/>
    </row>
    <row r="9161" spans="45:45" ht="14.4">
      <c r="AS9161" s="20"/>
    </row>
    <row r="9162" spans="45:45" ht="14.4">
      <c r="AS9162" s="20"/>
    </row>
    <row r="9163" spans="45:45" ht="14.4">
      <c r="AS9163" s="20"/>
    </row>
    <row r="9164" spans="45:45" ht="14.4">
      <c r="AS9164" s="20"/>
    </row>
    <row r="9165" spans="45:45" ht="14.4">
      <c r="AS9165" s="20"/>
    </row>
    <row r="9166" spans="45:45" ht="14.4">
      <c r="AS9166" s="20"/>
    </row>
    <row r="9167" spans="45:45" ht="14.4">
      <c r="AS9167" s="20"/>
    </row>
    <row r="9168" spans="45:45" ht="14.4">
      <c r="AS9168" s="20"/>
    </row>
    <row r="9169" spans="45:45" ht="14.4">
      <c r="AS9169" s="20"/>
    </row>
    <row r="9170" spans="45:45" ht="14.4">
      <c r="AS9170" s="20"/>
    </row>
    <row r="9171" spans="45:45" ht="14.4">
      <c r="AS9171" s="20"/>
    </row>
    <row r="9172" spans="45:45" ht="14.4">
      <c r="AS9172" s="20"/>
    </row>
    <row r="9173" spans="45:45" ht="14.4">
      <c r="AS9173" s="20"/>
    </row>
    <row r="9174" spans="45:45" ht="14.4">
      <c r="AS9174" s="20"/>
    </row>
    <row r="9175" spans="45:45" ht="14.4">
      <c r="AS9175" s="20"/>
    </row>
    <row r="9176" spans="45:45" ht="14.4">
      <c r="AS9176" s="20"/>
    </row>
    <row r="9177" spans="45:45" ht="14.4">
      <c r="AS9177" s="20"/>
    </row>
    <row r="9178" spans="45:45" ht="14.4">
      <c r="AS9178" s="20"/>
    </row>
    <row r="9179" spans="45:45" ht="14.4">
      <c r="AS9179" s="20"/>
    </row>
    <row r="9180" spans="45:45" ht="14.4">
      <c r="AS9180" s="20"/>
    </row>
    <row r="9181" spans="45:45" ht="14.4">
      <c r="AS9181" s="20"/>
    </row>
    <row r="9182" spans="45:45" ht="14.4">
      <c r="AS9182" s="20"/>
    </row>
    <row r="9183" spans="45:45" ht="14.4">
      <c r="AS9183" s="20"/>
    </row>
    <row r="9184" spans="45:45" ht="14.4">
      <c r="AS9184" s="20"/>
    </row>
    <row r="9185" spans="45:45" ht="14.4">
      <c r="AS9185" s="20"/>
    </row>
    <row r="9186" spans="45:45" ht="14.4">
      <c r="AS9186" s="20"/>
    </row>
    <row r="9187" spans="45:45" ht="14.4">
      <c r="AS9187" s="20"/>
    </row>
    <row r="9188" spans="45:45" ht="14.4">
      <c r="AS9188" s="20"/>
    </row>
    <row r="9189" spans="45:45" ht="14.4">
      <c r="AS9189" s="20"/>
    </row>
    <row r="9190" spans="45:45" ht="14.4">
      <c r="AS9190" s="20"/>
    </row>
    <row r="9191" spans="45:45" ht="14.4">
      <c r="AS9191" s="20"/>
    </row>
    <row r="9192" spans="45:45" ht="14.4">
      <c r="AS9192" s="20"/>
    </row>
    <row r="9193" spans="45:45" ht="14.4">
      <c r="AS9193" s="20"/>
    </row>
    <row r="9194" spans="45:45" ht="14.4">
      <c r="AS9194" s="20"/>
    </row>
    <row r="9195" spans="45:45" ht="14.4">
      <c r="AS9195" s="20"/>
    </row>
    <row r="9196" spans="45:45" ht="14.4">
      <c r="AS9196" s="20"/>
    </row>
    <row r="9197" spans="45:45" ht="14.4">
      <c r="AS9197" s="20"/>
    </row>
    <row r="9198" spans="45:45" ht="14.4">
      <c r="AS9198" s="20"/>
    </row>
    <row r="9199" spans="45:45" ht="14.4">
      <c r="AS9199" s="20"/>
    </row>
    <row r="9200" spans="45:45" ht="14.4">
      <c r="AS9200" s="20"/>
    </row>
    <row r="9201" spans="45:45" ht="14.4">
      <c r="AS9201" s="20"/>
    </row>
    <row r="9202" spans="45:45" ht="14.4">
      <c r="AS9202" s="20"/>
    </row>
    <row r="9203" spans="45:45" ht="14.4">
      <c r="AS9203" s="20"/>
    </row>
    <row r="9204" spans="45:45" ht="14.4">
      <c r="AS9204" s="20"/>
    </row>
    <row r="9205" spans="45:45" ht="14.4">
      <c r="AS9205" s="20"/>
    </row>
    <row r="9206" spans="45:45" ht="14.4">
      <c r="AS9206" s="20"/>
    </row>
    <row r="9207" spans="45:45" ht="14.4">
      <c r="AS9207" s="20"/>
    </row>
    <row r="9208" spans="45:45" ht="14.4">
      <c r="AS9208" s="20"/>
    </row>
    <row r="9209" spans="45:45" ht="14.4">
      <c r="AS9209" s="20"/>
    </row>
    <row r="9210" spans="45:45" ht="14.4">
      <c r="AS9210" s="20"/>
    </row>
    <row r="9211" spans="45:45" ht="14.4">
      <c r="AS9211" s="20"/>
    </row>
    <row r="9212" spans="45:45" ht="14.4">
      <c r="AS9212" s="20"/>
    </row>
    <row r="9213" spans="45:45" ht="14.4">
      <c r="AS9213" s="20"/>
    </row>
    <row r="9214" spans="45:45" ht="14.4">
      <c r="AS9214" s="20"/>
    </row>
    <row r="9215" spans="45:45" ht="14.4">
      <c r="AS9215" s="20"/>
    </row>
    <row r="9216" spans="45:45" ht="14.4">
      <c r="AS9216" s="20"/>
    </row>
    <row r="9217" spans="45:45" ht="14.4">
      <c r="AS9217" s="20"/>
    </row>
    <row r="9218" spans="45:45" ht="14.4">
      <c r="AS9218" s="20"/>
    </row>
    <row r="9219" spans="45:45" ht="14.4">
      <c r="AS9219" s="20"/>
    </row>
    <row r="9220" spans="45:45" ht="14.4">
      <c r="AS9220" s="20"/>
    </row>
    <row r="9221" spans="45:45" ht="14.4">
      <c r="AS9221" s="20"/>
    </row>
    <row r="9222" spans="45:45" ht="14.4">
      <c r="AS9222" s="20"/>
    </row>
    <row r="9223" spans="45:45" ht="14.4">
      <c r="AS9223" s="20"/>
    </row>
    <row r="9224" spans="45:45" ht="14.4">
      <c r="AS9224" s="20"/>
    </row>
    <row r="9225" spans="45:45" ht="14.4">
      <c r="AS9225" s="20"/>
    </row>
    <row r="9226" spans="45:45" ht="14.4">
      <c r="AS9226" s="20"/>
    </row>
    <row r="9227" spans="45:45" ht="14.4">
      <c r="AS9227" s="20"/>
    </row>
    <row r="9228" spans="45:45" ht="14.4">
      <c r="AS9228" s="20"/>
    </row>
    <row r="9229" spans="45:45" ht="14.4">
      <c r="AS9229" s="20"/>
    </row>
    <row r="9230" spans="45:45" ht="14.4">
      <c r="AS9230" s="20"/>
    </row>
    <row r="9231" spans="45:45" ht="14.4">
      <c r="AS9231" s="20"/>
    </row>
    <row r="9232" spans="45:45" ht="14.4">
      <c r="AS9232" s="20"/>
    </row>
    <row r="9233" spans="45:45" ht="14.4">
      <c r="AS9233" s="20"/>
    </row>
    <row r="9234" spans="45:45" ht="14.4">
      <c r="AS9234" s="20"/>
    </row>
    <row r="9235" spans="45:45" ht="14.4">
      <c r="AS9235" s="20"/>
    </row>
    <row r="9236" spans="45:45" ht="14.4">
      <c r="AS9236" s="20"/>
    </row>
    <row r="9237" spans="45:45" ht="14.4">
      <c r="AS9237" s="20"/>
    </row>
    <row r="9238" spans="45:45" ht="14.4">
      <c r="AS9238" s="20"/>
    </row>
    <row r="9239" spans="45:45" ht="14.4">
      <c r="AS9239" s="20"/>
    </row>
    <row r="9240" spans="45:45" ht="14.4">
      <c r="AS9240" s="20"/>
    </row>
    <row r="9241" spans="45:45" ht="14.4">
      <c r="AS9241" s="20"/>
    </row>
    <row r="9242" spans="45:45" ht="14.4">
      <c r="AS9242" s="20"/>
    </row>
    <row r="9243" spans="45:45" ht="14.4">
      <c r="AS9243" s="20"/>
    </row>
    <row r="9244" spans="45:45" ht="14.4">
      <c r="AS9244" s="20"/>
    </row>
    <row r="9245" spans="45:45" ht="14.4">
      <c r="AS9245" s="20"/>
    </row>
    <row r="9246" spans="45:45" ht="14.4">
      <c r="AS9246" s="20"/>
    </row>
    <row r="9247" spans="45:45" ht="14.4">
      <c r="AS9247" s="20"/>
    </row>
    <row r="9248" spans="45:45" ht="14.4">
      <c r="AS9248" s="20"/>
    </row>
    <row r="9249" spans="45:45" ht="14.4">
      <c r="AS9249" s="20"/>
    </row>
    <row r="9250" spans="45:45" ht="14.4">
      <c r="AS9250" s="20"/>
    </row>
    <row r="9251" spans="45:45" ht="14.4">
      <c r="AS9251" s="20"/>
    </row>
    <row r="9252" spans="45:45" ht="14.4">
      <c r="AS9252" s="20"/>
    </row>
    <row r="9253" spans="45:45" ht="14.4">
      <c r="AS9253" s="20"/>
    </row>
    <row r="9254" spans="45:45" ht="14.4">
      <c r="AS9254" s="20"/>
    </row>
    <row r="9255" spans="45:45" ht="14.4">
      <c r="AS9255" s="20"/>
    </row>
    <row r="9256" spans="45:45" ht="14.4">
      <c r="AS9256" s="20"/>
    </row>
    <row r="9257" spans="45:45" ht="14.4">
      <c r="AS9257" s="20"/>
    </row>
    <row r="9258" spans="45:45" ht="14.4">
      <c r="AS9258" s="20"/>
    </row>
    <row r="9259" spans="45:45" ht="14.4">
      <c r="AS9259" s="20"/>
    </row>
    <row r="9260" spans="45:45" ht="14.4">
      <c r="AS9260" s="20"/>
    </row>
    <row r="9261" spans="45:45" ht="14.4">
      <c r="AS9261" s="20"/>
    </row>
    <row r="9262" spans="45:45" ht="14.4">
      <c r="AS9262" s="20"/>
    </row>
    <row r="9263" spans="45:45" ht="14.4">
      <c r="AS9263" s="20"/>
    </row>
    <row r="9264" spans="45:45" ht="14.4">
      <c r="AS9264" s="20"/>
    </row>
    <row r="9265" spans="45:45" ht="14.4">
      <c r="AS9265" s="20"/>
    </row>
    <row r="9266" spans="45:45" ht="14.4">
      <c r="AS9266" s="20"/>
    </row>
    <row r="9267" spans="45:45" ht="14.4">
      <c r="AS9267" s="20"/>
    </row>
    <row r="9268" spans="45:45" ht="14.4">
      <c r="AS9268" s="20"/>
    </row>
    <row r="9269" spans="45:45" ht="14.4">
      <c r="AS9269" s="20"/>
    </row>
    <row r="9270" spans="45:45" ht="14.4">
      <c r="AS9270" s="20"/>
    </row>
    <row r="9271" spans="45:45" ht="14.4">
      <c r="AS9271" s="20"/>
    </row>
    <row r="9272" spans="45:45" ht="14.4">
      <c r="AS9272" s="20"/>
    </row>
    <row r="9273" spans="45:45" ht="14.4">
      <c r="AS9273" s="20"/>
    </row>
    <row r="9274" spans="45:45" ht="14.4">
      <c r="AS9274" s="20"/>
    </row>
    <row r="9275" spans="45:45" ht="14.4">
      <c r="AS9275" s="20"/>
    </row>
    <row r="9276" spans="45:45" ht="14.4">
      <c r="AS9276" s="20"/>
    </row>
    <row r="9277" spans="45:45" ht="14.4">
      <c r="AS9277" s="20"/>
    </row>
    <row r="9278" spans="45:45" ht="14.4">
      <c r="AS9278" s="20"/>
    </row>
    <row r="9279" spans="45:45" ht="14.4">
      <c r="AS9279" s="20"/>
    </row>
    <row r="9280" spans="45:45" ht="14.4">
      <c r="AS9280" s="20"/>
    </row>
    <row r="9281" spans="45:45" ht="14.4">
      <c r="AS9281" s="20"/>
    </row>
    <row r="9282" spans="45:45" ht="14.4">
      <c r="AS9282" s="20"/>
    </row>
    <row r="9283" spans="45:45" ht="14.4">
      <c r="AS9283" s="20"/>
    </row>
    <row r="9284" spans="45:45" ht="14.4">
      <c r="AS9284" s="20"/>
    </row>
    <row r="9285" spans="45:45" ht="14.4">
      <c r="AS9285" s="20"/>
    </row>
    <row r="9286" spans="45:45" ht="14.4">
      <c r="AS9286" s="20"/>
    </row>
    <row r="9287" spans="45:45" ht="14.4">
      <c r="AS9287" s="20"/>
    </row>
    <row r="9288" spans="45:45" ht="14.4">
      <c r="AS9288" s="20"/>
    </row>
    <row r="9289" spans="45:45" ht="14.4">
      <c r="AS9289" s="20"/>
    </row>
    <row r="9290" spans="45:45" ht="14.4">
      <c r="AS9290" s="20"/>
    </row>
    <row r="9291" spans="45:45" ht="14.4">
      <c r="AS9291" s="20"/>
    </row>
    <row r="9292" spans="45:45" ht="14.4">
      <c r="AS9292" s="20"/>
    </row>
    <row r="9293" spans="45:45" ht="14.4">
      <c r="AS9293" s="20"/>
    </row>
    <row r="9294" spans="45:45" ht="14.4">
      <c r="AS9294" s="20"/>
    </row>
    <row r="9295" spans="45:45" ht="14.4">
      <c r="AS9295" s="20"/>
    </row>
    <row r="9296" spans="45:45" ht="14.4">
      <c r="AS9296" s="20"/>
    </row>
    <row r="9297" spans="45:45" ht="14.4">
      <c r="AS9297" s="20"/>
    </row>
    <row r="9298" spans="45:45" ht="14.4">
      <c r="AS9298" s="20"/>
    </row>
    <row r="9299" spans="45:45" ht="14.4">
      <c r="AS9299" s="20"/>
    </row>
    <row r="9300" spans="45:45" ht="14.4">
      <c r="AS9300" s="20"/>
    </row>
    <row r="9301" spans="45:45" ht="14.4">
      <c r="AS9301" s="20"/>
    </row>
    <row r="9302" spans="45:45" ht="14.4">
      <c r="AS9302" s="20"/>
    </row>
    <row r="9303" spans="45:45" ht="14.4">
      <c r="AS9303" s="20"/>
    </row>
    <row r="9304" spans="45:45" ht="14.4">
      <c r="AS9304" s="20"/>
    </row>
    <row r="9305" spans="45:45" ht="14.4">
      <c r="AS9305" s="20"/>
    </row>
    <row r="9306" spans="45:45" ht="14.4">
      <c r="AS9306" s="20"/>
    </row>
    <row r="9307" spans="45:45" ht="14.4">
      <c r="AS9307" s="20"/>
    </row>
    <row r="9308" spans="45:45" ht="14.4">
      <c r="AS9308" s="20"/>
    </row>
    <row r="9309" spans="45:45" ht="14.4">
      <c r="AS9309" s="20"/>
    </row>
    <row r="9310" spans="45:45" ht="14.4">
      <c r="AS9310" s="20"/>
    </row>
    <row r="9311" spans="45:45" ht="14.4">
      <c r="AS9311" s="20"/>
    </row>
    <row r="9312" spans="45:45" ht="14.4">
      <c r="AS9312" s="20"/>
    </row>
    <row r="9313" spans="45:45" ht="14.4">
      <c r="AS9313" s="20"/>
    </row>
    <row r="9314" spans="45:45" ht="14.4">
      <c r="AS9314" s="20"/>
    </row>
    <row r="9315" spans="45:45" ht="14.4">
      <c r="AS9315" s="20"/>
    </row>
    <row r="9316" spans="45:45" ht="14.4">
      <c r="AS9316" s="20"/>
    </row>
    <row r="9317" spans="45:45" ht="14.4">
      <c r="AS9317" s="20"/>
    </row>
    <row r="9318" spans="45:45" ht="14.4">
      <c r="AS9318" s="20"/>
    </row>
    <row r="9319" spans="45:45" ht="14.4">
      <c r="AS9319" s="20"/>
    </row>
    <row r="9320" spans="45:45" ht="14.4">
      <c r="AS9320" s="20"/>
    </row>
    <row r="9321" spans="45:45" ht="14.4">
      <c r="AS9321" s="20"/>
    </row>
    <row r="9322" spans="45:45" ht="14.4">
      <c r="AS9322" s="20"/>
    </row>
    <row r="9323" spans="45:45" ht="14.4">
      <c r="AS9323" s="20"/>
    </row>
    <row r="9324" spans="45:45" ht="14.4">
      <c r="AS9324" s="20"/>
    </row>
    <row r="9325" spans="45:45" ht="14.4">
      <c r="AS9325" s="20"/>
    </row>
    <row r="9326" spans="45:45" ht="14.4">
      <c r="AS9326" s="20"/>
    </row>
    <row r="9327" spans="45:45" ht="14.4">
      <c r="AS9327" s="20"/>
    </row>
    <row r="9328" spans="45:45" ht="14.4">
      <c r="AS9328" s="20"/>
    </row>
    <row r="9329" spans="45:45" ht="14.4">
      <c r="AS9329" s="20"/>
    </row>
    <row r="9330" spans="45:45" ht="14.4">
      <c r="AS9330" s="20"/>
    </row>
    <row r="9331" spans="45:45" ht="14.4">
      <c r="AS9331" s="20"/>
    </row>
    <row r="9332" spans="45:45" ht="14.4">
      <c r="AS9332" s="20"/>
    </row>
    <row r="9333" spans="45:45" ht="14.4">
      <c r="AS9333" s="20"/>
    </row>
    <row r="9334" spans="45:45" ht="14.4">
      <c r="AS9334" s="20"/>
    </row>
    <row r="9335" spans="45:45" ht="14.4">
      <c r="AS9335" s="20"/>
    </row>
    <row r="9336" spans="45:45" ht="14.4">
      <c r="AS9336" s="20"/>
    </row>
    <row r="9337" spans="45:45" ht="14.4">
      <c r="AS9337" s="20"/>
    </row>
    <row r="9338" spans="45:45" ht="14.4">
      <c r="AS9338" s="20"/>
    </row>
    <row r="9339" spans="45:45" ht="14.4">
      <c r="AS9339" s="20"/>
    </row>
    <row r="9340" spans="45:45" ht="14.4">
      <c r="AS9340" s="20"/>
    </row>
    <row r="9341" spans="45:45" ht="14.4">
      <c r="AS9341" s="20"/>
    </row>
    <row r="9342" spans="45:45" ht="14.4">
      <c r="AS9342" s="20"/>
    </row>
    <row r="9343" spans="45:45" ht="14.4">
      <c r="AS9343" s="20"/>
    </row>
    <row r="9344" spans="45:45" ht="14.4">
      <c r="AS9344" s="20"/>
    </row>
    <row r="9345" spans="45:45" ht="14.4">
      <c r="AS9345" s="20"/>
    </row>
    <row r="9346" spans="45:45" ht="14.4">
      <c r="AS9346" s="20"/>
    </row>
    <row r="9347" spans="45:45" ht="14.4">
      <c r="AS9347" s="20"/>
    </row>
    <row r="9348" spans="45:45" ht="14.4">
      <c r="AS9348" s="20"/>
    </row>
    <row r="9349" spans="45:45" ht="14.4">
      <c r="AS9349" s="20"/>
    </row>
    <row r="9350" spans="45:45" ht="14.4">
      <c r="AS9350" s="20"/>
    </row>
    <row r="9351" spans="45:45" ht="14.4">
      <c r="AS9351" s="20"/>
    </row>
    <row r="9352" spans="45:45" ht="14.4">
      <c r="AS9352" s="20"/>
    </row>
    <row r="9353" spans="45:45" ht="14.4">
      <c r="AS9353" s="20"/>
    </row>
    <row r="9354" spans="45:45" ht="14.4">
      <c r="AS9354" s="20"/>
    </row>
    <row r="9355" spans="45:45" ht="14.4">
      <c r="AS9355" s="20"/>
    </row>
    <row r="9356" spans="45:45" ht="14.4">
      <c r="AS9356" s="20"/>
    </row>
    <row r="9357" spans="45:45" ht="14.4">
      <c r="AS9357" s="20"/>
    </row>
    <row r="9358" spans="45:45" ht="14.4">
      <c r="AS9358" s="20"/>
    </row>
    <row r="9359" spans="45:45" ht="14.4">
      <c r="AS9359" s="20"/>
    </row>
    <row r="9360" spans="45:45" ht="14.4">
      <c r="AS9360" s="20"/>
    </row>
    <row r="9361" spans="45:45" ht="14.4">
      <c r="AS9361" s="20"/>
    </row>
    <row r="9362" spans="45:45" ht="14.4">
      <c r="AS9362" s="20"/>
    </row>
    <row r="9363" spans="45:45" ht="14.4">
      <c r="AS9363" s="20"/>
    </row>
    <row r="9364" spans="45:45" ht="14.4">
      <c r="AS9364" s="20"/>
    </row>
    <row r="9365" spans="45:45" ht="14.4">
      <c r="AS9365" s="20"/>
    </row>
    <row r="9366" spans="45:45" ht="14.4">
      <c r="AS9366" s="20"/>
    </row>
    <row r="9367" spans="45:45" ht="14.4">
      <c r="AS9367" s="20"/>
    </row>
    <row r="9368" spans="45:45" ht="14.4">
      <c r="AS9368" s="20"/>
    </row>
    <row r="9369" spans="45:45" ht="14.4">
      <c r="AS9369" s="20"/>
    </row>
    <row r="9370" spans="45:45" ht="14.4">
      <c r="AS9370" s="20"/>
    </row>
    <row r="9371" spans="45:45" ht="14.4">
      <c r="AS9371" s="20"/>
    </row>
    <row r="9372" spans="45:45" ht="14.4">
      <c r="AS9372" s="20"/>
    </row>
    <row r="9373" spans="45:45" ht="14.4">
      <c r="AS9373" s="20"/>
    </row>
    <row r="9374" spans="45:45" ht="14.4">
      <c r="AS9374" s="20"/>
    </row>
    <row r="9375" spans="45:45" ht="14.4">
      <c r="AS9375" s="20"/>
    </row>
    <row r="9376" spans="45:45" ht="14.4">
      <c r="AS9376" s="20"/>
    </row>
    <row r="9377" spans="45:45" ht="14.4">
      <c r="AS9377" s="20"/>
    </row>
    <row r="9378" spans="45:45" ht="14.4">
      <c r="AS9378" s="20"/>
    </row>
    <row r="9379" spans="45:45" ht="14.4">
      <c r="AS9379" s="20"/>
    </row>
    <row r="9380" spans="45:45" ht="14.4">
      <c r="AS9380" s="20"/>
    </row>
    <row r="9381" spans="45:45" ht="14.4">
      <c r="AS9381" s="20"/>
    </row>
    <row r="9382" spans="45:45" ht="14.4">
      <c r="AS9382" s="20"/>
    </row>
    <row r="9383" spans="45:45" ht="14.4">
      <c r="AS9383" s="20"/>
    </row>
    <row r="9384" spans="45:45" ht="14.4">
      <c r="AS9384" s="20"/>
    </row>
    <row r="9385" spans="45:45" ht="14.4">
      <c r="AS9385" s="20"/>
    </row>
    <row r="9386" spans="45:45" ht="14.4">
      <c r="AS9386" s="20"/>
    </row>
    <row r="9387" spans="45:45" ht="14.4">
      <c r="AS9387" s="20"/>
    </row>
    <row r="9388" spans="45:45" ht="14.4">
      <c r="AS9388" s="20"/>
    </row>
    <row r="9389" spans="45:45" ht="14.4">
      <c r="AS9389" s="20"/>
    </row>
    <row r="9390" spans="45:45" ht="14.4">
      <c r="AS9390" s="20"/>
    </row>
    <row r="9391" spans="45:45" ht="14.4">
      <c r="AS9391" s="20"/>
    </row>
    <row r="9392" spans="45:45" ht="14.4">
      <c r="AS9392" s="20"/>
    </row>
    <row r="9393" spans="45:45" ht="14.4">
      <c r="AS9393" s="20"/>
    </row>
    <row r="9394" spans="45:45" ht="14.4">
      <c r="AS9394" s="20"/>
    </row>
    <row r="9395" spans="45:45" ht="14.4">
      <c r="AS9395" s="20"/>
    </row>
    <row r="9396" spans="45:45" ht="14.4">
      <c r="AS9396" s="20"/>
    </row>
    <row r="9397" spans="45:45" ht="14.4">
      <c r="AS9397" s="20"/>
    </row>
    <row r="9398" spans="45:45" ht="14.4">
      <c r="AS9398" s="20"/>
    </row>
    <row r="9399" spans="45:45" ht="14.4">
      <c r="AS9399" s="20"/>
    </row>
    <row r="9400" spans="45:45" ht="14.4">
      <c r="AS9400" s="20"/>
    </row>
    <row r="9401" spans="45:45" ht="14.4">
      <c r="AS9401" s="20"/>
    </row>
    <row r="9402" spans="45:45" ht="14.4">
      <c r="AS9402" s="20"/>
    </row>
    <row r="9403" spans="45:45" ht="14.4">
      <c r="AS9403" s="20"/>
    </row>
    <row r="9404" spans="45:45" ht="14.4">
      <c r="AS9404" s="20"/>
    </row>
    <row r="9405" spans="45:45" ht="14.4">
      <c r="AS9405" s="20"/>
    </row>
    <row r="9406" spans="45:45" ht="14.4">
      <c r="AS9406" s="20"/>
    </row>
    <row r="9407" spans="45:45" ht="14.4">
      <c r="AS9407" s="20"/>
    </row>
    <row r="9408" spans="45:45" ht="14.4">
      <c r="AS9408" s="20"/>
    </row>
    <row r="9409" spans="45:45" ht="14.4">
      <c r="AS9409" s="20"/>
    </row>
    <row r="9410" spans="45:45" ht="14.4">
      <c r="AS9410" s="20"/>
    </row>
    <row r="9411" spans="45:45" ht="14.4">
      <c r="AS9411" s="20"/>
    </row>
    <row r="9412" spans="45:45" ht="14.4">
      <c r="AS9412" s="20"/>
    </row>
    <row r="9413" spans="45:45" ht="14.4">
      <c r="AS9413" s="20"/>
    </row>
    <row r="9414" spans="45:45" ht="14.4">
      <c r="AS9414" s="20"/>
    </row>
    <row r="9415" spans="45:45" ht="14.4">
      <c r="AS9415" s="20"/>
    </row>
    <row r="9416" spans="45:45" ht="14.4">
      <c r="AS9416" s="20"/>
    </row>
    <row r="9417" spans="45:45" ht="14.4">
      <c r="AS9417" s="20"/>
    </row>
    <row r="9418" spans="45:45" ht="14.4">
      <c r="AS9418" s="20"/>
    </row>
    <row r="9419" spans="45:45" ht="14.4">
      <c r="AS9419" s="20"/>
    </row>
    <row r="9420" spans="45:45" ht="14.4">
      <c r="AS9420" s="20"/>
    </row>
    <row r="9421" spans="45:45" ht="14.4">
      <c r="AS9421" s="20"/>
    </row>
    <row r="9422" spans="45:45" ht="14.4">
      <c r="AS9422" s="20"/>
    </row>
    <row r="9423" spans="45:45" ht="14.4">
      <c r="AS9423" s="20"/>
    </row>
    <row r="9424" spans="45:45" ht="14.4">
      <c r="AS9424" s="20"/>
    </row>
    <row r="9425" spans="45:45" ht="14.4">
      <c r="AS9425" s="20"/>
    </row>
    <row r="9426" spans="45:45" ht="14.4">
      <c r="AS9426" s="20"/>
    </row>
    <row r="9427" spans="45:45" ht="14.4">
      <c r="AS9427" s="20"/>
    </row>
    <row r="9428" spans="45:45" ht="14.4">
      <c r="AS9428" s="20"/>
    </row>
    <row r="9429" spans="45:45" ht="14.4">
      <c r="AS9429" s="20"/>
    </row>
    <row r="9430" spans="45:45" ht="14.4">
      <c r="AS9430" s="20"/>
    </row>
    <row r="9431" spans="45:45" ht="14.4">
      <c r="AS9431" s="20"/>
    </row>
    <row r="9432" spans="45:45" ht="14.4">
      <c r="AS9432" s="20"/>
    </row>
    <row r="9433" spans="45:45" ht="14.4">
      <c r="AS9433" s="20"/>
    </row>
    <row r="9434" spans="45:45" ht="14.4">
      <c r="AS9434" s="20"/>
    </row>
    <row r="9435" spans="45:45" ht="14.4">
      <c r="AS9435" s="20"/>
    </row>
    <row r="9436" spans="45:45" ht="14.4">
      <c r="AS9436" s="20"/>
    </row>
    <row r="9437" spans="45:45" ht="14.4">
      <c r="AS9437" s="20"/>
    </row>
    <row r="9438" spans="45:45" ht="14.4">
      <c r="AS9438" s="20"/>
    </row>
    <row r="9439" spans="45:45" ht="14.4">
      <c r="AS9439" s="20"/>
    </row>
    <row r="9440" spans="45:45" ht="14.4">
      <c r="AS9440" s="20"/>
    </row>
    <row r="9441" spans="45:45" ht="14.4">
      <c r="AS9441" s="20"/>
    </row>
    <row r="9442" spans="45:45" ht="14.4">
      <c r="AS9442" s="20"/>
    </row>
    <row r="9443" spans="45:45" ht="14.4">
      <c r="AS9443" s="20"/>
    </row>
    <row r="9444" spans="45:45" ht="14.4">
      <c r="AS9444" s="20"/>
    </row>
    <row r="9445" spans="45:45" ht="14.4">
      <c r="AS9445" s="20"/>
    </row>
    <row r="9446" spans="45:45" ht="14.4">
      <c r="AS9446" s="20"/>
    </row>
    <row r="9447" spans="45:45" ht="14.4">
      <c r="AS9447" s="20"/>
    </row>
    <row r="9448" spans="45:45" ht="14.4">
      <c r="AS9448" s="20"/>
    </row>
    <row r="9449" spans="45:45" ht="14.4">
      <c r="AS9449" s="20"/>
    </row>
    <row r="9450" spans="45:45" ht="14.4">
      <c r="AS9450" s="20"/>
    </row>
    <row r="9451" spans="45:45" ht="14.4">
      <c r="AS9451" s="20"/>
    </row>
    <row r="9452" spans="45:45" ht="14.4">
      <c r="AS9452" s="20"/>
    </row>
    <row r="9453" spans="45:45" ht="14.4">
      <c r="AS9453" s="20"/>
    </row>
    <row r="9454" spans="45:45" ht="14.4">
      <c r="AS9454" s="20"/>
    </row>
    <row r="9455" spans="45:45" ht="14.4">
      <c r="AS9455" s="20"/>
    </row>
    <row r="9456" spans="45:45" ht="14.4">
      <c r="AS9456" s="20"/>
    </row>
    <row r="9457" spans="45:45" ht="14.4">
      <c r="AS9457" s="20"/>
    </row>
    <row r="9458" spans="45:45" ht="14.4">
      <c r="AS9458" s="20"/>
    </row>
    <row r="9459" spans="45:45" ht="14.4">
      <c r="AS9459" s="20"/>
    </row>
    <row r="9460" spans="45:45" ht="14.4">
      <c r="AS9460" s="20"/>
    </row>
    <row r="9461" spans="45:45" ht="14.4">
      <c r="AS9461" s="20"/>
    </row>
    <row r="9462" spans="45:45" ht="14.4">
      <c r="AS9462" s="20"/>
    </row>
    <row r="9463" spans="45:45" ht="14.4">
      <c r="AS9463" s="20"/>
    </row>
    <row r="9464" spans="45:45" ht="14.4">
      <c r="AS9464" s="20"/>
    </row>
    <row r="9465" spans="45:45" ht="14.4">
      <c r="AS9465" s="20"/>
    </row>
    <row r="9466" spans="45:45" ht="14.4">
      <c r="AS9466" s="20"/>
    </row>
    <row r="9467" spans="45:45" ht="14.4">
      <c r="AS9467" s="20"/>
    </row>
    <row r="9468" spans="45:45" ht="14.4">
      <c r="AS9468" s="20"/>
    </row>
    <row r="9469" spans="45:45" ht="14.4">
      <c r="AS9469" s="20"/>
    </row>
    <row r="9470" spans="45:45" ht="14.4">
      <c r="AS9470" s="20"/>
    </row>
    <row r="9471" spans="45:45" ht="14.4">
      <c r="AS9471" s="20"/>
    </row>
    <row r="9472" spans="45:45" ht="14.4">
      <c r="AS9472" s="20"/>
    </row>
    <row r="9473" spans="45:45" ht="14.4">
      <c r="AS9473" s="20"/>
    </row>
    <row r="9474" spans="45:45" ht="14.4">
      <c r="AS9474" s="20"/>
    </row>
    <row r="9475" spans="45:45" ht="14.4">
      <c r="AS9475" s="20"/>
    </row>
    <row r="9476" spans="45:45" ht="14.4">
      <c r="AS9476" s="20"/>
    </row>
    <row r="9477" spans="45:45" ht="14.4">
      <c r="AS9477" s="20"/>
    </row>
    <row r="9478" spans="45:45" ht="14.4">
      <c r="AS9478" s="20"/>
    </row>
    <row r="9479" spans="45:45" ht="14.4">
      <c r="AS9479" s="20"/>
    </row>
    <row r="9480" spans="45:45" ht="14.4">
      <c r="AS9480" s="20"/>
    </row>
    <row r="9481" spans="45:45" ht="14.4">
      <c r="AS9481" s="20"/>
    </row>
    <row r="9482" spans="45:45" ht="14.4">
      <c r="AS9482" s="20"/>
    </row>
    <row r="9483" spans="45:45" ht="14.4">
      <c r="AS9483" s="20"/>
    </row>
    <row r="9484" spans="45:45" ht="14.4">
      <c r="AS9484" s="20"/>
    </row>
    <row r="9485" spans="45:45" ht="14.4">
      <c r="AS9485" s="20"/>
    </row>
    <row r="9486" spans="45:45" ht="14.4">
      <c r="AS9486" s="20"/>
    </row>
    <row r="9487" spans="45:45" ht="14.4">
      <c r="AS9487" s="20"/>
    </row>
    <row r="9488" spans="45:45" ht="14.4">
      <c r="AS9488" s="20"/>
    </row>
    <row r="9489" spans="45:45" ht="14.4">
      <c r="AS9489" s="20"/>
    </row>
    <row r="9490" spans="45:45" ht="14.4">
      <c r="AS9490" s="20"/>
    </row>
    <row r="9491" spans="45:45" ht="14.4">
      <c r="AS9491" s="20"/>
    </row>
    <row r="9492" spans="45:45" ht="14.4">
      <c r="AS9492" s="20"/>
    </row>
    <row r="9493" spans="45:45" ht="14.4">
      <c r="AS9493" s="20"/>
    </row>
    <row r="9494" spans="45:45" ht="14.4">
      <c r="AS9494" s="20"/>
    </row>
    <row r="9495" spans="45:45" ht="14.4">
      <c r="AS9495" s="20"/>
    </row>
    <row r="9496" spans="45:45" ht="14.4">
      <c r="AS9496" s="20"/>
    </row>
    <row r="9497" spans="45:45" ht="14.4">
      <c r="AS9497" s="20"/>
    </row>
    <row r="9498" spans="45:45" ht="14.4">
      <c r="AS9498" s="20"/>
    </row>
    <row r="9499" spans="45:45" ht="14.4">
      <c r="AS9499" s="20"/>
    </row>
    <row r="9500" spans="45:45" ht="14.4">
      <c r="AS9500" s="20"/>
    </row>
    <row r="9501" spans="45:45" ht="14.4">
      <c r="AS9501" s="20"/>
    </row>
    <row r="9502" spans="45:45" ht="14.4">
      <c r="AS9502" s="20"/>
    </row>
    <row r="9503" spans="45:45" ht="14.4">
      <c r="AS9503" s="20"/>
    </row>
    <row r="9504" spans="45:45" ht="14.4">
      <c r="AS9504" s="20"/>
    </row>
    <row r="9505" spans="45:45" ht="14.4">
      <c r="AS9505" s="20"/>
    </row>
    <row r="9506" spans="45:45" ht="14.4">
      <c r="AS9506" s="20"/>
    </row>
    <row r="9507" spans="45:45" ht="14.4">
      <c r="AS9507" s="20"/>
    </row>
    <row r="9508" spans="45:45" ht="14.4">
      <c r="AS9508" s="20"/>
    </row>
    <row r="9509" spans="45:45" ht="14.4">
      <c r="AS9509" s="20"/>
    </row>
    <row r="9510" spans="45:45" ht="14.4">
      <c r="AS9510" s="20"/>
    </row>
    <row r="9511" spans="45:45" ht="14.4">
      <c r="AS9511" s="20"/>
    </row>
    <row r="9512" spans="45:45" ht="14.4">
      <c r="AS9512" s="20"/>
    </row>
    <row r="9513" spans="45:45" ht="14.4">
      <c r="AS9513" s="20"/>
    </row>
    <row r="9514" spans="45:45" ht="14.4">
      <c r="AS9514" s="20"/>
    </row>
    <row r="9515" spans="45:45" ht="14.4">
      <c r="AS9515" s="20"/>
    </row>
    <row r="9516" spans="45:45" ht="14.4">
      <c r="AS9516" s="20"/>
    </row>
    <row r="9517" spans="45:45" ht="14.4">
      <c r="AS9517" s="20"/>
    </row>
    <row r="9518" spans="45:45" ht="14.4">
      <c r="AS9518" s="20"/>
    </row>
    <row r="9519" spans="45:45" ht="14.4">
      <c r="AS9519" s="20"/>
    </row>
    <row r="9520" spans="45:45" ht="14.4">
      <c r="AS9520" s="20"/>
    </row>
    <row r="9521" spans="45:45" ht="14.4">
      <c r="AS9521" s="20"/>
    </row>
    <row r="9522" spans="45:45" ht="14.4">
      <c r="AS9522" s="20"/>
    </row>
    <row r="9523" spans="45:45" ht="14.4">
      <c r="AS9523" s="20"/>
    </row>
    <row r="9524" spans="45:45" ht="14.4">
      <c r="AS9524" s="20"/>
    </row>
    <row r="9525" spans="45:45" ht="14.4">
      <c r="AS9525" s="20"/>
    </row>
    <row r="9526" spans="45:45" ht="14.4">
      <c r="AS9526" s="20"/>
    </row>
    <row r="9527" spans="45:45" ht="14.4">
      <c r="AS9527" s="20"/>
    </row>
    <row r="9528" spans="45:45" ht="14.4">
      <c r="AS9528" s="20"/>
    </row>
    <row r="9529" spans="45:45" ht="14.4">
      <c r="AS9529" s="20"/>
    </row>
    <row r="9530" spans="45:45" ht="14.4">
      <c r="AS9530" s="20"/>
    </row>
    <row r="9531" spans="45:45" ht="14.4">
      <c r="AS9531" s="20"/>
    </row>
    <row r="9532" spans="45:45" ht="14.4">
      <c r="AS9532" s="20"/>
    </row>
    <row r="9533" spans="45:45" ht="14.4">
      <c r="AS9533" s="20"/>
    </row>
    <row r="9534" spans="45:45" ht="14.4">
      <c r="AS9534" s="20"/>
    </row>
    <row r="9535" spans="45:45" ht="14.4">
      <c r="AS9535" s="20"/>
    </row>
    <row r="9536" spans="45:45" ht="14.4">
      <c r="AS9536" s="20"/>
    </row>
    <row r="9537" spans="45:45" ht="14.4">
      <c r="AS9537" s="20"/>
    </row>
    <row r="9538" spans="45:45" ht="14.4">
      <c r="AS9538" s="20"/>
    </row>
    <row r="9539" spans="45:45" ht="14.4">
      <c r="AS9539" s="20"/>
    </row>
    <row r="9540" spans="45:45" ht="14.4">
      <c r="AS9540" s="20"/>
    </row>
    <row r="9541" spans="45:45" ht="14.4">
      <c r="AS9541" s="20"/>
    </row>
    <row r="9542" spans="45:45" ht="14.4">
      <c r="AS9542" s="20"/>
    </row>
    <row r="9543" spans="45:45" ht="14.4">
      <c r="AS9543" s="20"/>
    </row>
    <row r="9544" spans="45:45" ht="14.4">
      <c r="AS9544" s="20"/>
    </row>
    <row r="9545" spans="45:45" ht="14.4">
      <c r="AS9545" s="20"/>
    </row>
    <row r="9546" spans="45:45" ht="14.4">
      <c r="AS9546" s="20"/>
    </row>
    <row r="9547" spans="45:45" ht="14.4">
      <c r="AS9547" s="20"/>
    </row>
    <row r="9548" spans="45:45" ht="14.4">
      <c r="AS9548" s="20"/>
    </row>
    <row r="9549" spans="45:45" ht="14.4">
      <c r="AS9549" s="20"/>
    </row>
    <row r="9550" spans="45:45" ht="14.4">
      <c r="AS9550" s="20"/>
    </row>
    <row r="9551" spans="45:45" ht="14.4">
      <c r="AS9551" s="20"/>
    </row>
    <row r="9552" spans="45:45" ht="14.4">
      <c r="AS9552" s="20"/>
    </row>
    <row r="9553" spans="45:45" ht="14.4">
      <c r="AS9553" s="20"/>
    </row>
    <row r="9554" spans="45:45" ht="14.4">
      <c r="AS9554" s="20"/>
    </row>
    <row r="9555" spans="45:45" ht="14.4">
      <c r="AS9555" s="20"/>
    </row>
    <row r="9556" spans="45:45" ht="14.4">
      <c r="AS9556" s="20"/>
    </row>
    <row r="9557" spans="45:45" ht="14.4">
      <c r="AS9557" s="20"/>
    </row>
    <row r="9558" spans="45:45" ht="14.4">
      <c r="AS9558" s="20"/>
    </row>
    <row r="9559" spans="45:45" ht="14.4">
      <c r="AS9559" s="20"/>
    </row>
    <row r="9560" spans="45:45" ht="14.4">
      <c r="AS9560" s="20"/>
    </row>
    <row r="9561" spans="45:45" ht="14.4">
      <c r="AS9561" s="20"/>
    </row>
    <row r="9562" spans="45:45" ht="14.4">
      <c r="AS9562" s="20"/>
    </row>
    <row r="9563" spans="45:45" ht="14.4">
      <c r="AS9563" s="20"/>
    </row>
    <row r="9564" spans="45:45" ht="14.4">
      <c r="AS9564" s="20"/>
    </row>
    <row r="9565" spans="45:45" ht="14.4">
      <c r="AS9565" s="20"/>
    </row>
    <row r="9566" spans="45:45" ht="14.4">
      <c r="AS9566" s="20"/>
    </row>
    <row r="9567" spans="45:45" ht="14.4">
      <c r="AS9567" s="20"/>
    </row>
    <row r="9568" spans="45:45" ht="14.4">
      <c r="AS9568" s="20"/>
    </row>
    <row r="9569" spans="45:45" ht="14.4">
      <c r="AS9569" s="20"/>
    </row>
    <row r="9570" spans="45:45" ht="14.4">
      <c r="AS9570" s="20"/>
    </row>
    <row r="9571" spans="45:45" ht="14.4">
      <c r="AS9571" s="20"/>
    </row>
    <row r="9572" spans="45:45" ht="14.4">
      <c r="AS9572" s="20"/>
    </row>
    <row r="9573" spans="45:45" ht="14.4">
      <c r="AS9573" s="20"/>
    </row>
    <row r="9574" spans="45:45" ht="14.4">
      <c r="AS9574" s="20"/>
    </row>
    <row r="9575" spans="45:45" ht="14.4">
      <c r="AS9575" s="20"/>
    </row>
    <row r="9576" spans="45:45" ht="14.4">
      <c r="AS9576" s="20"/>
    </row>
    <row r="9577" spans="45:45" ht="14.4">
      <c r="AS9577" s="20"/>
    </row>
    <row r="9578" spans="45:45" ht="14.4">
      <c r="AS9578" s="20"/>
    </row>
    <row r="9579" spans="45:45" ht="14.4">
      <c r="AS9579" s="20"/>
    </row>
    <row r="9580" spans="45:45" ht="14.4">
      <c r="AS9580" s="20"/>
    </row>
    <row r="9581" spans="45:45" ht="14.4">
      <c r="AS9581" s="20"/>
    </row>
    <row r="9582" spans="45:45" ht="14.4">
      <c r="AS9582" s="20"/>
    </row>
    <row r="9583" spans="45:45" ht="14.4">
      <c r="AS9583" s="20"/>
    </row>
    <row r="9584" spans="45:45" ht="14.4">
      <c r="AS9584" s="20"/>
    </row>
    <row r="9585" spans="45:45" ht="14.4">
      <c r="AS9585" s="20"/>
    </row>
    <row r="9586" spans="45:45" ht="14.4">
      <c r="AS9586" s="20"/>
    </row>
    <row r="9587" spans="45:45" ht="14.4">
      <c r="AS9587" s="20"/>
    </row>
    <row r="9588" spans="45:45" ht="14.4">
      <c r="AS9588" s="20"/>
    </row>
    <row r="9589" spans="45:45" ht="14.4">
      <c r="AS9589" s="20"/>
    </row>
    <row r="9590" spans="45:45" ht="14.4">
      <c r="AS9590" s="20"/>
    </row>
    <row r="9591" spans="45:45" ht="14.4">
      <c r="AS9591" s="20"/>
    </row>
    <row r="9592" spans="45:45" ht="14.4">
      <c r="AS9592" s="20"/>
    </row>
    <row r="9593" spans="45:45" ht="14.4">
      <c r="AS9593" s="20"/>
    </row>
    <row r="9594" spans="45:45" ht="14.4">
      <c r="AS9594" s="20"/>
    </row>
    <row r="9595" spans="45:45" ht="14.4">
      <c r="AS9595" s="20"/>
    </row>
    <row r="9596" spans="45:45" ht="14.4">
      <c r="AS9596" s="20"/>
    </row>
    <row r="9597" spans="45:45" ht="14.4">
      <c r="AS9597" s="20"/>
    </row>
    <row r="9598" spans="45:45" ht="14.4">
      <c r="AS9598" s="20"/>
    </row>
    <row r="9599" spans="45:45" ht="14.4">
      <c r="AS9599" s="20"/>
    </row>
    <row r="9600" spans="45:45" ht="14.4">
      <c r="AS9600" s="20"/>
    </row>
    <row r="9601" spans="45:45" ht="14.4">
      <c r="AS9601" s="20"/>
    </row>
    <row r="9602" spans="45:45" ht="14.4">
      <c r="AS9602" s="20"/>
    </row>
    <row r="9603" spans="45:45" ht="14.4">
      <c r="AS9603" s="20"/>
    </row>
    <row r="9604" spans="45:45" ht="14.4">
      <c r="AS9604" s="20"/>
    </row>
    <row r="9605" spans="45:45" ht="14.4">
      <c r="AS9605" s="20"/>
    </row>
    <row r="9606" spans="45:45" ht="14.4">
      <c r="AS9606" s="20"/>
    </row>
    <row r="9607" spans="45:45" ht="14.4">
      <c r="AS9607" s="20"/>
    </row>
    <row r="9608" spans="45:45" ht="14.4">
      <c r="AS9608" s="20"/>
    </row>
    <row r="9609" spans="45:45" ht="14.4">
      <c r="AS9609" s="20"/>
    </row>
    <row r="9610" spans="45:45" ht="14.4">
      <c r="AS9610" s="20"/>
    </row>
    <row r="9611" spans="45:45" ht="14.4">
      <c r="AS9611" s="20"/>
    </row>
    <row r="9612" spans="45:45" ht="14.4">
      <c r="AS9612" s="20"/>
    </row>
    <row r="9613" spans="45:45" ht="14.4">
      <c r="AS9613" s="20"/>
    </row>
    <row r="9614" spans="45:45" ht="14.4">
      <c r="AS9614" s="20"/>
    </row>
    <row r="9615" spans="45:45" ht="14.4">
      <c r="AS9615" s="20"/>
    </row>
    <row r="9616" spans="45:45" ht="14.4">
      <c r="AS9616" s="20"/>
    </row>
    <row r="9617" spans="45:45" ht="14.4">
      <c r="AS9617" s="20"/>
    </row>
    <row r="9618" spans="45:45" ht="14.4">
      <c r="AS9618" s="20"/>
    </row>
    <row r="9619" spans="45:45" ht="14.4">
      <c r="AS9619" s="20"/>
    </row>
    <row r="9620" spans="45:45" ht="14.4">
      <c r="AS9620" s="20"/>
    </row>
    <row r="9621" spans="45:45" ht="14.4">
      <c r="AS9621" s="20"/>
    </row>
    <row r="9622" spans="45:45" ht="14.4">
      <c r="AS9622" s="20"/>
    </row>
    <row r="9623" spans="45:45" ht="14.4">
      <c r="AS9623" s="20"/>
    </row>
    <row r="9624" spans="45:45" ht="14.4">
      <c r="AS9624" s="20"/>
    </row>
    <row r="9625" spans="45:45" ht="14.4">
      <c r="AS9625" s="20"/>
    </row>
    <row r="9626" spans="45:45" ht="14.4">
      <c r="AS9626" s="20"/>
    </row>
    <row r="9627" spans="45:45" ht="14.4">
      <c r="AS9627" s="20"/>
    </row>
    <row r="9628" spans="45:45" ht="14.4">
      <c r="AS9628" s="20"/>
    </row>
    <row r="9629" spans="45:45" ht="14.4">
      <c r="AS9629" s="20"/>
    </row>
    <row r="9630" spans="45:45" ht="14.4">
      <c r="AS9630" s="20"/>
    </row>
    <row r="9631" spans="45:45" ht="14.4">
      <c r="AS9631" s="20"/>
    </row>
    <row r="9632" spans="45:45" ht="14.4">
      <c r="AS9632" s="20"/>
    </row>
    <row r="9633" spans="45:45" ht="14.4">
      <c r="AS9633" s="20"/>
    </row>
    <row r="9634" spans="45:45" ht="14.4">
      <c r="AS9634" s="20"/>
    </row>
    <row r="9635" spans="45:45" ht="14.4">
      <c r="AS9635" s="20"/>
    </row>
    <row r="9636" spans="45:45" ht="14.4">
      <c r="AS9636" s="20"/>
    </row>
    <row r="9637" spans="45:45" ht="14.4">
      <c r="AS9637" s="20"/>
    </row>
    <row r="9638" spans="45:45" ht="14.4">
      <c r="AS9638" s="20"/>
    </row>
    <row r="9639" spans="45:45" ht="14.4">
      <c r="AS9639" s="20"/>
    </row>
    <row r="9640" spans="45:45" ht="14.4">
      <c r="AS9640" s="20"/>
    </row>
    <row r="9641" spans="45:45" ht="14.4">
      <c r="AS9641" s="20"/>
    </row>
    <row r="9642" spans="45:45" ht="14.4">
      <c r="AS9642" s="20"/>
    </row>
    <row r="9643" spans="45:45" ht="14.4">
      <c r="AS9643" s="20"/>
    </row>
    <row r="9644" spans="45:45" ht="14.4">
      <c r="AS9644" s="20"/>
    </row>
    <row r="9645" spans="45:45" ht="14.4">
      <c r="AS9645" s="20"/>
    </row>
    <row r="9646" spans="45:45" ht="14.4">
      <c r="AS9646" s="20"/>
    </row>
    <row r="9647" spans="45:45" ht="14.4">
      <c r="AS9647" s="20"/>
    </row>
    <row r="9648" spans="45:45" ht="14.4">
      <c r="AS9648" s="20"/>
    </row>
    <row r="9649" spans="45:45" ht="14.4">
      <c r="AS9649" s="20"/>
    </row>
    <row r="9650" spans="45:45" ht="14.4">
      <c r="AS9650" s="20"/>
    </row>
    <row r="9651" spans="45:45" ht="14.4">
      <c r="AS9651" s="20"/>
    </row>
    <row r="9652" spans="45:45" ht="14.4">
      <c r="AS9652" s="20"/>
    </row>
    <row r="9653" spans="45:45" ht="14.4">
      <c r="AS9653" s="20"/>
    </row>
    <row r="9654" spans="45:45" ht="14.4">
      <c r="AS9654" s="20"/>
    </row>
    <row r="9655" spans="45:45" ht="14.4">
      <c r="AS9655" s="20"/>
    </row>
    <row r="9656" spans="45:45" ht="14.4">
      <c r="AS9656" s="20"/>
    </row>
    <row r="9657" spans="45:45" ht="14.4">
      <c r="AS9657" s="20"/>
    </row>
    <row r="9658" spans="45:45" ht="14.4">
      <c r="AS9658" s="20"/>
    </row>
    <row r="9659" spans="45:45" ht="14.4">
      <c r="AS9659" s="20"/>
    </row>
    <row r="9660" spans="45:45" ht="14.4">
      <c r="AS9660" s="20"/>
    </row>
    <row r="9661" spans="45:45" ht="14.4">
      <c r="AS9661" s="20"/>
    </row>
    <row r="9662" spans="45:45" ht="14.4">
      <c r="AS9662" s="20"/>
    </row>
    <row r="9663" spans="45:45" ht="14.4">
      <c r="AS9663" s="20"/>
    </row>
    <row r="9664" spans="45:45" ht="14.4">
      <c r="AS9664" s="20"/>
    </row>
    <row r="9665" spans="45:45" ht="14.4">
      <c r="AS9665" s="20"/>
    </row>
    <row r="9666" spans="45:45" ht="14.4">
      <c r="AS9666" s="20"/>
    </row>
    <row r="9667" spans="45:45" ht="14.4">
      <c r="AS9667" s="20"/>
    </row>
    <row r="9668" spans="45:45" ht="14.4">
      <c r="AS9668" s="20"/>
    </row>
    <row r="9669" spans="45:45" ht="14.4">
      <c r="AS9669" s="20"/>
    </row>
    <row r="9670" spans="45:45" ht="14.4">
      <c r="AS9670" s="20"/>
    </row>
    <row r="9671" spans="45:45" ht="14.4">
      <c r="AS9671" s="20"/>
    </row>
    <row r="9672" spans="45:45" ht="14.4">
      <c r="AS9672" s="20"/>
    </row>
    <row r="9673" spans="45:45" ht="14.4">
      <c r="AS9673" s="20"/>
    </row>
    <row r="9674" spans="45:45" ht="14.4">
      <c r="AS9674" s="20"/>
    </row>
    <row r="9675" spans="45:45" ht="14.4">
      <c r="AS9675" s="20"/>
    </row>
    <row r="9676" spans="45:45" ht="14.4">
      <c r="AS9676" s="20"/>
    </row>
    <row r="9677" spans="45:45" ht="14.4">
      <c r="AS9677" s="20"/>
    </row>
    <row r="9678" spans="45:45" ht="14.4">
      <c r="AS9678" s="20"/>
    </row>
    <row r="9679" spans="45:45" ht="14.4">
      <c r="AS9679" s="20"/>
    </row>
    <row r="9680" spans="45:45" ht="14.4">
      <c r="AS9680" s="20"/>
    </row>
    <row r="9681" spans="45:45" ht="14.4">
      <c r="AS9681" s="20"/>
    </row>
    <row r="9682" spans="45:45" ht="14.4">
      <c r="AS9682" s="20"/>
    </row>
    <row r="9683" spans="45:45" ht="14.4">
      <c r="AS9683" s="20"/>
    </row>
    <row r="9684" spans="45:45" ht="14.4">
      <c r="AS9684" s="20"/>
    </row>
    <row r="9685" spans="45:45" ht="14.4">
      <c r="AS9685" s="20"/>
    </row>
    <row r="9686" spans="45:45" ht="14.4">
      <c r="AS9686" s="20"/>
    </row>
    <row r="9687" spans="45:45" ht="14.4">
      <c r="AS9687" s="20"/>
    </row>
    <row r="9688" spans="45:45" ht="14.4">
      <c r="AS9688" s="20"/>
    </row>
    <row r="9689" spans="45:45" ht="14.4">
      <c r="AS9689" s="20"/>
    </row>
    <row r="9690" spans="45:45" ht="14.4">
      <c r="AS9690" s="20"/>
    </row>
    <row r="9691" spans="45:45" ht="14.4">
      <c r="AS9691" s="20"/>
    </row>
    <row r="9692" spans="45:45" ht="14.4">
      <c r="AS9692" s="20"/>
    </row>
    <row r="9693" spans="45:45" ht="14.4">
      <c r="AS9693" s="20"/>
    </row>
    <row r="9694" spans="45:45" ht="14.4">
      <c r="AS9694" s="20"/>
    </row>
    <row r="9695" spans="45:45" ht="14.4">
      <c r="AS9695" s="20"/>
    </row>
    <row r="9696" spans="45:45" ht="14.4">
      <c r="AS9696" s="20"/>
    </row>
    <row r="9697" spans="45:45" ht="14.4">
      <c r="AS9697" s="20"/>
    </row>
    <row r="9698" spans="45:45" ht="14.4">
      <c r="AS9698" s="20"/>
    </row>
    <row r="9699" spans="45:45" ht="14.4">
      <c r="AS9699" s="20"/>
    </row>
    <row r="9700" spans="45:45" ht="14.4">
      <c r="AS9700" s="20"/>
    </row>
    <row r="9701" spans="45:45" ht="14.4">
      <c r="AS9701" s="20"/>
    </row>
    <row r="9702" spans="45:45" ht="14.4">
      <c r="AS9702" s="20"/>
    </row>
    <row r="9703" spans="45:45" ht="14.4">
      <c r="AS9703" s="20"/>
    </row>
    <row r="9704" spans="45:45" ht="14.4">
      <c r="AS9704" s="20"/>
    </row>
    <row r="9705" spans="45:45" ht="14.4">
      <c r="AS9705" s="20"/>
    </row>
    <row r="9706" spans="45:45" ht="14.4">
      <c r="AS9706" s="20"/>
    </row>
    <row r="9707" spans="45:45" ht="14.4">
      <c r="AS9707" s="20"/>
    </row>
    <row r="9708" spans="45:45" ht="14.4">
      <c r="AS9708" s="20"/>
    </row>
    <row r="9709" spans="45:45" ht="14.4">
      <c r="AS9709" s="20"/>
    </row>
    <row r="9710" spans="45:45" ht="14.4">
      <c r="AS9710" s="20"/>
    </row>
    <row r="9711" spans="45:45" ht="14.4">
      <c r="AS9711" s="20"/>
    </row>
    <row r="9712" spans="45:45" ht="14.4">
      <c r="AS9712" s="20"/>
    </row>
    <row r="9713" spans="45:45" ht="14.4">
      <c r="AS9713" s="20"/>
    </row>
    <row r="9714" spans="45:45" ht="14.4">
      <c r="AS9714" s="20"/>
    </row>
    <row r="9715" spans="45:45" ht="14.4">
      <c r="AS9715" s="20"/>
    </row>
    <row r="9716" spans="45:45" ht="14.4">
      <c r="AS9716" s="20"/>
    </row>
    <row r="9717" spans="45:45" ht="14.4">
      <c r="AS9717" s="20"/>
    </row>
    <row r="9718" spans="45:45" ht="14.4">
      <c r="AS9718" s="20"/>
    </row>
    <row r="9719" spans="45:45" ht="14.4">
      <c r="AS9719" s="20"/>
    </row>
    <row r="9720" spans="45:45" ht="14.4">
      <c r="AS9720" s="20"/>
    </row>
    <row r="9721" spans="45:45" ht="14.4">
      <c r="AS9721" s="20"/>
    </row>
    <row r="9722" spans="45:45" ht="14.4">
      <c r="AS9722" s="20"/>
    </row>
    <row r="9723" spans="45:45" ht="14.4">
      <c r="AS9723" s="20"/>
    </row>
    <row r="9724" spans="45:45" ht="14.4">
      <c r="AS9724" s="20"/>
    </row>
    <row r="9725" spans="45:45" ht="14.4">
      <c r="AS9725" s="20"/>
    </row>
    <row r="9726" spans="45:45" ht="14.4">
      <c r="AS9726" s="20"/>
    </row>
    <row r="9727" spans="45:45" ht="14.4">
      <c r="AS9727" s="20"/>
    </row>
    <row r="9728" spans="45:45" ht="14.4">
      <c r="AS9728" s="20"/>
    </row>
    <row r="9729" spans="45:45" ht="14.4">
      <c r="AS9729" s="20"/>
    </row>
    <row r="9730" spans="45:45" ht="14.4">
      <c r="AS9730" s="20"/>
    </row>
    <row r="9731" spans="45:45" ht="14.4">
      <c r="AS9731" s="20"/>
    </row>
    <row r="9732" spans="45:45" ht="14.4">
      <c r="AS9732" s="20"/>
    </row>
    <row r="9733" spans="45:45" ht="14.4">
      <c r="AS9733" s="20"/>
    </row>
    <row r="9734" spans="45:45" ht="14.4">
      <c r="AS9734" s="20"/>
    </row>
    <row r="9735" spans="45:45" ht="14.4">
      <c r="AS9735" s="20"/>
    </row>
    <row r="9736" spans="45:45" ht="14.4">
      <c r="AS9736" s="20"/>
    </row>
    <row r="9737" spans="45:45" ht="14.4">
      <c r="AS9737" s="20"/>
    </row>
    <row r="9738" spans="45:45" ht="14.4">
      <c r="AS9738" s="20"/>
    </row>
    <row r="9739" spans="45:45" ht="14.4">
      <c r="AS9739" s="20"/>
    </row>
    <row r="9740" spans="45:45" ht="14.4">
      <c r="AS9740" s="20"/>
    </row>
    <row r="9741" spans="45:45" ht="14.4">
      <c r="AS9741" s="20"/>
    </row>
    <row r="9742" spans="45:45" ht="14.4">
      <c r="AS9742" s="20"/>
    </row>
    <row r="9743" spans="45:45" ht="14.4">
      <c r="AS9743" s="20"/>
    </row>
    <row r="9744" spans="45:45" ht="14.4">
      <c r="AS9744" s="20"/>
    </row>
    <row r="9745" spans="45:45" ht="14.4">
      <c r="AS9745" s="20"/>
    </row>
    <row r="9746" spans="45:45" ht="14.4">
      <c r="AS9746" s="20"/>
    </row>
    <row r="9747" spans="45:45" ht="14.4">
      <c r="AS9747" s="20"/>
    </row>
    <row r="9748" spans="45:45" ht="14.4">
      <c r="AS9748" s="20"/>
    </row>
    <row r="9749" spans="45:45" ht="14.4">
      <c r="AS9749" s="20"/>
    </row>
    <row r="9750" spans="45:45" ht="14.4">
      <c r="AS9750" s="20"/>
    </row>
    <row r="9751" spans="45:45" ht="14.4">
      <c r="AS9751" s="20"/>
    </row>
    <row r="9752" spans="45:45" ht="14.4">
      <c r="AS9752" s="20"/>
    </row>
    <row r="9753" spans="45:45" ht="14.4">
      <c r="AS9753" s="20"/>
    </row>
    <row r="9754" spans="45:45" ht="14.4">
      <c r="AS9754" s="20"/>
    </row>
    <row r="9755" spans="45:45" ht="14.4">
      <c r="AS9755" s="20"/>
    </row>
    <row r="9756" spans="45:45" ht="14.4">
      <c r="AS9756" s="20"/>
    </row>
    <row r="9757" spans="45:45" ht="14.4">
      <c r="AS9757" s="20"/>
    </row>
    <row r="9758" spans="45:45" ht="14.4">
      <c r="AS9758" s="20"/>
    </row>
    <row r="9759" spans="45:45" ht="14.4">
      <c r="AS9759" s="20"/>
    </row>
    <row r="9760" spans="45:45" ht="14.4">
      <c r="AS9760" s="20"/>
    </row>
    <row r="9761" spans="45:45" ht="14.4">
      <c r="AS9761" s="20"/>
    </row>
    <row r="9762" spans="45:45" ht="14.4">
      <c r="AS9762" s="20"/>
    </row>
    <row r="9763" spans="45:45" ht="14.4">
      <c r="AS9763" s="20"/>
    </row>
    <row r="9764" spans="45:45" ht="14.4">
      <c r="AS9764" s="20"/>
    </row>
    <row r="9765" spans="45:45" ht="14.4">
      <c r="AS9765" s="20"/>
    </row>
    <row r="9766" spans="45:45" ht="14.4">
      <c r="AS9766" s="20"/>
    </row>
    <row r="9767" spans="45:45" ht="14.4">
      <c r="AS9767" s="20"/>
    </row>
    <row r="9768" spans="45:45" ht="14.4">
      <c r="AS9768" s="20"/>
    </row>
    <row r="9769" spans="45:45" ht="14.4">
      <c r="AS9769" s="20"/>
    </row>
    <row r="9770" spans="45:45" ht="14.4">
      <c r="AS9770" s="20"/>
    </row>
    <row r="9771" spans="45:45" ht="14.4">
      <c r="AS9771" s="20"/>
    </row>
    <row r="9772" spans="45:45" ht="14.4">
      <c r="AS9772" s="20"/>
    </row>
    <row r="9773" spans="45:45" ht="14.4">
      <c r="AS9773" s="20"/>
    </row>
    <row r="9774" spans="45:45" ht="14.4">
      <c r="AS9774" s="20"/>
    </row>
    <row r="9775" spans="45:45" ht="14.4">
      <c r="AS9775" s="20"/>
    </row>
    <row r="9776" spans="45:45" ht="14.4">
      <c r="AS9776" s="20"/>
    </row>
    <row r="9777" spans="45:45" ht="14.4">
      <c r="AS9777" s="20"/>
    </row>
    <row r="9778" spans="45:45" ht="14.4">
      <c r="AS9778" s="20"/>
    </row>
    <row r="9779" spans="45:45" ht="14.4">
      <c r="AS9779" s="20"/>
    </row>
    <row r="9780" spans="45:45" ht="14.4">
      <c r="AS9780" s="20"/>
    </row>
    <row r="9781" spans="45:45" ht="14.4">
      <c r="AS9781" s="20"/>
    </row>
    <row r="9782" spans="45:45" ht="14.4">
      <c r="AS9782" s="20"/>
    </row>
    <row r="9783" spans="45:45" ht="14.4">
      <c r="AS9783" s="20"/>
    </row>
    <row r="9784" spans="45:45" ht="14.4">
      <c r="AS9784" s="20"/>
    </row>
    <row r="9785" spans="45:45" ht="14.4">
      <c r="AS9785" s="20"/>
    </row>
    <row r="9786" spans="45:45" ht="14.4">
      <c r="AS9786" s="20"/>
    </row>
    <row r="9787" spans="45:45" ht="14.4">
      <c r="AS9787" s="20"/>
    </row>
    <row r="9788" spans="45:45" ht="14.4">
      <c r="AS9788" s="20"/>
    </row>
    <row r="9789" spans="45:45" ht="14.4">
      <c r="AS9789" s="20"/>
    </row>
    <row r="9790" spans="45:45" ht="14.4">
      <c r="AS9790" s="20"/>
    </row>
    <row r="9791" spans="45:45" ht="14.4">
      <c r="AS9791" s="20"/>
    </row>
    <row r="9792" spans="45:45" ht="14.4">
      <c r="AS9792" s="20"/>
    </row>
    <row r="9793" spans="45:45" ht="14.4">
      <c r="AS9793" s="20"/>
    </row>
    <row r="9794" spans="45:45" ht="14.4">
      <c r="AS9794" s="20"/>
    </row>
    <row r="9795" spans="45:45" ht="14.4">
      <c r="AS9795" s="20"/>
    </row>
    <row r="9796" spans="45:45" ht="14.4">
      <c r="AS9796" s="20"/>
    </row>
    <row r="9797" spans="45:45" ht="14.4">
      <c r="AS9797" s="20"/>
    </row>
    <row r="9798" spans="45:45" ht="14.4">
      <c r="AS9798" s="20"/>
    </row>
    <row r="9799" spans="45:45" ht="14.4">
      <c r="AS9799" s="20"/>
    </row>
    <row r="9800" spans="45:45" ht="14.4">
      <c r="AS9800" s="20"/>
    </row>
    <row r="9801" spans="45:45" ht="14.4">
      <c r="AS9801" s="20"/>
    </row>
    <row r="9802" spans="45:45" ht="14.4">
      <c r="AS9802" s="20"/>
    </row>
    <row r="9803" spans="45:45" ht="14.4">
      <c r="AS9803" s="20"/>
    </row>
    <row r="9804" spans="45:45" ht="14.4">
      <c r="AS9804" s="20"/>
    </row>
    <row r="9805" spans="45:45" ht="14.4">
      <c r="AS9805" s="20"/>
    </row>
    <row r="9806" spans="45:45" ht="14.4">
      <c r="AS9806" s="20"/>
    </row>
    <row r="9807" spans="45:45" ht="14.4">
      <c r="AS9807" s="20"/>
    </row>
    <row r="9808" spans="45:45" ht="14.4">
      <c r="AS9808" s="20"/>
    </row>
    <row r="9809" spans="45:45" ht="14.4">
      <c r="AS9809" s="20"/>
    </row>
    <row r="9810" spans="45:45" ht="14.4">
      <c r="AS9810" s="20"/>
    </row>
    <row r="9811" spans="45:45" ht="14.4">
      <c r="AS9811" s="20"/>
    </row>
    <row r="9812" spans="45:45" ht="14.4">
      <c r="AS9812" s="20"/>
    </row>
    <row r="9813" spans="45:45" ht="14.4">
      <c r="AS9813" s="20"/>
    </row>
    <row r="9814" spans="45:45" ht="14.4">
      <c r="AS9814" s="20"/>
    </row>
    <row r="9815" spans="45:45" ht="14.4">
      <c r="AS9815" s="20"/>
    </row>
    <row r="9816" spans="45:45" ht="14.4">
      <c r="AS9816" s="20"/>
    </row>
    <row r="9817" spans="45:45" ht="14.4">
      <c r="AS9817" s="20"/>
    </row>
    <row r="9818" spans="45:45" ht="14.4">
      <c r="AS9818" s="20"/>
    </row>
    <row r="9819" spans="45:45" ht="14.4">
      <c r="AS9819" s="20"/>
    </row>
    <row r="9820" spans="45:45" ht="14.4">
      <c r="AS9820" s="20"/>
    </row>
    <row r="9821" spans="45:45" ht="14.4">
      <c r="AS9821" s="20"/>
    </row>
    <row r="9822" spans="45:45" ht="14.4">
      <c r="AS9822" s="20"/>
    </row>
    <row r="9823" spans="45:45" ht="14.4">
      <c r="AS9823" s="20"/>
    </row>
    <row r="9824" spans="45:45" ht="14.4">
      <c r="AS9824" s="20"/>
    </row>
    <row r="9825" spans="45:45" ht="14.4">
      <c r="AS9825" s="20"/>
    </row>
    <row r="9826" spans="45:45" ht="14.4">
      <c r="AS9826" s="20"/>
    </row>
    <row r="9827" spans="45:45" ht="14.4">
      <c r="AS9827" s="20"/>
    </row>
    <row r="9828" spans="45:45" ht="14.4">
      <c r="AS9828" s="20"/>
    </row>
    <row r="9829" spans="45:45" ht="14.4">
      <c r="AS9829" s="20"/>
    </row>
    <row r="9830" spans="45:45" ht="14.4">
      <c r="AS9830" s="20"/>
    </row>
    <row r="9831" spans="45:45" ht="14.4">
      <c r="AS9831" s="20"/>
    </row>
    <row r="9832" spans="45:45" ht="14.4">
      <c r="AS9832" s="20"/>
    </row>
    <row r="9833" spans="45:45" ht="14.4">
      <c r="AS9833" s="20"/>
    </row>
    <row r="9834" spans="45:45" ht="14.4">
      <c r="AS9834" s="20"/>
    </row>
    <row r="9835" spans="45:45" ht="14.4">
      <c r="AS9835" s="20"/>
    </row>
    <row r="9836" spans="45:45" ht="14.4">
      <c r="AS9836" s="20"/>
    </row>
    <row r="9837" spans="45:45" ht="14.4">
      <c r="AS9837" s="20"/>
    </row>
    <row r="9838" spans="45:45" ht="14.4">
      <c r="AS9838" s="20"/>
    </row>
    <row r="9839" spans="45:45" ht="14.4">
      <c r="AS9839" s="20"/>
    </row>
    <row r="9840" spans="45:45" ht="14.4">
      <c r="AS9840" s="20"/>
    </row>
    <row r="9841" spans="45:45" ht="14.4">
      <c r="AS9841" s="20"/>
    </row>
    <row r="9842" spans="45:45" ht="14.4">
      <c r="AS9842" s="20"/>
    </row>
    <row r="9843" spans="45:45" ht="14.4">
      <c r="AS9843" s="20"/>
    </row>
    <row r="9844" spans="45:45" ht="14.4">
      <c r="AS9844" s="20"/>
    </row>
    <row r="9845" spans="45:45" ht="14.4">
      <c r="AS9845" s="20"/>
    </row>
    <row r="9846" spans="45:45" ht="14.4">
      <c r="AS9846" s="20"/>
    </row>
    <row r="9847" spans="45:45" ht="14.4">
      <c r="AS9847" s="20"/>
    </row>
    <row r="9848" spans="45:45" ht="14.4">
      <c r="AS9848" s="20"/>
    </row>
    <row r="9849" spans="45:45" ht="14.4">
      <c r="AS9849" s="20"/>
    </row>
    <row r="9850" spans="45:45" ht="14.4">
      <c r="AS9850" s="20"/>
    </row>
    <row r="9851" spans="45:45" ht="14.4">
      <c r="AS9851" s="20"/>
    </row>
    <row r="9852" spans="45:45" ht="14.4">
      <c r="AS9852" s="20"/>
    </row>
    <row r="9853" spans="45:45" ht="14.4">
      <c r="AS9853" s="20"/>
    </row>
    <row r="9854" spans="45:45" ht="14.4">
      <c r="AS9854" s="20"/>
    </row>
    <row r="9855" spans="45:45" ht="14.4">
      <c r="AS9855" s="20"/>
    </row>
    <row r="9856" spans="45:45" ht="14.4">
      <c r="AS9856" s="20"/>
    </row>
    <row r="9857" spans="45:45" ht="14.4">
      <c r="AS9857" s="20"/>
    </row>
    <row r="9858" spans="45:45" ht="14.4">
      <c r="AS9858" s="20"/>
    </row>
    <row r="9859" spans="45:45" ht="14.4">
      <c r="AS9859" s="20"/>
    </row>
    <row r="9860" spans="45:45" ht="14.4">
      <c r="AS9860" s="20"/>
    </row>
    <row r="9861" spans="45:45" ht="14.4">
      <c r="AS9861" s="20"/>
    </row>
    <row r="9862" spans="45:45" ht="14.4">
      <c r="AS9862" s="20"/>
    </row>
    <row r="9863" spans="45:45" ht="14.4">
      <c r="AS9863" s="20"/>
    </row>
    <row r="9864" spans="45:45" ht="14.4">
      <c r="AS9864" s="20"/>
    </row>
    <row r="9865" spans="45:45" ht="14.4">
      <c r="AS9865" s="20"/>
    </row>
    <row r="9866" spans="45:45" ht="14.4">
      <c r="AS9866" s="20"/>
    </row>
    <row r="9867" spans="45:45" ht="14.4">
      <c r="AS9867" s="20"/>
    </row>
    <row r="9868" spans="45:45" ht="14.4">
      <c r="AS9868" s="20"/>
    </row>
    <row r="9869" spans="45:45" ht="14.4">
      <c r="AS9869" s="20"/>
    </row>
    <row r="9870" spans="45:45" ht="14.4">
      <c r="AS9870" s="20"/>
    </row>
    <row r="9871" spans="45:45" ht="14.4">
      <c r="AS9871" s="20"/>
    </row>
    <row r="9872" spans="45:45" ht="14.4">
      <c r="AS9872" s="20"/>
    </row>
    <row r="9873" spans="45:45" ht="14.4">
      <c r="AS9873" s="20"/>
    </row>
    <row r="9874" spans="45:45" ht="14.4">
      <c r="AS9874" s="20"/>
    </row>
    <row r="9875" spans="45:45" ht="14.4">
      <c r="AS9875" s="20"/>
    </row>
    <row r="9876" spans="45:45" ht="14.4">
      <c r="AS9876" s="20"/>
    </row>
    <row r="9877" spans="45:45" ht="14.4">
      <c r="AS9877" s="20"/>
    </row>
    <row r="9878" spans="45:45" ht="14.4">
      <c r="AS9878" s="20"/>
    </row>
    <row r="9879" spans="45:45" ht="14.4">
      <c r="AS9879" s="20"/>
    </row>
    <row r="9880" spans="45:45" ht="14.4">
      <c r="AS9880" s="20"/>
    </row>
    <row r="9881" spans="45:45" ht="14.4">
      <c r="AS9881" s="20"/>
    </row>
    <row r="9882" spans="45:45" ht="14.4">
      <c r="AS9882" s="20"/>
    </row>
    <row r="9883" spans="45:45" ht="14.4">
      <c r="AS9883" s="20"/>
    </row>
    <row r="9884" spans="45:45" ht="14.4">
      <c r="AS9884" s="20"/>
    </row>
    <row r="9885" spans="45:45" ht="14.4">
      <c r="AS9885" s="20"/>
    </row>
    <row r="9886" spans="45:45" ht="14.4">
      <c r="AS9886" s="20"/>
    </row>
    <row r="9887" spans="45:45" ht="14.4">
      <c r="AS9887" s="20"/>
    </row>
    <row r="9888" spans="45:45" ht="14.4">
      <c r="AS9888" s="20"/>
    </row>
    <row r="9889" spans="45:45" ht="14.4">
      <c r="AS9889" s="20"/>
    </row>
    <row r="9890" spans="45:45" ht="14.4">
      <c r="AS9890" s="20"/>
    </row>
    <row r="9891" spans="45:45" ht="14.4">
      <c r="AS9891" s="20"/>
    </row>
    <row r="9892" spans="45:45" ht="14.4">
      <c r="AS9892" s="20"/>
    </row>
    <row r="9893" spans="45:45" ht="14.4">
      <c r="AS9893" s="20"/>
    </row>
    <row r="9894" spans="45:45" ht="14.4">
      <c r="AS9894" s="20"/>
    </row>
    <row r="9895" spans="45:45" ht="14.4">
      <c r="AS9895" s="20"/>
    </row>
    <row r="9896" spans="45:45" ht="14.4">
      <c r="AS9896" s="20"/>
    </row>
    <row r="9897" spans="45:45" ht="14.4">
      <c r="AS9897" s="20"/>
    </row>
    <row r="9898" spans="45:45" ht="14.4">
      <c r="AS9898" s="20"/>
    </row>
    <row r="9899" spans="45:45" ht="14.4">
      <c r="AS9899" s="20"/>
    </row>
    <row r="9900" spans="45:45" ht="14.4">
      <c r="AS9900" s="20"/>
    </row>
    <row r="9901" spans="45:45" ht="14.4">
      <c r="AS9901" s="20"/>
    </row>
    <row r="9902" spans="45:45" ht="14.4">
      <c r="AS9902" s="20"/>
    </row>
    <row r="9903" spans="45:45" ht="14.4">
      <c r="AS9903" s="20"/>
    </row>
    <row r="9904" spans="45:45" ht="14.4">
      <c r="AS9904" s="20"/>
    </row>
    <row r="9905" spans="45:45" ht="14.4">
      <c r="AS9905" s="20"/>
    </row>
    <row r="9906" spans="45:45" ht="14.4">
      <c r="AS9906" s="20"/>
    </row>
    <row r="9907" spans="45:45" ht="14.4">
      <c r="AS9907" s="20"/>
    </row>
    <row r="9908" spans="45:45" ht="14.4">
      <c r="AS9908" s="20"/>
    </row>
    <row r="9909" spans="45:45" ht="14.4">
      <c r="AS9909" s="20"/>
    </row>
    <row r="9910" spans="45:45" ht="14.4">
      <c r="AS9910" s="20"/>
    </row>
    <row r="9911" spans="45:45" ht="14.4">
      <c r="AS9911" s="20"/>
    </row>
    <row r="9912" spans="45:45" ht="14.4">
      <c r="AS9912" s="20"/>
    </row>
    <row r="9913" spans="45:45" ht="14.4">
      <c r="AS9913" s="20"/>
    </row>
    <row r="9914" spans="45:45" ht="14.4">
      <c r="AS9914" s="20"/>
    </row>
    <row r="9915" spans="45:45" ht="14.4">
      <c r="AS9915" s="20"/>
    </row>
    <row r="9916" spans="45:45" ht="14.4">
      <c r="AS9916" s="20"/>
    </row>
    <row r="9917" spans="45:45" ht="14.4">
      <c r="AS9917" s="20"/>
    </row>
    <row r="9918" spans="45:45" ht="14.4">
      <c r="AS9918" s="20"/>
    </row>
    <row r="9919" spans="45:45" ht="14.4">
      <c r="AS9919" s="20"/>
    </row>
    <row r="9920" spans="45:45" ht="14.4">
      <c r="AS9920" s="20"/>
    </row>
    <row r="9921" spans="45:45" ht="14.4">
      <c r="AS9921" s="20"/>
    </row>
    <row r="9922" spans="45:45" ht="14.4">
      <c r="AS9922" s="20"/>
    </row>
    <row r="9923" spans="45:45" ht="14.4">
      <c r="AS9923" s="20"/>
    </row>
    <row r="9924" spans="45:45" ht="14.4">
      <c r="AS9924" s="20"/>
    </row>
    <row r="9925" spans="45:45" ht="14.4">
      <c r="AS9925" s="20"/>
    </row>
    <row r="9926" spans="45:45" ht="14.4">
      <c r="AS9926" s="20"/>
    </row>
    <row r="9927" spans="45:45" ht="14.4">
      <c r="AS9927" s="20"/>
    </row>
    <row r="9928" spans="45:45" ht="14.4">
      <c r="AS9928" s="20"/>
    </row>
    <row r="9929" spans="45:45" ht="14.4">
      <c r="AS9929" s="20"/>
    </row>
    <row r="9930" spans="45:45" ht="14.4">
      <c r="AS9930" s="20"/>
    </row>
    <row r="9931" spans="45:45" ht="14.4">
      <c r="AS9931" s="20"/>
    </row>
    <row r="9932" spans="45:45" ht="14.4">
      <c r="AS9932" s="20"/>
    </row>
    <row r="9933" spans="45:45" ht="14.4">
      <c r="AS9933" s="20"/>
    </row>
    <row r="9934" spans="45:45" ht="14.4">
      <c r="AS9934" s="20"/>
    </row>
    <row r="9935" spans="45:45" ht="14.4">
      <c r="AS9935" s="20"/>
    </row>
    <row r="9936" spans="45:45" ht="14.4">
      <c r="AS9936" s="20"/>
    </row>
    <row r="9937" spans="45:45" ht="14.4">
      <c r="AS9937" s="20"/>
    </row>
    <row r="9938" spans="45:45" ht="14.4">
      <c r="AS9938" s="20"/>
    </row>
    <row r="9939" spans="45:45" ht="14.4">
      <c r="AS9939" s="20"/>
    </row>
    <row r="9940" spans="45:45" ht="14.4">
      <c r="AS9940" s="20"/>
    </row>
    <row r="9941" spans="45:45" ht="14.4">
      <c r="AS9941" s="20"/>
    </row>
    <row r="9942" spans="45:45" ht="14.4">
      <c r="AS9942" s="20"/>
    </row>
    <row r="9943" spans="45:45" ht="14.4">
      <c r="AS9943" s="20"/>
    </row>
    <row r="9944" spans="45:45" ht="14.4">
      <c r="AS9944" s="20"/>
    </row>
    <row r="9945" spans="45:45" ht="14.4">
      <c r="AS9945" s="20"/>
    </row>
    <row r="9946" spans="45:45" ht="14.4">
      <c r="AS9946" s="20"/>
    </row>
    <row r="9947" spans="45:45" ht="14.4">
      <c r="AS9947" s="20"/>
    </row>
    <row r="9948" spans="45:45" ht="14.4">
      <c r="AS9948" s="20"/>
    </row>
    <row r="9949" spans="45:45" ht="14.4">
      <c r="AS9949" s="20"/>
    </row>
    <row r="9950" spans="45:45" ht="14.4">
      <c r="AS9950" s="20"/>
    </row>
    <row r="9951" spans="45:45" ht="14.4">
      <c r="AS9951" s="20"/>
    </row>
    <row r="9952" spans="45:45" ht="14.4">
      <c r="AS9952" s="20"/>
    </row>
    <row r="9953" spans="45:45" ht="14.4">
      <c r="AS9953" s="20"/>
    </row>
    <row r="9954" spans="45:45" ht="14.4">
      <c r="AS9954" s="20"/>
    </row>
    <row r="9955" spans="45:45" ht="14.4">
      <c r="AS9955" s="20"/>
    </row>
    <row r="9956" spans="45:45" ht="14.4">
      <c r="AS9956" s="20"/>
    </row>
    <row r="9957" spans="45:45" ht="14.4">
      <c r="AS9957" s="20"/>
    </row>
    <row r="9958" spans="45:45" ht="14.4">
      <c r="AS9958" s="20"/>
    </row>
    <row r="9959" spans="45:45" ht="14.4">
      <c r="AS9959" s="20"/>
    </row>
    <row r="9960" spans="45:45" ht="14.4">
      <c r="AS9960" s="20"/>
    </row>
    <row r="9961" spans="45:45" ht="14.4">
      <c r="AS9961" s="20"/>
    </row>
    <row r="9962" spans="45:45" ht="14.4">
      <c r="AS9962" s="20"/>
    </row>
    <row r="9963" spans="45:45" ht="14.4">
      <c r="AS9963" s="20"/>
    </row>
    <row r="9964" spans="45:45" ht="14.4">
      <c r="AS9964" s="20"/>
    </row>
    <row r="9965" spans="45:45" ht="14.4">
      <c r="AS9965" s="20"/>
    </row>
    <row r="9966" spans="45:45" ht="14.4">
      <c r="AS9966" s="20"/>
    </row>
    <row r="9967" spans="45:45" ht="14.4">
      <c r="AS9967" s="20"/>
    </row>
    <row r="9968" spans="45:45" ht="14.4">
      <c r="AS9968" s="20"/>
    </row>
    <row r="9969" spans="45:45" ht="14.4">
      <c r="AS9969" s="20"/>
    </row>
    <row r="9970" spans="45:45" ht="14.4">
      <c r="AS9970" s="20"/>
    </row>
    <row r="9971" spans="45:45" ht="14.4">
      <c r="AS9971" s="20"/>
    </row>
    <row r="9972" spans="45:45" ht="14.4">
      <c r="AS9972" s="20"/>
    </row>
    <row r="9973" spans="45:45" ht="14.4">
      <c r="AS9973" s="20"/>
    </row>
    <row r="9974" spans="45:45" ht="14.4">
      <c r="AS9974" s="20"/>
    </row>
    <row r="9975" spans="45:45" ht="14.4">
      <c r="AS9975" s="20"/>
    </row>
    <row r="9976" spans="45:45" ht="14.4">
      <c r="AS9976" s="20"/>
    </row>
    <row r="9977" spans="45:45" ht="14.4">
      <c r="AS9977" s="20"/>
    </row>
    <row r="9978" spans="45:45" ht="14.4">
      <c r="AS9978" s="20"/>
    </row>
    <row r="9979" spans="45:45" ht="14.4">
      <c r="AS9979" s="20"/>
    </row>
    <row r="9980" spans="45:45" ht="14.4">
      <c r="AS9980" s="20"/>
    </row>
    <row r="9981" spans="45:45" ht="14.4">
      <c r="AS9981" s="20"/>
    </row>
    <row r="9982" spans="45:45" ht="14.4">
      <c r="AS9982" s="20"/>
    </row>
    <row r="9983" spans="45:45" ht="14.4">
      <c r="AS9983" s="20"/>
    </row>
    <row r="9984" spans="45:45" ht="14.4">
      <c r="AS9984" s="20"/>
    </row>
    <row r="9985" spans="45:45" ht="14.4">
      <c r="AS9985" s="20"/>
    </row>
    <row r="9986" spans="45:45" ht="14.4">
      <c r="AS9986" s="20"/>
    </row>
    <row r="9987" spans="45:45" ht="14.4">
      <c r="AS9987" s="20"/>
    </row>
    <row r="9988" spans="45:45" ht="14.4">
      <c r="AS9988" s="20"/>
    </row>
    <row r="9989" spans="45:45" ht="14.4">
      <c r="AS9989" s="20"/>
    </row>
    <row r="9990" spans="45:45" ht="14.4">
      <c r="AS9990" s="20"/>
    </row>
    <row r="9991" spans="45:45" ht="14.4">
      <c r="AS9991" s="20"/>
    </row>
    <row r="9992" spans="45:45" ht="14.4">
      <c r="AS9992" s="20"/>
    </row>
    <row r="9993" spans="45:45" ht="14.4">
      <c r="AS9993" s="20"/>
    </row>
    <row r="9994" spans="45:45" ht="14.4">
      <c r="AS9994" s="20"/>
    </row>
    <row r="9995" spans="45:45" ht="14.4">
      <c r="AS9995" s="20"/>
    </row>
    <row r="9996" spans="45:45" ht="14.4">
      <c r="AS9996" s="20"/>
    </row>
    <row r="9997" spans="45:45" ht="14.4">
      <c r="AS9997" s="20"/>
    </row>
    <row r="9998" spans="45:45" ht="14.4">
      <c r="AS9998" s="20"/>
    </row>
    <row r="9999" spans="45:45" ht="14.4">
      <c r="AS9999" s="20"/>
    </row>
    <row r="10000" spans="45:45" ht="14.4">
      <c r="AS10000" s="20"/>
    </row>
    <row r="10001" spans="45:45" ht="14.4">
      <c r="AS10001" s="20"/>
    </row>
    <row r="10002" spans="45:45" ht="14.4">
      <c r="AS10002" s="20"/>
    </row>
    <row r="10003" spans="45:45" ht="14.4">
      <c r="AS10003" s="20"/>
    </row>
    <row r="10004" spans="45:45" ht="14.4">
      <c r="AS10004" s="20"/>
    </row>
    <row r="10005" spans="45:45" ht="14.4">
      <c r="AS10005" s="20"/>
    </row>
    <row r="10006" spans="45:45" ht="14.4">
      <c r="AS10006" s="20"/>
    </row>
    <row r="10007" spans="45:45" ht="14.4">
      <c r="AS10007" s="20"/>
    </row>
    <row r="10008" spans="45:45" ht="14.4">
      <c r="AS10008" s="20"/>
    </row>
    <row r="10009" spans="45:45" ht="14.4">
      <c r="AS10009" s="20"/>
    </row>
    <row r="10010" spans="45:45" ht="14.4">
      <c r="AS10010" s="20"/>
    </row>
    <row r="10011" spans="45:45" ht="14.4">
      <c r="AS10011" s="20"/>
    </row>
    <row r="10012" spans="45:45" ht="14.4">
      <c r="AS10012" s="20"/>
    </row>
    <row r="10013" spans="45:45" ht="14.4">
      <c r="AS10013" s="20"/>
    </row>
    <row r="10014" spans="45:45" ht="14.4">
      <c r="AS10014" s="20"/>
    </row>
    <row r="10015" spans="45:45" ht="14.4">
      <c r="AS10015" s="20"/>
    </row>
    <row r="10016" spans="45:45" ht="14.4">
      <c r="AS10016" s="20"/>
    </row>
    <row r="10017" spans="45:45" ht="14.4">
      <c r="AS10017" s="20"/>
    </row>
    <row r="10018" spans="45:45" ht="14.4">
      <c r="AS10018" s="20"/>
    </row>
    <row r="10019" spans="45:45" ht="14.4">
      <c r="AS10019" s="20"/>
    </row>
    <row r="10020" spans="45:45" ht="14.4">
      <c r="AS10020" s="20"/>
    </row>
    <row r="10021" spans="45:45" ht="14.4">
      <c r="AS10021" s="20"/>
    </row>
    <row r="10022" spans="45:45" ht="14.4">
      <c r="AS10022" s="20"/>
    </row>
    <row r="10023" spans="45:45" ht="14.4">
      <c r="AS10023" s="20"/>
    </row>
    <row r="10024" spans="45:45" ht="14.4">
      <c r="AS10024" s="20"/>
    </row>
    <row r="10025" spans="45:45" ht="14.4">
      <c r="AS10025" s="20"/>
    </row>
    <row r="10026" spans="45:45" ht="14.4">
      <c r="AS10026" s="20"/>
    </row>
    <row r="10027" spans="45:45" ht="14.4">
      <c r="AS10027" s="20"/>
    </row>
    <row r="10028" spans="45:45" ht="14.4">
      <c r="AS10028" s="20"/>
    </row>
    <row r="10029" spans="45:45" ht="14.4">
      <c r="AS10029" s="20"/>
    </row>
    <row r="10030" spans="45:45" ht="14.4">
      <c r="AS10030" s="20"/>
    </row>
    <row r="10031" spans="45:45" ht="14.4">
      <c r="AS10031" s="20"/>
    </row>
    <row r="10032" spans="45:45" ht="14.4">
      <c r="AS10032" s="20"/>
    </row>
    <row r="10033" spans="45:45" ht="14.4">
      <c r="AS10033" s="20"/>
    </row>
    <row r="10034" spans="45:45" ht="14.4">
      <c r="AS10034" s="20"/>
    </row>
    <row r="10035" spans="45:45" ht="14.4">
      <c r="AS10035" s="20"/>
    </row>
    <row r="10036" spans="45:45" ht="14.4">
      <c r="AS10036" s="20"/>
    </row>
    <row r="10037" spans="45:45" ht="14.4">
      <c r="AS10037" s="20"/>
    </row>
    <row r="10038" spans="45:45" ht="14.4">
      <c r="AS10038" s="20"/>
    </row>
    <row r="10039" spans="45:45" ht="14.4">
      <c r="AS10039" s="20"/>
    </row>
    <row r="10040" spans="45:45" ht="14.4">
      <c r="AS10040" s="20"/>
    </row>
    <row r="10041" spans="45:45" ht="14.4">
      <c r="AS10041" s="20"/>
    </row>
    <row r="10042" spans="45:45" ht="14.4">
      <c r="AS10042" s="20"/>
    </row>
    <row r="10043" spans="45:45" ht="14.4">
      <c r="AS10043" s="20"/>
    </row>
    <row r="10044" spans="45:45" ht="14.4">
      <c r="AS10044" s="20"/>
    </row>
    <row r="10045" spans="45:45" ht="14.4">
      <c r="AS10045" s="20"/>
    </row>
    <row r="10046" spans="45:45" ht="14.4">
      <c r="AS10046" s="20"/>
    </row>
    <row r="10047" spans="45:45" ht="14.4">
      <c r="AS10047" s="20"/>
    </row>
    <row r="10048" spans="45:45" ht="14.4">
      <c r="AS10048" s="20"/>
    </row>
    <row r="10049" spans="45:45" ht="14.4">
      <c r="AS10049" s="20"/>
    </row>
    <row r="10050" spans="45:45" ht="14.4">
      <c r="AS10050" s="20"/>
    </row>
    <row r="10051" spans="45:45" ht="14.4">
      <c r="AS10051" s="20"/>
    </row>
    <row r="10052" spans="45:45" ht="14.4">
      <c r="AS10052" s="20"/>
    </row>
    <row r="10053" spans="45:45" ht="14.4">
      <c r="AS10053" s="20"/>
    </row>
    <row r="10054" spans="45:45" ht="14.4">
      <c r="AS10054" s="20"/>
    </row>
    <row r="10055" spans="45:45" ht="14.4">
      <c r="AS10055" s="20"/>
    </row>
    <row r="10056" spans="45:45" ht="14.4">
      <c r="AS10056" s="20"/>
    </row>
    <row r="10057" spans="45:45" ht="14.4">
      <c r="AS10057" s="20"/>
    </row>
    <row r="10058" spans="45:45" ht="14.4">
      <c r="AS10058" s="20"/>
    </row>
    <row r="10059" spans="45:45" ht="14.4">
      <c r="AS10059" s="20"/>
    </row>
    <row r="10060" spans="45:45" ht="14.4">
      <c r="AS10060" s="20"/>
    </row>
    <row r="10061" spans="45:45" ht="14.4">
      <c r="AS10061" s="20"/>
    </row>
    <row r="10062" spans="45:45" ht="14.4">
      <c r="AS10062" s="20"/>
    </row>
    <row r="10063" spans="45:45" ht="14.4">
      <c r="AS10063" s="20"/>
    </row>
    <row r="10064" spans="45:45" ht="14.4">
      <c r="AS10064" s="20"/>
    </row>
    <row r="10065" spans="45:45" ht="14.4">
      <c r="AS10065" s="20"/>
    </row>
    <row r="10066" spans="45:45" ht="14.4">
      <c r="AS10066" s="20"/>
    </row>
    <row r="10067" spans="45:45" ht="14.4">
      <c r="AS10067" s="20"/>
    </row>
    <row r="10068" spans="45:45" ht="14.4">
      <c r="AS10068" s="20"/>
    </row>
    <row r="10069" spans="45:45" ht="14.4">
      <c r="AS10069" s="20"/>
    </row>
    <row r="10070" spans="45:45" ht="14.4">
      <c r="AS10070" s="20"/>
    </row>
    <row r="10071" spans="45:45" ht="14.4">
      <c r="AS10071" s="20"/>
    </row>
    <row r="10072" spans="45:45" ht="14.4">
      <c r="AS10072" s="20"/>
    </row>
    <row r="10073" spans="45:45" ht="14.4">
      <c r="AS10073" s="20"/>
    </row>
    <row r="10074" spans="45:45" ht="14.4">
      <c r="AS10074" s="20"/>
    </row>
    <row r="10075" spans="45:45" ht="14.4">
      <c r="AS10075" s="20"/>
    </row>
    <row r="10076" spans="45:45" ht="14.4">
      <c r="AS10076" s="20"/>
    </row>
    <row r="10077" spans="45:45" ht="14.4">
      <c r="AS10077" s="20"/>
    </row>
    <row r="10078" spans="45:45" ht="14.4">
      <c r="AS10078" s="20"/>
    </row>
    <row r="10079" spans="45:45" ht="14.4">
      <c r="AS10079" s="20"/>
    </row>
    <row r="10080" spans="45:45" ht="14.4">
      <c r="AS10080" s="20"/>
    </row>
    <row r="10081" spans="45:45" ht="14.4">
      <c r="AS10081" s="20"/>
    </row>
    <row r="10082" spans="45:45" ht="14.4">
      <c r="AS10082" s="20"/>
    </row>
    <row r="10083" spans="45:45" ht="14.4">
      <c r="AS10083" s="20"/>
    </row>
    <row r="10084" spans="45:45" ht="14.4">
      <c r="AS10084" s="20"/>
    </row>
    <row r="10085" spans="45:45" ht="14.4">
      <c r="AS10085" s="20"/>
    </row>
    <row r="10086" spans="45:45" ht="14.4">
      <c r="AS10086" s="20"/>
    </row>
    <row r="10087" spans="45:45" ht="14.4">
      <c r="AS10087" s="20"/>
    </row>
    <row r="10088" spans="45:45" ht="14.4">
      <c r="AS10088" s="20"/>
    </row>
    <row r="10089" spans="45:45" ht="14.4">
      <c r="AS10089" s="20"/>
    </row>
    <row r="10090" spans="45:45" ht="14.4">
      <c r="AS10090" s="20"/>
    </row>
    <row r="10091" spans="45:45" ht="14.4">
      <c r="AS10091" s="20"/>
    </row>
    <row r="10092" spans="45:45" ht="14.4">
      <c r="AS10092" s="20"/>
    </row>
    <row r="10093" spans="45:45" ht="14.4">
      <c r="AS10093" s="20"/>
    </row>
    <row r="10094" spans="45:45" ht="14.4">
      <c r="AS10094" s="20"/>
    </row>
    <row r="10095" spans="45:45" ht="14.4">
      <c r="AS10095" s="20"/>
    </row>
    <row r="10096" spans="45:45" ht="14.4">
      <c r="AS10096" s="20"/>
    </row>
    <row r="10097" spans="45:45" ht="14.4">
      <c r="AS10097" s="20"/>
    </row>
    <row r="10098" spans="45:45" ht="14.4">
      <c r="AS10098" s="20"/>
    </row>
    <row r="10099" spans="45:45" ht="14.4">
      <c r="AS10099" s="20"/>
    </row>
    <row r="10100" spans="45:45" ht="14.4">
      <c r="AS10100" s="20"/>
    </row>
    <row r="10101" spans="45:45" ht="14.4">
      <c r="AS10101" s="20"/>
    </row>
    <row r="10102" spans="45:45" ht="14.4">
      <c r="AS10102" s="20"/>
    </row>
    <row r="10103" spans="45:45" ht="14.4">
      <c r="AS10103" s="20"/>
    </row>
    <row r="10104" spans="45:45" ht="14.4">
      <c r="AS10104" s="20"/>
    </row>
    <row r="10105" spans="45:45" ht="14.4">
      <c r="AS10105" s="20"/>
    </row>
    <row r="10106" spans="45:45" ht="14.4">
      <c r="AS10106" s="20"/>
    </row>
    <row r="10107" spans="45:45" ht="14.4">
      <c r="AS10107" s="20"/>
    </row>
    <row r="10108" spans="45:45" ht="14.4">
      <c r="AS10108" s="20"/>
    </row>
    <row r="10109" spans="45:45" ht="14.4">
      <c r="AS10109" s="20"/>
    </row>
    <row r="10110" spans="45:45" ht="14.4">
      <c r="AS10110" s="20"/>
    </row>
    <row r="10111" spans="45:45" ht="14.4">
      <c r="AS10111" s="20"/>
    </row>
    <row r="10112" spans="45:45" ht="14.4">
      <c r="AS10112" s="20"/>
    </row>
    <row r="10113" spans="45:45" ht="14.4">
      <c r="AS10113" s="20"/>
    </row>
    <row r="10114" spans="45:45" ht="14.4">
      <c r="AS10114" s="20"/>
    </row>
    <row r="10115" spans="45:45" ht="14.4">
      <c r="AS10115" s="20"/>
    </row>
    <row r="10116" spans="45:45" ht="14.4">
      <c r="AS10116" s="20"/>
    </row>
    <row r="10117" spans="45:45" ht="14.4">
      <c r="AS10117" s="20"/>
    </row>
    <row r="10118" spans="45:45" ht="14.4">
      <c r="AS10118" s="20"/>
    </row>
    <row r="10119" spans="45:45" ht="14.4">
      <c r="AS10119" s="20"/>
    </row>
    <row r="10120" spans="45:45" ht="14.4">
      <c r="AS10120" s="20"/>
    </row>
    <row r="10121" spans="45:45" ht="14.4">
      <c r="AS10121" s="20"/>
    </row>
    <row r="10122" spans="45:45" ht="14.4">
      <c r="AS10122" s="20"/>
    </row>
    <row r="10123" spans="45:45" ht="14.4">
      <c r="AS10123" s="20"/>
    </row>
    <row r="10124" spans="45:45" ht="14.4">
      <c r="AS10124" s="20"/>
    </row>
    <row r="10125" spans="45:45" ht="14.4">
      <c r="AS10125" s="20"/>
    </row>
    <row r="10126" spans="45:45" ht="14.4">
      <c r="AS10126" s="20"/>
    </row>
    <row r="10127" spans="45:45" ht="14.4">
      <c r="AS10127" s="20"/>
    </row>
    <row r="10128" spans="45:45" ht="14.4">
      <c r="AS10128" s="20"/>
    </row>
    <row r="10129" spans="45:45" ht="14.4">
      <c r="AS10129" s="20"/>
    </row>
    <row r="10130" spans="45:45" ht="14.4">
      <c r="AS10130" s="20"/>
    </row>
    <row r="10131" spans="45:45" ht="14.4">
      <c r="AS10131" s="20"/>
    </row>
    <row r="10132" spans="45:45" ht="14.4">
      <c r="AS10132" s="20"/>
    </row>
    <row r="10133" spans="45:45" ht="14.4">
      <c r="AS10133" s="20"/>
    </row>
    <row r="10134" spans="45:45" ht="14.4">
      <c r="AS10134" s="20"/>
    </row>
    <row r="10135" spans="45:45" ht="14.4">
      <c r="AS10135" s="20"/>
    </row>
    <row r="10136" spans="45:45" ht="14.4">
      <c r="AS10136" s="20"/>
    </row>
    <row r="10137" spans="45:45" ht="14.4">
      <c r="AS10137" s="20"/>
    </row>
    <row r="10138" spans="45:45" ht="14.4">
      <c r="AS10138" s="20"/>
    </row>
    <row r="10139" spans="45:45" ht="14.4">
      <c r="AS10139" s="20"/>
    </row>
    <row r="10140" spans="45:45" ht="14.4">
      <c r="AS10140" s="20"/>
    </row>
    <row r="10141" spans="45:45" ht="14.4">
      <c r="AS10141" s="20"/>
    </row>
    <row r="10142" spans="45:45" ht="14.4">
      <c r="AS10142" s="20"/>
    </row>
    <row r="10143" spans="45:45" ht="14.4">
      <c r="AS10143" s="20"/>
    </row>
    <row r="10144" spans="45:45" ht="14.4">
      <c r="AS10144" s="20"/>
    </row>
    <row r="10145" spans="45:45" ht="14.4">
      <c r="AS10145" s="20"/>
    </row>
    <row r="10146" spans="45:45" ht="14.4">
      <c r="AS10146" s="20"/>
    </row>
    <row r="10147" spans="45:45" ht="14.4">
      <c r="AS10147" s="20"/>
    </row>
    <row r="10148" spans="45:45" ht="14.4">
      <c r="AS10148" s="20"/>
    </row>
    <row r="10149" spans="45:45" ht="14.4">
      <c r="AS10149" s="20"/>
    </row>
    <row r="10150" spans="45:45" ht="14.4">
      <c r="AS10150" s="20"/>
    </row>
    <row r="10151" spans="45:45" ht="14.4">
      <c r="AS10151" s="20"/>
    </row>
    <row r="10152" spans="45:45" ht="14.4">
      <c r="AS10152" s="20"/>
    </row>
    <row r="10153" spans="45:45" ht="14.4">
      <c r="AS10153" s="20"/>
    </row>
    <row r="10154" spans="45:45" ht="14.4">
      <c r="AS10154" s="20"/>
    </row>
    <row r="10155" spans="45:45" ht="14.4">
      <c r="AS10155" s="20"/>
    </row>
    <row r="10156" spans="45:45" ht="14.4">
      <c r="AS10156" s="20"/>
    </row>
    <row r="10157" spans="45:45" ht="14.4">
      <c r="AS10157" s="20"/>
    </row>
    <row r="10158" spans="45:45" ht="14.4">
      <c r="AS10158" s="20"/>
    </row>
    <row r="10159" spans="45:45" ht="14.4">
      <c r="AS10159" s="20"/>
    </row>
    <row r="10160" spans="45:45" ht="14.4">
      <c r="AS10160" s="20"/>
    </row>
    <row r="10161" spans="45:45" ht="14.4">
      <c r="AS10161" s="20"/>
    </row>
    <row r="10162" spans="45:45" ht="14.4">
      <c r="AS10162" s="20"/>
    </row>
    <row r="10163" spans="45:45" ht="14.4">
      <c r="AS10163" s="20"/>
    </row>
    <row r="10164" spans="45:45" ht="14.4">
      <c r="AS10164" s="20"/>
    </row>
    <row r="10165" spans="45:45" ht="14.4">
      <c r="AS10165" s="20"/>
    </row>
    <row r="10166" spans="45:45" ht="14.4">
      <c r="AS10166" s="20"/>
    </row>
    <row r="10167" spans="45:45" ht="14.4">
      <c r="AS10167" s="20"/>
    </row>
    <row r="10168" spans="45:45" ht="14.4">
      <c r="AS10168" s="20"/>
    </row>
    <row r="10169" spans="45:45" ht="14.4">
      <c r="AS10169" s="20"/>
    </row>
    <row r="10170" spans="45:45" ht="14.4">
      <c r="AS10170" s="20"/>
    </row>
    <row r="10171" spans="45:45" ht="14.4">
      <c r="AS10171" s="20"/>
    </row>
    <row r="10172" spans="45:45" ht="14.4">
      <c r="AS10172" s="20"/>
    </row>
    <row r="10173" spans="45:45" ht="14.4">
      <c r="AS10173" s="20"/>
    </row>
    <row r="10174" spans="45:45" ht="14.4">
      <c r="AS10174" s="20"/>
    </row>
    <row r="10175" spans="45:45" ht="14.4">
      <c r="AS10175" s="20"/>
    </row>
    <row r="10176" spans="45:45" ht="14.4">
      <c r="AS10176" s="20"/>
    </row>
    <row r="10177" spans="45:45" ht="14.4">
      <c r="AS10177" s="20"/>
    </row>
    <row r="10178" spans="45:45" ht="14.4">
      <c r="AS10178" s="20"/>
    </row>
    <row r="10179" spans="45:45" ht="14.4">
      <c r="AS10179" s="20"/>
    </row>
    <row r="10180" spans="45:45" ht="14.4">
      <c r="AS10180" s="20"/>
    </row>
    <row r="10181" spans="45:45" ht="14.4">
      <c r="AS10181" s="20"/>
    </row>
    <row r="10182" spans="45:45" ht="14.4">
      <c r="AS10182" s="20"/>
    </row>
    <row r="10183" spans="45:45" ht="14.4">
      <c r="AS10183" s="20"/>
    </row>
    <row r="10184" spans="45:45" ht="14.4">
      <c r="AS10184" s="20"/>
    </row>
    <row r="10185" spans="45:45" ht="14.4">
      <c r="AS10185" s="20"/>
    </row>
    <row r="10186" spans="45:45" ht="14.4">
      <c r="AS10186" s="20"/>
    </row>
    <row r="10187" spans="45:45" ht="14.4">
      <c r="AS10187" s="20"/>
    </row>
    <row r="10188" spans="45:45" ht="14.4">
      <c r="AS10188" s="20"/>
    </row>
    <row r="10189" spans="45:45" ht="14.4">
      <c r="AS10189" s="20"/>
    </row>
    <row r="10190" spans="45:45" ht="14.4">
      <c r="AS10190" s="20"/>
    </row>
    <row r="10191" spans="45:45" ht="14.4">
      <c r="AS10191" s="20"/>
    </row>
    <row r="10192" spans="45:45" ht="14.4">
      <c r="AS10192" s="20"/>
    </row>
    <row r="10193" spans="45:45" ht="14.4">
      <c r="AS10193" s="20"/>
    </row>
    <row r="10194" spans="45:45" ht="14.4">
      <c r="AS10194" s="20"/>
    </row>
    <row r="10195" spans="45:45" ht="14.4">
      <c r="AS10195" s="20"/>
    </row>
    <row r="10196" spans="45:45" ht="14.4">
      <c r="AS10196" s="20"/>
    </row>
    <row r="10197" spans="45:45" ht="14.4">
      <c r="AS10197" s="20"/>
    </row>
    <row r="10198" spans="45:45" ht="14.4">
      <c r="AS10198" s="20"/>
    </row>
    <row r="10199" spans="45:45" ht="14.4">
      <c r="AS10199" s="20"/>
    </row>
    <row r="10200" spans="45:45" ht="14.4">
      <c r="AS10200" s="20"/>
    </row>
    <row r="10201" spans="45:45" ht="14.4">
      <c r="AS10201" s="20"/>
    </row>
    <row r="10202" spans="45:45" ht="14.4">
      <c r="AS10202" s="20"/>
    </row>
    <row r="10203" spans="45:45" ht="14.4">
      <c r="AS10203" s="20"/>
    </row>
    <row r="10204" spans="45:45" ht="14.4">
      <c r="AS10204" s="20"/>
    </row>
    <row r="10205" spans="45:45" ht="14.4">
      <c r="AS10205" s="20"/>
    </row>
    <row r="10206" spans="45:45" ht="14.4">
      <c r="AS10206" s="20"/>
    </row>
    <row r="10207" spans="45:45" ht="14.4">
      <c r="AS10207" s="20"/>
    </row>
    <row r="10208" spans="45:45" ht="14.4">
      <c r="AS10208" s="20"/>
    </row>
    <row r="10209" spans="45:45" ht="14.4">
      <c r="AS10209" s="20"/>
    </row>
    <row r="10210" spans="45:45" ht="14.4">
      <c r="AS10210" s="20"/>
    </row>
    <row r="10211" spans="45:45" ht="14.4">
      <c r="AS10211" s="20"/>
    </row>
    <row r="10212" spans="45:45" ht="14.4">
      <c r="AS10212" s="20"/>
    </row>
    <row r="10213" spans="45:45" ht="14.4">
      <c r="AS10213" s="20"/>
    </row>
    <row r="10214" spans="45:45" ht="14.4">
      <c r="AS10214" s="20"/>
    </row>
    <row r="10215" spans="45:45" ht="14.4">
      <c r="AS10215" s="20"/>
    </row>
    <row r="10216" spans="45:45" ht="14.4">
      <c r="AS10216" s="20"/>
    </row>
    <row r="10217" spans="45:45" ht="14.4">
      <c r="AS10217" s="20"/>
    </row>
    <row r="10218" spans="45:45" ht="14.4">
      <c r="AS10218" s="20"/>
    </row>
    <row r="10219" spans="45:45" ht="14.4">
      <c r="AS10219" s="20"/>
    </row>
    <row r="10220" spans="45:45" ht="14.4">
      <c r="AS10220" s="20"/>
    </row>
    <row r="10221" spans="45:45" ht="14.4">
      <c r="AS10221" s="20"/>
    </row>
    <row r="10222" spans="45:45" ht="14.4">
      <c r="AS10222" s="20"/>
    </row>
    <row r="10223" spans="45:45" ht="14.4">
      <c r="AS10223" s="20"/>
    </row>
    <row r="10224" spans="45:45" ht="14.4">
      <c r="AS10224" s="20"/>
    </row>
    <row r="10225" spans="45:45" ht="14.4">
      <c r="AS10225" s="20"/>
    </row>
    <row r="10226" spans="45:45" ht="14.4">
      <c r="AS10226" s="20"/>
    </row>
    <row r="10227" spans="45:45" ht="14.4">
      <c r="AS10227" s="20"/>
    </row>
    <row r="10228" spans="45:45" ht="14.4">
      <c r="AS10228" s="20"/>
    </row>
    <row r="10229" spans="45:45" ht="14.4">
      <c r="AS10229" s="20"/>
    </row>
    <row r="10230" spans="45:45" ht="14.4">
      <c r="AS10230" s="20"/>
    </row>
    <row r="10231" spans="45:45" ht="14.4">
      <c r="AS10231" s="20"/>
    </row>
    <row r="10232" spans="45:45" ht="14.4">
      <c r="AS10232" s="20"/>
    </row>
    <row r="10233" spans="45:45" ht="14.4">
      <c r="AS10233" s="20"/>
    </row>
    <row r="10234" spans="45:45" ht="14.4">
      <c r="AS10234" s="20"/>
    </row>
    <row r="10235" spans="45:45" ht="14.4">
      <c r="AS10235" s="20"/>
    </row>
    <row r="10236" spans="45:45" ht="14.4">
      <c r="AS10236" s="20"/>
    </row>
    <row r="10237" spans="45:45" ht="14.4">
      <c r="AS10237" s="20"/>
    </row>
    <row r="10238" spans="45:45" ht="14.4">
      <c r="AS10238" s="20"/>
    </row>
    <row r="10239" spans="45:45" ht="14.4">
      <c r="AS10239" s="20"/>
    </row>
    <row r="10240" spans="45:45" ht="14.4">
      <c r="AS10240" s="20"/>
    </row>
    <row r="10241" spans="45:45" ht="14.4">
      <c r="AS10241" s="20"/>
    </row>
    <row r="10242" spans="45:45" ht="14.4">
      <c r="AS10242" s="20"/>
    </row>
    <row r="10243" spans="45:45" ht="14.4">
      <c r="AS10243" s="20"/>
    </row>
    <row r="10244" spans="45:45" ht="14.4">
      <c r="AS10244" s="20"/>
    </row>
    <row r="10245" spans="45:45" ht="14.4">
      <c r="AS10245" s="20"/>
    </row>
    <row r="10246" spans="45:45" ht="14.4">
      <c r="AS10246" s="20"/>
    </row>
    <row r="10247" spans="45:45" ht="14.4">
      <c r="AS10247" s="20"/>
    </row>
    <row r="10248" spans="45:45" ht="14.4">
      <c r="AS10248" s="20"/>
    </row>
    <row r="10249" spans="45:45" ht="14.4">
      <c r="AS10249" s="20"/>
    </row>
    <row r="10250" spans="45:45" ht="14.4">
      <c r="AS10250" s="20"/>
    </row>
    <row r="10251" spans="45:45" ht="14.4">
      <c r="AS10251" s="20"/>
    </row>
    <row r="10252" spans="45:45" ht="14.4">
      <c r="AS10252" s="20"/>
    </row>
    <row r="10253" spans="45:45" ht="14.4">
      <c r="AS10253" s="20"/>
    </row>
    <row r="10254" spans="45:45" ht="14.4">
      <c r="AS10254" s="20"/>
    </row>
    <row r="10255" spans="45:45" ht="14.4">
      <c r="AS10255" s="20"/>
    </row>
    <row r="10256" spans="45:45" ht="14.4">
      <c r="AS10256" s="20"/>
    </row>
    <row r="10257" spans="45:45" ht="14.4">
      <c r="AS10257" s="20"/>
    </row>
    <row r="10258" spans="45:45" ht="14.4">
      <c r="AS10258" s="20"/>
    </row>
    <row r="10259" spans="45:45" ht="14.4">
      <c r="AS10259" s="20"/>
    </row>
    <row r="10260" spans="45:45" ht="14.4">
      <c r="AS10260" s="20"/>
    </row>
    <row r="10261" spans="45:45" ht="14.4">
      <c r="AS10261" s="20"/>
    </row>
    <row r="10262" spans="45:45" ht="14.4">
      <c r="AS10262" s="20"/>
    </row>
    <row r="10263" spans="45:45" ht="14.4">
      <c r="AS10263" s="20"/>
    </row>
    <row r="10264" spans="45:45" ht="14.4">
      <c r="AS10264" s="20"/>
    </row>
    <row r="10265" spans="45:45" ht="14.4">
      <c r="AS10265" s="20"/>
    </row>
    <row r="10266" spans="45:45" ht="14.4">
      <c r="AS10266" s="20"/>
    </row>
    <row r="10267" spans="45:45" ht="14.4">
      <c r="AS10267" s="20"/>
    </row>
    <row r="10268" spans="45:45" ht="14.4">
      <c r="AS10268" s="20"/>
    </row>
    <row r="10269" spans="45:45" ht="14.4">
      <c r="AS10269" s="20"/>
    </row>
    <row r="10270" spans="45:45" ht="14.4">
      <c r="AS10270" s="20"/>
    </row>
    <row r="10271" spans="45:45" ht="14.4">
      <c r="AS10271" s="20"/>
    </row>
    <row r="10272" spans="45:45" ht="14.4">
      <c r="AS10272" s="20"/>
    </row>
    <row r="10273" spans="45:45" ht="14.4">
      <c r="AS10273" s="20"/>
    </row>
    <row r="10274" spans="45:45" ht="14.4">
      <c r="AS10274" s="20"/>
    </row>
    <row r="10275" spans="45:45" ht="14.4">
      <c r="AS10275" s="20"/>
    </row>
    <row r="10276" spans="45:45" ht="14.4">
      <c r="AS10276" s="20"/>
    </row>
    <row r="10277" spans="45:45" ht="14.4">
      <c r="AS10277" s="20"/>
    </row>
    <row r="10278" spans="45:45" ht="14.4">
      <c r="AS10278" s="20"/>
    </row>
    <row r="10279" spans="45:45" ht="14.4">
      <c r="AS10279" s="20"/>
    </row>
    <row r="10280" spans="45:45" ht="14.4">
      <c r="AS10280" s="20"/>
    </row>
    <row r="10281" spans="45:45" ht="14.4">
      <c r="AS10281" s="20"/>
    </row>
    <row r="10282" spans="45:45" ht="14.4">
      <c r="AS10282" s="20"/>
    </row>
    <row r="10283" spans="45:45" ht="14.4">
      <c r="AS10283" s="20"/>
    </row>
    <row r="10284" spans="45:45" ht="14.4">
      <c r="AS10284" s="20"/>
    </row>
    <row r="10285" spans="45:45" ht="14.4">
      <c r="AS10285" s="20"/>
    </row>
    <row r="10286" spans="45:45" ht="14.4">
      <c r="AS10286" s="20"/>
    </row>
    <row r="10287" spans="45:45" ht="14.4">
      <c r="AS10287" s="20"/>
    </row>
    <row r="10288" spans="45:45" ht="14.4">
      <c r="AS10288" s="20"/>
    </row>
    <row r="10289" spans="45:45" ht="14.4">
      <c r="AS10289" s="20"/>
    </row>
    <row r="10290" spans="45:45" ht="14.4">
      <c r="AS10290" s="20"/>
    </row>
    <row r="10291" spans="45:45" ht="14.4">
      <c r="AS10291" s="20"/>
    </row>
    <row r="10292" spans="45:45" ht="14.4">
      <c r="AS10292" s="20"/>
    </row>
    <row r="10293" spans="45:45" ht="14.4">
      <c r="AS10293" s="20"/>
    </row>
    <row r="10294" spans="45:45" ht="14.4">
      <c r="AS10294" s="20"/>
    </row>
    <row r="10295" spans="45:45" ht="14.4">
      <c r="AS10295" s="20"/>
    </row>
    <row r="10296" spans="45:45" ht="14.4">
      <c r="AS10296" s="20"/>
    </row>
    <row r="10297" spans="45:45" ht="14.4">
      <c r="AS10297" s="20"/>
    </row>
    <row r="10298" spans="45:45" ht="14.4">
      <c r="AS10298" s="20"/>
    </row>
    <row r="10299" spans="45:45" ht="14.4">
      <c r="AS10299" s="20"/>
    </row>
    <row r="10300" spans="45:45" ht="14.4">
      <c r="AS10300" s="20"/>
    </row>
    <row r="10301" spans="45:45" ht="14.4">
      <c r="AS10301" s="20"/>
    </row>
    <row r="10302" spans="45:45" ht="14.4">
      <c r="AS10302" s="20"/>
    </row>
    <row r="10303" spans="45:45" ht="14.4">
      <c r="AS10303" s="20"/>
    </row>
    <row r="10304" spans="45:45" ht="14.4">
      <c r="AS10304" s="20"/>
    </row>
    <row r="10305" spans="45:45" ht="14.4">
      <c r="AS10305" s="20"/>
    </row>
    <row r="10306" spans="45:45" ht="14.4">
      <c r="AS10306" s="20"/>
    </row>
    <row r="10307" spans="45:45" ht="14.4">
      <c r="AS10307" s="20"/>
    </row>
    <row r="10308" spans="45:45" ht="14.4">
      <c r="AS10308" s="20"/>
    </row>
    <row r="10309" spans="45:45" ht="14.4">
      <c r="AS10309" s="20"/>
    </row>
    <row r="10310" spans="45:45" ht="14.4">
      <c r="AS10310" s="20"/>
    </row>
    <row r="10311" spans="45:45" ht="14.4">
      <c r="AS10311" s="20"/>
    </row>
    <row r="10312" spans="45:45" ht="14.4">
      <c r="AS10312" s="20"/>
    </row>
    <row r="10313" spans="45:45" ht="14.4">
      <c r="AS10313" s="20"/>
    </row>
    <row r="10314" spans="45:45" ht="14.4">
      <c r="AS10314" s="20"/>
    </row>
    <row r="10315" spans="45:45" ht="14.4">
      <c r="AS10315" s="20"/>
    </row>
    <row r="10316" spans="45:45" ht="14.4">
      <c r="AS10316" s="20"/>
    </row>
    <row r="10317" spans="45:45" ht="14.4">
      <c r="AS10317" s="20"/>
    </row>
    <row r="10318" spans="45:45" ht="14.4">
      <c r="AS10318" s="20"/>
    </row>
    <row r="10319" spans="45:45" ht="14.4">
      <c r="AS10319" s="20"/>
    </row>
    <row r="10320" spans="45:45" ht="14.4">
      <c r="AS10320" s="20"/>
    </row>
    <row r="10321" spans="45:45" ht="14.4">
      <c r="AS10321" s="20"/>
    </row>
    <row r="10322" spans="45:45" ht="14.4">
      <c r="AS10322" s="20"/>
    </row>
    <row r="10323" spans="45:45" ht="14.4">
      <c r="AS10323" s="20"/>
    </row>
    <row r="10324" spans="45:45" ht="14.4">
      <c r="AS10324" s="20"/>
    </row>
    <row r="10325" spans="45:45" ht="14.4">
      <c r="AS10325" s="20"/>
    </row>
    <row r="10326" spans="45:45" ht="14.4">
      <c r="AS10326" s="20"/>
    </row>
    <row r="10327" spans="45:45" ht="14.4">
      <c r="AS10327" s="20"/>
    </row>
    <row r="10328" spans="45:45" ht="14.4">
      <c r="AS10328" s="20"/>
    </row>
    <row r="10329" spans="45:45" ht="14.4">
      <c r="AS10329" s="20"/>
    </row>
    <row r="10330" spans="45:45" ht="14.4">
      <c r="AS10330" s="20"/>
    </row>
    <row r="10331" spans="45:45" ht="14.4">
      <c r="AS10331" s="20"/>
    </row>
    <row r="10332" spans="45:45" ht="14.4">
      <c r="AS10332" s="20"/>
    </row>
    <row r="10333" spans="45:45" ht="14.4">
      <c r="AS10333" s="20"/>
    </row>
    <row r="10334" spans="45:45" ht="14.4">
      <c r="AS10334" s="20"/>
    </row>
    <row r="10335" spans="45:45" ht="14.4">
      <c r="AS10335" s="20"/>
    </row>
    <row r="10336" spans="45:45" ht="14.4">
      <c r="AS10336" s="20"/>
    </row>
    <row r="10337" spans="45:45" ht="14.4">
      <c r="AS10337" s="20"/>
    </row>
    <row r="10338" spans="45:45" ht="14.4">
      <c r="AS10338" s="20"/>
    </row>
    <row r="10339" spans="45:45" ht="14.4">
      <c r="AS10339" s="20"/>
    </row>
    <row r="10340" spans="45:45" ht="14.4">
      <c r="AS10340" s="20"/>
    </row>
    <row r="10341" spans="45:45" ht="14.4">
      <c r="AS10341" s="20"/>
    </row>
    <row r="10342" spans="45:45" ht="14.4">
      <c r="AS10342" s="20"/>
    </row>
    <row r="10343" spans="45:45" ht="14.4">
      <c r="AS10343" s="20"/>
    </row>
    <row r="10344" spans="45:45" ht="14.4">
      <c r="AS10344" s="20"/>
    </row>
    <row r="10345" spans="45:45" ht="14.4">
      <c r="AS10345" s="20"/>
    </row>
    <row r="10346" spans="45:45" ht="14.4">
      <c r="AS10346" s="20"/>
    </row>
    <row r="10347" spans="45:45" ht="14.4">
      <c r="AS10347" s="20"/>
    </row>
    <row r="10348" spans="45:45" ht="14.4">
      <c r="AS10348" s="20"/>
    </row>
    <row r="10349" spans="45:45" ht="14.4">
      <c r="AS10349" s="20"/>
    </row>
    <row r="10350" spans="45:45" ht="14.4">
      <c r="AS10350" s="20"/>
    </row>
    <row r="10351" spans="45:45" ht="14.4">
      <c r="AS10351" s="20"/>
    </row>
    <row r="10352" spans="45:45" ht="14.4">
      <c r="AS10352" s="20"/>
    </row>
    <row r="10353" spans="45:45" ht="14.4">
      <c r="AS10353" s="20"/>
    </row>
    <row r="10354" spans="45:45" ht="14.4">
      <c r="AS10354" s="20"/>
    </row>
    <row r="10355" spans="45:45" ht="14.4">
      <c r="AS10355" s="20"/>
    </row>
    <row r="10356" spans="45:45" ht="14.4">
      <c r="AS10356" s="20"/>
    </row>
    <row r="10357" spans="45:45" ht="14.4">
      <c r="AS10357" s="20"/>
    </row>
    <row r="10358" spans="45:45" ht="14.4">
      <c r="AS10358" s="20"/>
    </row>
    <row r="10359" spans="45:45" ht="14.4">
      <c r="AS10359" s="20"/>
    </row>
    <row r="10360" spans="45:45" ht="14.4">
      <c r="AS10360" s="20"/>
    </row>
    <row r="10361" spans="45:45" ht="14.4">
      <c r="AS10361" s="20"/>
    </row>
    <row r="10362" spans="45:45" ht="14.4">
      <c r="AS10362" s="20"/>
    </row>
    <row r="10363" spans="45:45" ht="14.4">
      <c r="AS10363" s="20"/>
    </row>
    <row r="10364" spans="45:45" ht="14.4">
      <c r="AS10364" s="20"/>
    </row>
    <row r="10365" spans="45:45" ht="14.4">
      <c r="AS10365" s="20"/>
    </row>
    <row r="10366" spans="45:45" ht="14.4">
      <c r="AS10366" s="20"/>
    </row>
    <row r="10367" spans="45:45" ht="14.4">
      <c r="AS10367" s="20"/>
    </row>
    <row r="10368" spans="45:45" ht="14.4">
      <c r="AS10368" s="20"/>
    </row>
    <row r="10369" spans="45:45" ht="14.4">
      <c r="AS10369" s="20"/>
    </row>
    <row r="10370" spans="45:45" ht="14.4">
      <c r="AS10370" s="20"/>
    </row>
    <row r="10371" spans="45:45" ht="14.4">
      <c r="AS10371" s="20"/>
    </row>
    <row r="10372" spans="45:45" ht="14.4">
      <c r="AS10372" s="20"/>
    </row>
    <row r="10373" spans="45:45" ht="14.4">
      <c r="AS10373" s="20"/>
    </row>
    <row r="10374" spans="45:45" ht="14.4">
      <c r="AS10374" s="20"/>
    </row>
    <row r="10375" spans="45:45" ht="14.4">
      <c r="AS10375" s="20"/>
    </row>
    <row r="10376" spans="45:45" ht="14.4">
      <c r="AS10376" s="20"/>
    </row>
    <row r="10377" spans="45:45" ht="14.4">
      <c r="AS10377" s="20"/>
    </row>
    <row r="10378" spans="45:45" ht="14.4">
      <c r="AS10378" s="20"/>
    </row>
    <row r="10379" spans="45:45" ht="14.4">
      <c r="AS10379" s="20"/>
    </row>
    <row r="10380" spans="45:45" ht="14.4">
      <c r="AS10380" s="20"/>
    </row>
    <row r="10381" spans="45:45" ht="14.4">
      <c r="AS10381" s="20"/>
    </row>
    <row r="10382" spans="45:45" ht="14.4">
      <c r="AS10382" s="20"/>
    </row>
    <row r="10383" spans="45:45" ht="14.4">
      <c r="AS10383" s="20"/>
    </row>
    <row r="10384" spans="45:45" ht="14.4">
      <c r="AS10384" s="20"/>
    </row>
    <row r="10385" spans="45:45" ht="14.4">
      <c r="AS10385" s="20"/>
    </row>
    <row r="10386" spans="45:45" ht="14.4">
      <c r="AS10386" s="20"/>
    </row>
    <row r="10387" spans="45:45" ht="14.4">
      <c r="AS10387" s="20"/>
    </row>
    <row r="10388" spans="45:45" ht="14.4">
      <c r="AS10388" s="20"/>
    </row>
    <row r="10389" spans="45:45" ht="14.4">
      <c r="AS10389" s="20"/>
    </row>
    <row r="10390" spans="45:45" ht="14.4">
      <c r="AS10390" s="20"/>
    </row>
    <row r="10391" spans="45:45" ht="14.4">
      <c r="AS10391" s="20"/>
    </row>
    <row r="10392" spans="45:45" ht="14.4">
      <c r="AS10392" s="20"/>
    </row>
    <row r="10393" spans="45:45" ht="14.4">
      <c r="AS10393" s="20"/>
    </row>
    <row r="10394" spans="45:45" ht="14.4">
      <c r="AS10394" s="20"/>
    </row>
    <row r="10395" spans="45:45" ht="14.4">
      <c r="AS10395" s="20"/>
    </row>
    <row r="10396" spans="45:45" ht="14.4">
      <c r="AS10396" s="20"/>
    </row>
    <row r="10397" spans="45:45" ht="14.4">
      <c r="AS10397" s="20"/>
    </row>
    <row r="10398" spans="45:45" ht="14.4">
      <c r="AS10398" s="20"/>
    </row>
    <row r="10399" spans="45:45" ht="14.4">
      <c r="AS10399" s="20"/>
    </row>
    <row r="10400" spans="45:45" ht="14.4">
      <c r="AS10400" s="20"/>
    </row>
    <row r="10401" spans="45:45" ht="14.4">
      <c r="AS10401" s="20"/>
    </row>
    <row r="10402" spans="45:45" ht="14.4">
      <c r="AS10402" s="20"/>
    </row>
    <row r="10403" spans="45:45" ht="14.4">
      <c r="AS10403" s="20"/>
    </row>
    <row r="10404" spans="45:45" ht="14.4">
      <c r="AS10404" s="20"/>
    </row>
    <row r="10405" spans="45:45" ht="14.4">
      <c r="AS10405" s="20"/>
    </row>
    <row r="10406" spans="45:45" ht="14.4">
      <c r="AS10406" s="20"/>
    </row>
    <row r="10407" spans="45:45" ht="14.4">
      <c r="AS10407" s="20"/>
    </row>
    <row r="10408" spans="45:45" ht="14.4">
      <c r="AS10408" s="20"/>
    </row>
    <row r="10409" spans="45:45" ht="14.4">
      <c r="AS10409" s="20"/>
    </row>
    <row r="10410" spans="45:45" ht="14.4">
      <c r="AS10410" s="20"/>
    </row>
    <row r="10411" spans="45:45" ht="14.4">
      <c r="AS10411" s="20"/>
    </row>
    <row r="10412" spans="45:45" ht="14.4">
      <c r="AS10412" s="20"/>
    </row>
    <row r="10413" spans="45:45" ht="14.4">
      <c r="AS10413" s="20"/>
    </row>
    <row r="10414" spans="45:45" ht="14.4">
      <c r="AS10414" s="20"/>
    </row>
    <row r="10415" spans="45:45" ht="14.4">
      <c r="AS10415" s="20"/>
    </row>
    <row r="10416" spans="45:45" ht="14.4">
      <c r="AS10416" s="20"/>
    </row>
    <row r="10417" spans="45:45" ht="14.4">
      <c r="AS10417" s="20"/>
    </row>
    <row r="10418" spans="45:45" ht="14.4">
      <c r="AS10418" s="20"/>
    </row>
    <row r="10419" spans="45:45" ht="14.4">
      <c r="AS10419" s="20"/>
    </row>
    <row r="10420" spans="45:45" ht="14.4">
      <c r="AS10420" s="20"/>
    </row>
    <row r="10421" spans="45:45" ht="14.4">
      <c r="AS10421" s="20"/>
    </row>
    <row r="10422" spans="45:45" ht="14.4">
      <c r="AS10422" s="20"/>
    </row>
    <row r="10423" spans="45:45" ht="14.4">
      <c r="AS10423" s="20"/>
    </row>
    <row r="10424" spans="45:45" ht="14.4">
      <c r="AS10424" s="20"/>
    </row>
    <row r="10425" spans="45:45" ht="14.4">
      <c r="AS10425" s="20"/>
    </row>
    <row r="10426" spans="45:45" ht="14.4">
      <c r="AS10426" s="20"/>
    </row>
    <row r="10427" spans="45:45" ht="14.4">
      <c r="AS10427" s="20"/>
    </row>
    <row r="10428" spans="45:45" ht="14.4">
      <c r="AS10428" s="20"/>
    </row>
    <row r="10429" spans="45:45" ht="14.4">
      <c r="AS10429" s="20"/>
    </row>
    <row r="10430" spans="45:45" ht="14.4">
      <c r="AS10430" s="20"/>
    </row>
    <row r="10431" spans="45:45" ht="14.4">
      <c r="AS10431" s="20"/>
    </row>
    <row r="10432" spans="45:45" ht="14.4">
      <c r="AS10432" s="20"/>
    </row>
    <row r="10433" spans="45:45" ht="14.4">
      <c r="AS10433" s="20"/>
    </row>
    <row r="10434" spans="45:45" ht="14.4">
      <c r="AS10434" s="20"/>
    </row>
    <row r="10435" spans="45:45" ht="14.4">
      <c r="AS10435" s="20"/>
    </row>
    <row r="10436" spans="45:45" ht="14.4">
      <c r="AS10436" s="20"/>
    </row>
    <row r="10437" spans="45:45" ht="14.4">
      <c r="AS10437" s="20"/>
    </row>
    <row r="10438" spans="45:45" ht="14.4">
      <c r="AS10438" s="20"/>
    </row>
    <row r="10439" spans="45:45" ht="14.4">
      <c r="AS10439" s="20"/>
    </row>
    <row r="10440" spans="45:45" ht="14.4">
      <c r="AS10440" s="20"/>
    </row>
    <row r="10441" spans="45:45" ht="14.4">
      <c r="AS10441" s="20"/>
    </row>
    <row r="10442" spans="45:45" ht="14.4">
      <c r="AS10442" s="20"/>
    </row>
    <row r="10443" spans="45:45" ht="14.4">
      <c r="AS10443" s="20"/>
    </row>
    <row r="10444" spans="45:45" ht="14.4">
      <c r="AS10444" s="20"/>
    </row>
    <row r="10445" spans="45:45" ht="14.4">
      <c r="AS10445" s="20"/>
    </row>
    <row r="10446" spans="45:45" ht="14.4">
      <c r="AS10446" s="20"/>
    </row>
    <row r="10447" spans="45:45" ht="14.4">
      <c r="AS10447" s="20"/>
    </row>
    <row r="10448" spans="45:45" ht="14.4">
      <c r="AS10448" s="20"/>
    </row>
    <row r="10449" spans="45:45" ht="14.4">
      <c r="AS10449" s="20"/>
    </row>
    <row r="10450" spans="45:45" ht="14.4">
      <c r="AS10450" s="20"/>
    </row>
    <row r="10451" spans="45:45" ht="14.4">
      <c r="AS10451" s="20"/>
    </row>
    <row r="10452" spans="45:45" ht="14.4">
      <c r="AS10452" s="20"/>
    </row>
    <row r="10453" spans="45:45" ht="14.4">
      <c r="AS10453" s="20"/>
    </row>
    <row r="10454" spans="45:45" ht="14.4">
      <c r="AS10454" s="20"/>
    </row>
    <row r="10455" spans="45:45" ht="14.4">
      <c r="AS10455" s="20"/>
    </row>
    <row r="10456" spans="45:45" ht="14.4">
      <c r="AS10456" s="20"/>
    </row>
    <row r="10457" spans="45:45" ht="14.4">
      <c r="AS10457" s="20"/>
    </row>
    <row r="10458" spans="45:45" ht="14.4">
      <c r="AS10458" s="20"/>
    </row>
    <row r="10459" spans="45:45" ht="14.4">
      <c r="AS10459" s="20"/>
    </row>
    <row r="10460" spans="45:45" ht="14.4">
      <c r="AS10460" s="20"/>
    </row>
    <row r="10461" spans="45:45" ht="14.4">
      <c r="AS10461" s="20"/>
    </row>
    <row r="10462" spans="45:45" ht="14.4">
      <c r="AS10462" s="20"/>
    </row>
    <row r="10463" spans="45:45" ht="14.4">
      <c r="AS10463" s="20"/>
    </row>
    <row r="10464" spans="45:45" ht="14.4">
      <c r="AS10464" s="20"/>
    </row>
    <row r="10465" spans="45:45" ht="14.4">
      <c r="AS10465" s="20"/>
    </row>
    <row r="10466" spans="45:45" ht="14.4">
      <c r="AS10466" s="20"/>
    </row>
    <row r="10467" spans="45:45" ht="14.4">
      <c r="AS10467" s="20"/>
    </row>
    <row r="10468" spans="45:45" ht="14.4">
      <c r="AS10468" s="20"/>
    </row>
    <row r="10469" spans="45:45" ht="14.4">
      <c r="AS10469" s="20"/>
    </row>
    <row r="10470" spans="45:45" ht="14.4">
      <c r="AS10470" s="20"/>
    </row>
    <row r="10471" spans="45:45" ht="14.4">
      <c r="AS10471" s="20"/>
    </row>
    <row r="10472" spans="45:45" ht="14.4">
      <c r="AS10472" s="20"/>
    </row>
    <row r="10473" spans="45:45" ht="14.4">
      <c r="AS10473" s="20"/>
    </row>
    <row r="10474" spans="45:45" ht="14.4">
      <c r="AS10474" s="20"/>
    </row>
    <row r="10475" spans="45:45" ht="14.4">
      <c r="AS10475" s="20"/>
    </row>
    <row r="10476" spans="45:45" ht="14.4">
      <c r="AS10476" s="20"/>
    </row>
    <row r="10477" spans="45:45" ht="14.4">
      <c r="AS10477" s="20"/>
    </row>
    <row r="10478" spans="45:45" ht="14.4">
      <c r="AS10478" s="20"/>
    </row>
    <row r="10479" spans="45:45" ht="14.4">
      <c r="AS10479" s="20"/>
    </row>
    <row r="10480" spans="45:45" ht="14.4">
      <c r="AS10480" s="20"/>
    </row>
    <row r="10481" spans="45:45" ht="14.4">
      <c r="AS10481" s="20"/>
    </row>
    <row r="10482" spans="45:45" ht="14.4">
      <c r="AS10482" s="20"/>
    </row>
    <row r="10483" spans="45:45" ht="14.4">
      <c r="AS10483" s="20"/>
    </row>
    <row r="10484" spans="45:45" ht="14.4">
      <c r="AS10484" s="20"/>
    </row>
    <row r="10485" spans="45:45" ht="14.4">
      <c r="AS10485" s="20"/>
    </row>
    <row r="10486" spans="45:45" ht="14.4">
      <c r="AS10486" s="20"/>
    </row>
    <row r="10487" spans="45:45" ht="14.4">
      <c r="AS10487" s="20"/>
    </row>
    <row r="10488" spans="45:45" ht="14.4">
      <c r="AS10488" s="20"/>
    </row>
    <row r="10489" spans="45:45" ht="14.4">
      <c r="AS10489" s="20"/>
    </row>
    <row r="10490" spans="45:45" ht="14.4">
      <c r="AS10490" s="20"/>
    </row>
    <row r="10491" spans="45:45" ht="14.4">
      <c r="AS10491" s="20"/>
    </row>
    <row r="10492" spans="45:45" ht="14.4">
      <c r="AS10492" s="20"/>
    </row>
    <row r="10493" spans="45:45" ht="14.4">
      <c r="AS10493" s="20"/>
    </row>
    <row r="10494" spans="45:45" ht="14.4">
      <c r="AS10494" s="20"/>
    </row>
    <row r="10495" spans="45:45" ht="14.4">
      <c r="AS10495" s="20"/>
    </row>
    <row r="10496" spans="45:45" ht="14.4">
      <c r="AS10496" s="20"/>
    </row>
    <row r="10497" spans="45:45" ht="14.4">
      <c r="AS10497" s="20"/>
    </row>
    <row r="10498" spans="45:45" ht="14.4">
      <c r="AS10498" s="20"/>
    </row>
    <row r="10499" spans="45:45" ht="14.4">
      <c r="AS10499" s="20"/>
    </row>
    <row r="10500" spans="45:45" ht="14.4">
      <c r="AS10500" s="20"/>
    </row>
    <row r="10501" spans="45:45" ht="14.4">
      <c r="AS10501" s="20"/>
    </row>
    <row r="10502" spans="45:45" ht="14.4">
      <c r="AS10502" s="20"/>
    </row>
    <row r="10503" spans="45:45" ht="14.4">
      <c r="AS10503" s="20"/>
    </row>
    <row r="10504" spans="45:45" ht="14.4">
      <c r="AS10504" s="20"/>
    </row>
    <row r="10505" spans="45:45" ht="14.4">
      <c r="AS10505" s="20"/>
    </row>
    <row r="10506" spans="45:45" ht="14.4">
      <c r="AS10506" s="20"/>
    </row>
    <row r="10507" spans="45:45" ht="14.4">
      <c r="AS10507" s="20"/>
    </row>
    <row r="10508" spans="45:45" ht="14.4">
      <c r="AS10508" s="20"/>
    </row>
    <row r="10509" spans="45:45" ht="14.4">
      <c r="AS10509" s="20"/>
    </row>
    <row r="10510" spans="45:45" ht="14.4">
      <c r="AS10510" s="20"/>
    </row>
    <row r="10511" spans="45:45" ht="14.4">
      <c r="AS10511" s="20"/>
    </row>
    <row r="10512" spans="45:45" ht="14.4">
      <c r="AS10512" s="20"/>
    </row>
    <row r="10513" spans="45:45" ht="14.4">
      <c r="AS10513" s="20"/>
    </row>
    <row r="10514" spans="45:45" ht="14.4">
      <c r="AS10514" s="20"/>
    </row>
    <row r="10515" spans="45:45" ht="14.4">
      <c r="AS10515" s="20"/>
    </row>
    <row r="10516" spans="45:45" ht="14.4">
      <c r="AS10516" s="20"/>
    </row>
    <row r="10517" spans="45:45" ht="14.4">
      <c r="AS10517" s="20"/>
    </row>
    <row r="10518" spans="45:45" ht="14.4">
      <c r="AS10518" s="20"/>
    </row>
    <row r="10519" spans="45:45" ht="14.4">
      <c r="AS10519" s="20"/>
    </row>
    <row r="10520" spans="45:45" ht="14.4">
      <c r="AS10520" s="20"/>
    </row>
    <row r="10521" spans="45:45" ht="14.4">
      <c r="AS10521" s="20"/>
    </row>
    <row r="10522" spans="45:45" ht="14.4">
      <c r="AS10522" s="20"/>
    </row>
    <row r="10523" spans="45:45" ht="14.4">
      <c r="AS10523" s="20"/>
    </row>
    <row r="10524" spans="45:45" ht="14.4">
      <c r="AS10524" s="20"/>
    </row>
    <row r="10525" spans="45:45" ht="14.4">
      <c r="AS10525" s="20"/>
    </row>
    <row r="10526" spans="45:45" ht="14.4">
      <c r="AS10526" s="20"/>
    </row>
    <row r="10527" spans="45:45" ht="14.4">
      <c r="AS10527" s="20"/>
    </row>
    <row r="10528" spans="45:45" ht="14.4">
      <c r="AS10528" s="20"/>
    </row>
    <row r="10529" spans="45:45" ht="14.4">
      <c r="AS10529" s="20"/>
    </row>
    <row r="10530" spans="45:45" ht="14.4">
      <c r="AS10530" s="20"/>
    </row>
    <row r="10531" spans="45:45" ht="14.4">
      <c r="AS10531" s="20"/>
    </row>
    <row r="10532" spans="45:45" ht="14.4">
      <c r="AS10532" s="20"/>
    </row>
    <row r="10533" spans="45:45" ht="14.4">
      <c r="AS10533" s="20"/>
    </row>
    <row r="10534" spans="45:45" ht="14.4">
      <c r="AS10534" s="20"/>
    </row>
    <row r="10535" spans="45:45" ht="14.4">
      <c r="AS10535" s="20"/>
    </row>
    <row r="10536" spans="45:45" ht="14.4">
      <c r="AS10536" s="20"/>
    </row>
    <row r="10537" spans="45:45" ht="14.4">
      <c r="AS10537" s="20"/>
    </row>
    <row r="10538" spans="45:45" ht="14.4">
      <c r="AS10538" s="20"/>
    </row>
    <row r="10539" spans="45:45" ht="14.4">
      <c r="AS10539" s="20"/>
    </row>
    <row r="10540" spans="45:45" ht="14.4">
      <c r="AS10540" s="20"/>
    </row>
    <row r="10541" spans="45:45" ht="14.4">
      <c r="AS10541" s="20"/>
    </row>
    <row r="10542" spans="45:45" ht="14.4">
      <c r="AS10542" s="20"/>
    </row>
    <row r="10543" spans="45:45" ht="14.4">
      <c r="AS10543" s="20"/>
    </row>
    <row r="10544" spans="45:45" ht="14.4">
      <c r="AS10544" s="20"/>
    </row>
    <row r="10545" spans="45:45" ht="14.4">
      <c r="AS10545" s="20"/>
    </row>
    <row r="10546" spans="45:45" ht="14.4">
      <c r="AS10546" s="20"/>
    </row>
    <row r="10547" spans="45:45" ht="14.4">
      <c r="AS10547" s="20"/>
    </row>
    <row r="10548" spans="45:45" ht="14.4">
      <c r="AS10548" s="20"/>
    </row>
    <row r="10549" spans="45:45" ht="14.4">
      <c r="AS10549" s="20"/>
    </row>
    <row r="10550" spans="45:45" ht="14.4">
      <c r="AS10550" s="20"/>
    </row>
    <row r="10551" spans="45:45" ht="14.4">
      <c r="AS10551" s="20"/>
    </row>
    <row r="10552" spans="45:45" ht="14.4">
      <c r="AS10552" s="20"/>
    </row>
    <row r="10553" spans="45:45" ht="14.4">
      <c r="AS10553" s="20"/>
    </row>
    <row r="10554" spans="45:45" ht="14.4">
      <c r="AS10554" s="20"/>
    </row>
    <row r="10555" spans="45:45" ht="14.4">
      <c r="AS10555" s="20"/>
    </row>
    <row r="10556" spans="45:45" ht="14.4">
      <c r="AS10556" s="20"/>
    </row>
    <row r="10557" spans="45:45" ht="14.4">
      <c r="AS10557" s="20"/>
    </row>
    <row r="10558" spans="45:45" ht="14.4">
      <c r="AS10558" s="20"/>
    </row>
    <row r="10559" spans="45:45" ht="14.4">
      <c r="AS10559" s="20"/>
    </row>
    <row r="10560" spans="45:45" ht="14.4">
      <c r="AS10560" s="20"/>
    </row>
    <row r="10561" spans="45:45" ht="14.4">
      <c r="AS10561" s="20"/>
    </row>
    <row r="10562" spans="45:45" ht="14.4">
      <c r="AS10562" s="20"/>
    </row>
    <row r="10563" spans="45:45" ht="14.4">
      <c r="AS10563" s="20"/>
    </row>
    <row r="10564" spans="45:45" ht="14.4">
      <c r="AS10564" s="20"/>
    </row>
    <row r="10565" spans="45:45" ht="14.4">
      <c r="AS10565" s="20"/>
    </row>
    <row r="10566" spans="45:45" ht="14.4">
      <c r="AS10566" s="20"/>
    </row>
    <row r="10567" spans="45:45" ht="14.4">
      <c r="AS10567" s="20"/>
    </row>
    <row r="10568" spans="45:45" ht="14.4">
      <c r="AS10568" s="20"/>
    </row>
    <row r="10569" spans="45:45" ht="14.4">
      <c r="AS10569" s="20"/>
    </row>
    <row r="10570" spans="45:45" ht="14.4">
      <c r="AS10570" s="20"/>
    </row>
    <row r="10571" spans="45:45" ht="14.4">
      <c r="AS10571" s="20"/>
    </row>
    <row r="10572" spans="45:45" ht="14.4">
      <c r="AS10572" s="20"/>
    </row>
    <row r="10573" spans="45:45" ht="14.4">
      <c r="AS10573" s="20"/>
    </row>
    <row r="10574" spans="45:45" ht="14.4">
      <c r="AS10574" s="20"/>
    </row>
    <row r="10575" spans="45:45" ht="14.4">
      <c r="AS10575" s="20"/>
    </row>
    <row r="10576" spans="45:45" ht="14.4">
      <c r="AS10576" s="20"/>
    </row>
    <row r="10577" spans="45:45" ht="14.4">
      <c r="AS10577" s="20"/>
    </row>
    <row r="10578" spans="45:45" ht="14.4">
      <c r="AS10578" s="20"/>
    </row>
    <row r="10579" spans="45:45" ht="14.4">
      <c r="AS10579" s="20"/>
    </row>
    <row r="10580" spans="45:45" ht="14.4">
      <c r="AS10580" s="20"/>
    </row>
    <row r="10581" spans="45:45" ht="14.4">
      <c r="AS10581" s="20"/>
    </row>
    <row r="10582" spans="45:45" ht="14.4">
      <c r="AS10582" s="20"/>
    </row>
    <row r="10583" spans="45:45" ht="14.4">
      <c r="AS10583" s="20"/>
    </row>
    <row r="10584" spans="45:45" ht="14.4">
      <c r="AS10584" s="20"/>
    </row>
    <row r="10585" spans="45:45" ht="14.4">
      <c r="AS10585" s="20"/>
    </row>
    <row r="10586" spans="45:45" ht="14.4">
      <c r="AS10586" s="20"/>
    </row>
    <row r="10587" spans="45:45" ht="14.4">
      <c r="AS10587" s="20"/>
    </row>
    <row r="10588" spans="45:45" ht="14.4">
      <c r="AS10588" s="20"/>
    </row>
    <row r="10589" spans="45:45" ht="14.4">
      <c r="AS10589" s="20"/>
    </row>
    <row r="10590" spans="45:45" ht="14.4">
      <c r="AS10590" s="20"/>
    </row>
    <row r="10591" spans="45:45" ht="14.4">
      <c r="AS10591" s="20"/>
    </row>
    <row r="10592" spans="45:45" ht="14.4">
      <c r="AS10592" s="20"/>
    </row>
    <row r="10593" spans="45:45" ht="14.4">
      <c r="AS10593" s="20"/>
    </row>
    <row r="10594" spans="45:45" ht="14.4">
      <c r="AS10594" s="20"/>
    </row>
    <row r="10595" spans="45:45" ht="14.4">
      <c r="AS10595" s="20"/>
    </row>
    <row r="10596" spans="45:45" ht="14.4">
      <c r="AS10596" s="20"/>
    </row>
    <row r="10597" spans="45:45" ht="14.4">
      <c r="AS10597" s="20"/>
    </row>
    <row r="10598" spans="45:45" ht="14.4">
      <c r="AS10598" s="20"/>
    </row>
    <row r="10599" spans="45:45" ht="14.4">
      <c r="AS10599" s="20"/>
    </row>
    <row r="10600" spans="45:45" ht="14.4">
      <c r="AS10600" s="20"/>
    </row>
    <row r="10601" spans="45:45" ht="14.4">
      <c r="AS10601" s="20"/>
    </row>
    <row r="10602" spans="45:45" ht="14.4">
      <c r="AS10602" s="20"/>
    </row>
    <row r="10603" spans="45:45" ht="14.4">
      <c r="AS10603" s="20"/>
    </row>
    <row r="10604" spans="45:45" ht="14.4">
      <c r="AS10604" s="20"/>
    </row>
    <row r="10605" spans="45:45" ht="14.4">
      <c r="AS10605" s="20"/>
    </row>
    <row r="10606" spans="45:45" ht="14.4">
      <c r="AS10606" s="20"/>
    </row>
    <row r="10607" spans="45:45" ht="14.4">
      <c r="AS10607" s="20"/>
    </row>
    <row r="10608" spans="45:45" ht="14.4">
      <c r="AS10608" s="20"/>
    </row>
    <row r="10609" spans="45:45" ht="14.4">
      <c r="AS10609" s="20"/>
    </row>
    <row r="10610" spans="45:45" ht="14.4">
      <c r="AS10610" s="20"/>
    </row>
    <row r="10611" spans="45:45" ht="14.4">
      <c r="AS10611" s="20"/>
    </row>
    <row r="10612" spans="45:45" ht="14.4">
      <c r="AS10612" s="20"/>
    </row>
    <row r="10613" spans="45:45" ht="14.4">
      <c r="AS10613" s="20"/>
    </row>
    <row r="10614" spans="45:45" ht="14.4">
      <c r="AS10614" s="20"/>
    </row>
    <row r="10615" spans="45:45" ht="14.4">
      <c r="AS10615" s="20"/>
    </row>
    <row r="10616" spans="45:45" ht="14.4">
      <c r="AS10616" s="20"/>
    </row>
    <row r="10617" spans="45:45" ht="14.4">
      <c r="AS10617" s="20"/>
    </row>
    <row r="10618" spans="45:45" ht="14.4">
      <c r="AS10618" s="20"/>
    </row>
    <row r="10619" spans="45:45" ht="14.4">
      <c r="AS10619" s="20"/>
    </row>
    <row r="10620" spans="45:45" ht="14.4">
      <c r="AS10620" s="20"/>
    </row>
    <row r="10621" spans="45:45" ht="14.4">
      <c r="AS10621" s="20"/>
    </row>
    <row r="10622" spans="45:45" ht="14.4">
      <c r="AS10622" s="20"/>
    </row>
    <row r="10623" spans="45:45" ht="14.4">
      <c r="AS10623" s="20"/>
    </row>
    <row r="10624" spans="45:45" ht="14.4">
      <c r="AS10624" s="20"/>
    </row>
    <row r="10625" spans="45:45" ht="14.4">
      <c r="AS10625" s="20"/>
    </row>
    <row r="10626" spans="45:45" ht="14.4">
      <c r="AS10626" s="20"/>
    </row>
    <row r="10627" spans="45:45" ht="14.4">
      <c r="AS10627" s="20"/>
    </row>
    <row r="10628" spans="45:45" ht="14.4">
      <c r="AS10628" s="20"/>
    </row>
    <row r="10629" spans="45:45" ht="14.4">
      <c r="AS10629" s="20"/>
    </row>
    <row r="10630" spans="45:45" ht="14.4">
      <c r="AS10630" s="20"/>
    </row>
    <row r="10631" spans="45:45" ht="14.4">
      <c r="AS10631" s="20"/>
    </row>
    <row r="10632" spans="45:45" ht="14.4">
      <c r="AS10632" s="20"/>
    </row>
    <row r="10633" spans="45:45" ht="14.4">
      <c r="AS10633" s="20"/>
    </row>
    <row r="10634" spans="45:45" ht="14.4">
      <c r="AS10634" s="20"/>
    </row>
    <row r="10635" spans="45:45" ht="14.4">
      <c r="AS10635" s="20"/>
    </row>
    <row r="10636" spans="45:45" ht="14.4">
      <c r="AS10636" s="20"/>
    </row>
    <row r="10637" spans="45:45" ht="14.4">
      <c r="AS10637" s="20"/>
    </row>
    <row r="10638" spans="45:45" ht="14.4">
      <c r="AS10638" s="20"/>
    </row>
    <row r="10639" spans="45:45" ht="14.4">
      <c r="AS10639" s="20"/>
    </row>
    <row r="10640" spans="45:45" ht="14.4">
      <c r="AS10640" s="20"/>
    </row>
    <row r="10641" spans="45:45" ht="14.4">
      <c r="AS10641" s="20"/>
    </row>
    <row r="10642" spans="45:45" ht="14.4">
      <c r="AS10642" s="20"/>
    </row>
    <row r="10643" spans="45:45" ht="14.4">
      <c r="AS10643" s="20"/>
    </row>
    <row r="10644" spans="45:45" ht="14.4">
      <c r="AS10644" s="20"/>
    </row>
    <row r="10645" spans="45:45" ht="14.4">
      <c r="AS10645" s="20"/>
    </row>
    <row r="10646" spans="45:45" ht="14.4">
      <c r="AS10646" s="20"/>
    </row>
    <row r="10647" spans="45:45" ht="14.4">
      <c r="AS10647" s="20"/>
    </row>
    <row r="10648" spans="45:45" ht="14.4">
      <c r="AS10648" s="20"/>
    </row>
    <row r="10649" spans="45:45" ht="14.4">
      <c r="AS10649" s="20"/>
    </row>
    <row r="10650" spans="45:45" ht="14.4">
      <c r="AS10650" s="20"/>
    </row>
    <row r="10651" spans="45:45" ht="14.4">
      <c r="AS10651" s="20"/>
    </row>
    <row r="10652" spans="45:45" ht="14.4">
      <c r="AS10652" s="20"/>
    </row>
    <row r="10653" spans="45:45" ht="14.4">
      <c r="AS10653" s="20"/>
    </row>
    <row r="10654" spans="45:45" ht="14.4">
      <c r="AS10654" s="20"/>
    </row>
    <row r="10655" spans="45:45" ht="14.4">
      <c r="AS10655" s="20"/>
    </row>
    <row r="10656" spans="45:45" ht="14.4">
      <c r="AS10656" s="20"/>
    </row>
    <row r="10657" spans="45:45" ht="14.4">
      <c r="AS10657" s="20"/>
    </row>
    <row r="10658" spans="45:45" ht="14.4">
      <c r="AS10658" s="20"/>
    </row>
    <row r="10659" spans="45:45" ht="14.4">
      <c r="AS10659" s="20"/>
    </row>
    <row r="10660" spans="45:45" ht="14.4">
      <c r="AS10660" s="20"/>
    </row>
    <row r="10661" spans="45:45" ht="14.4">
      <c r="AS10661" s="20"/>
    </row>
    <row r="10662" spans="45:45" ht="14.4">
      <c r="AS10662" s="20"/>
    </row>
    <row r="10663" spans="45:45" ht="14.4">
      <c r="AS10663" s="20"/>
    </row>
    <row r="10664" spans="45:45" ht="14.4">
      <c r="AS10664" s="20"/>
    </row>
    <row r="10665" spans="45:45" ht="14.4">
      <c r="AS10665" s="20"/>
    </row>
    <row r="10666" spans="45:45" ht="14.4">
      <c r="AS10666" s="20"/>
    </row>
    <row r="10667" spans="45:45" ht="14.4">
      <c r="AS10667" s="20"/>
    </row>
    <row r="10668" spans="45:45" ht="14.4">
      <c r="AS10668" s="20"/>
    </row>
    <row r="10669" spans="45:45" ht="14.4">
      <c r="AS10669" s="20"/>
    </row>
    <row r="10670" spans="45:45" ht="14.4">
      <c r="AS10670" s="20"/>
    </row>
    <row r="10671" spans="45:45" ht="14.4">
      <c r="AS10671" s="20"/>
    </row>
    <row r="10672" spans="45:45" ht="14.4">
      <c r="AS10672" s="20"/>
    </row>
    <row r="10673" spans="45:45" ht="14.4">
      <c r="AS10673" s="20"/>
    </row>
    <row r="10674" spans="45:45" ht="14.4">
      <c r="AS10674" s="20"/>
    </row>
    <row r="10675" spans="45:45" ht="14.4">
      <c r="AS10675" s="20"/>
    </row>
    <row r="10676" spans="45:45" ht="14.4">
      <c r="AS10676" s="20"/>
    </row>
    <row r="10677" spans="45:45" ht="14.4">
      <c r="AS10677" s="20"/>
    </row>
    <row r="10678" spans="45:45" ht="14.4">
      <c r="AS10678" s="20"/>
    </row>
    <row r="10679" spans="45:45" ht="14.4">
      <c r="AS10679" s="20"/>
    </row>
    <row r="10680" spans="45:45" ht="14.4">
      <c r="AS10680" s="20"/>
    </row>
    <row r="10681" spans="45:45" ht="14.4">
      <c r="AS10681" s="20"/>
    </row>
    <row r="10682" spans="45:45" ht="14.4">
      <c r="AS10682" s="20"/>
    </row>
    <row r="10683" spans="45:45" ht="14.4">
      <c r="AS10683" s="20"/>
    </row>
    <row r="10684" spans="45:45" ht="14.4">
      <c r="AS10684" s="20"/>
    </row>
    <row r="10685" spans="45:45" ht="14.4">
      <c r="AS10685" s="20"/>
    </row>
    <row r="10686" spans="45:45" ht="14.4">
      <c r="AS10686" s="20"/>
    </row>
    <row r="10687" spans="45:45" ht="14.4">
      <c r="AS10687" s="20"/>
    </row>
    <row r="10688" spans="45:45" ht="14.4">
      <c r="AS10688" s="20"/>
    </row>
    <row r="10689" spans="45:45" ht="14.4">
      <c r="AS10689" s="20"/>
    </row>
    <row r="10690" spans="45:45" ht="14.4">
      <c r="AS10690" s="20"/>
    </row>
    <row r="10691" spans="45:45" ht="14.4">
      <c r="AS10691" s="20"/>
    </row>
    <row r="10692" spans="45:45" ht="14.4">
      <c r="AS10692" s="20"/>
    </row>
    <row r="10693" spans="45:45" ht="14.4">
      <c r="AS10693" s="20"/>
    </row>
    <row r="10694" spans="45:45" ht="14.4">
      <c r="AS10694" s="20"/>
    </row>
    <row r="10695" spans="45:45" ht="14.4">
      <c r="AS10695" s="20"/>
    </row>
    <row r="10696" spans="45:45" ht="14.4">
      <c r="AS10696" s="20"/>
    </row>
    <row r="10697" spans="45:45" ht="14.4">
      <c r="AS10697" s="20"/>
    </row>
    <row r="10698" spans="45:45" ht="14.4">
      <c r="AS10698" s="20"/>
    </row>
    <row r="10699" spans="45:45" ht="14.4">
      <c r="AS10699" s="20"/>
    </row>
    <row r="10700" spans="45:45" ht="14.4">
      <c r="AS10700" s="20"/>
    </row>
    <row r="10701" spans="45:45" ht="14.4">
      <c r="AS10701" s="20"/>
    </row>
    <row r="10702" spans="45:45" ht="14.4">
      <c r="AS10702" s="20"/>
    </row>
    <row r="10703" spans="45:45" ht="14.4">
      <c r="AS10703" s="20"/>
    </row>
    <row r="10704" spans="45:45" ht="14.4">
      <c r="AS10704" s="20"/>
    </row>
    <row r="10705" spans="45:45" ht="14.4">
      <c r="AS10705" s="20"/>
    </row>
    <row r="10706" spans="45:45" ht="14.4">
      <c r="AS10706" s="20"/>
    </row>
    <row r="10707" spans="45:45" ht="14.4">
      <c r="AS10707" s="20"/>
    </row>
    <row r="10708" spans="45:45" ht="14.4">
      <c r="AS10708" s="20"/>
    </row>
    <row r="10709" spans="45:45" ht="14.4">
      <c r="AS10709" s="20"/>
    </row>
    <row r="10710" spans="45:45" ht="14.4">
      <c r="AS10710" s="20"/>
    </row>
    <row r="10711" spans="45:45" ht="14.4">
      <c r="AS10711" s="20"/>
    </row>
    <row r="10712" spans="45:45" ht="14.4">
      <c r="AS10712" s="20"/>
    </row>
    <row r="10713" spans="45:45" ht="14.4">
      <c r="AS10713" s="20"/>
    </row>
    <row r="10714" spans="45:45" ht="14.4">
      <c r="AS10714" s="20"/>
    </row>
    <row r="10715" spans="45:45" ht="14.4">
      <c r="AS10715" s="20"/>
    </row>
    <row r="10716" spans="45:45" ht="14.4">
      <c r="AS10716" s="20"/>
    </row>
    <row r="10717" spans="45:45" ht="14.4">
      <c r="AS10717" s="20"/>
    </row>
    <row r="10718" spans="45:45" ht="14.4">
      <c r="AS10718" s="20"/>
    </row>
    <row r="10719" spans="45:45" ht="14.4">
      <c r="AS10719" s="20"/>
    </row>
    <row r="10720" spans="45:45" ht="14.4">
      <c r="AS10720" s="20"/>
    </row>
    <row r="10721" spans="45:45" ht="14.4">
      <c r="AS10721" s="20"/>
    </row>
    <row r="10722" spans="45:45" ht="14.4">
      <c r="AS10722" s="20"/>
    </row>
    <row r="10723" spans="45:45" ht="14.4">
      <c r="AS10723" s="20"/>
    </row>
    <row r="10724" spans="45:45" ht="14.4">
      <c r="AS10724" s="20"/>
    </row>
    <row r="10725" spans="45:45" ht="14.4">
      <c r="AS10725" s="20"/>
    </row>
    <row r="10726" spans="45:45" ht="14.4">
      <c r="AS10726" s="20"/>
    </row>
    <row r="10727" spans="45:45" ht="14.4">
      <c r="AS10727" s="20"/>
    </row>
    <row r="10728" spans="45:45" ht="14.4">
      <c r="AS10728" s="20"/>
    </row>
    <row r="10729" spans="45:45" ht="14.4">
      <c r="AS10729" s="20"/>
    </row>
    <row r="10730" spans="45:45" ht="14.4">
      <c r="AS10730" s="20"/>
    </row>
    <row r="10731" spans="45:45" ht="14.4">
      <c r="AS10731" s="20"/>
    </row>
    <row r="10732" spans="45:45" ht="14.4">
      <c r="AS10732" s="20"/>
    </row>
    <row r="10733" spans="45:45" ht="14.4">
      <c r="AS10733" s="20"/>
    </row>
    <row r="10734" spans="45:45" ht="14.4">
      <c r="AS10734" s="20"/>
    </row>
    <row r="10735" spans="45:45" ht="14.4">
      <c r="AS10735" s="20"/>
    </row>
    <row r="10736" spans="45:45" ht="14.4">
      <c r="AS10736" s="20"/>
    </row>
    <row r="10737" spans="45:45" ht="14.4">
      <c r="AS10737" s="20"/>
    </row>
    <row r="10738" spans="45:45" ht="14.4">
      <c r="AS10738" s="20"/>
    </row>
    <row r="10739" spans="45:45" ht="14.4">
      <c r="AS10739" s="20"/>
    </row>
    <row r="10740" spans="45:45" ht="14.4">
      <c r="AS10740" s="20"/>
    </row>
    <row r="10741" spans="45:45" ht="14.4">
      <c r="AS10741" s="20"/>
    </row>
    <row r="10742" spans="45:45" ht="14.4">
      <c r="AS10742" s="20"/>
    </row>
    <row r="10743" spans="45:45" ht="14.4">
      <c r="AS10743" s="20"/>
    </row>
    <row r="10744" spans="45:45" ht="14.4">
      <c r="AS10744" s="20"/>
    </row>
    <row r="10745" spans="45:45" ht="14.4">
      <c r="AS10745" s="20"/>
    </row>
    <row r="10746" spans="45:45" ht="14.4">
      <c r="AS10746" s="20"/>
    </row>
    <row r="10747" spans="45:45" ht="14.4">
      <c r="AS10747" s="20"/>
    </row>
    <row r="10748" spans="45:45" ht="14.4">
      <c r="AS10748" s="20"/>
    </row>
    <row r="10749" spans="45:45" ht="14.4">
      <c r="AS10749" s="20"/>
    </row>
    <row r="10750" spans="45:45" ht="14.4">
      <c r="AS10750" s="20"/>
    </row>
    <row r="10751" spans="45:45" ht="14.4">
      <c r="AS10751" s="20"/>
    </row>
    <row r="10752" spans="45:45" ht="14.4">
      <c r="AS10752" s="20"/>
    </row>
    <row r="10753" spans="45:45" ht="14.4">
      <c r="AS10753" s="20"/>
    </row>
    <row r="10754" spans="45:45" ht="14.4">
      <c r="AS10754" s="20"/>
    </row>
    <row r="10755" spans="45:45" ht="14.4">
      <c r="AS10755" s="20"/>
    </row>
    <row r="10756" spans="45:45" ht="14.4">
      <c r="AS10756" s="20"/>
    </row>
    <row r="10757" spans="45:45" ht="14.4">
      <c r="AS10757" s="20"/>
    </row>
    <row r="10758" spans="45:45" ht="14.4">
      <c r="AS10758" s="20"/>
    </row>
    <row r="10759" spans="45:45" ht="14.4">
      <c r="AS10759" s="20"/>
    </row>
    <row r="10760" spans="45:45" ht="14.4">
      <c r="AS10760" s="20"/>
    </row>
    <row r="10761" spans="45:45" ht="14.4">
      <c r="AS10761" s="20"/>
    </row>
    <row r="10762" spans="45:45" ht="14.4">
      <c r="AS10762" s="20"/>
    </row>
    <row r="10763" spans="45:45" ht="14.4">
      <c r="AS10763" s="20"/>
    </row>
    <row r="10764" spans="45:45" ht="14.4">
      <c r="AS10764" s="20"/>
    </row>
    <row r="10765" spans="45:45" ht="14.4">
      <c r="AS10765" s="20"/>
    </row>
    <row r="10766" spans="45:45" ht="14.4">
      <c r="AS10766" s="20"/>
    </row>
    <row r="10767" spans="45:45" ht="14.4">
      <c r="AS10767" s="20"/>
    </row>
    <row r="10768" spans="45:45" ht="14.4">
      <c r="AS10768" s="20"/>
    </row>
    <row r="10769" spans="45:45" ht="14.4">
      <c r="AS10769" s="20"/>
    </row>
    <row r="10770" spans="45:45" ht="14.4">
      <c r="AS10770" s="20"/>
    </row>
    <row r="10771" spans="45:45" ht="14.4">
      <c r="AS10771" s="20"/>
    </row>
    <row r="10772" spans="45:45" ht="14.4">
      <c r="AS10772" s="20"/>
    </row>
    <row r="10773" spans="45:45" ht="14.4">
      <c r="AS10773" s="20"/>
    </row>
    <row r="10774" spans="45:45" ht="14.4">
      <c r="AS10774" s="20"/>
    </row>
    <row r="10775" spans="45:45" ht="14.4">
      <c r="AS10775" s="20"/>
    </row>
    <row r="10776" spans="45:45" ht="14.4">
      <c r="AS10776" s="20"/>
    </row>
    <row r="10777" spans="45:45" ht="14.4">
      <c r="AS10777" s="20"/>
    </row>
    <row r="10778" spans="45:45" ht="14.4">
      <c r="AS10778" s="20"/>
    </row>
    <row r="10779" spans="45:45" ht="14.4">
      <c r="AS10779" s="20"/>
    </row>
    <row r="10780" spans="45:45" ht="14.4">
      <c r="AS10780" s="20"/>
    </row>
    <row r="10781" spans="45:45" ht="14.4">
      <c r="AS10781" s="20"/>
    </row>
    <row r="10782" spans="45:45" ht="14.4">
      <c r="AS10782" s="20"/>
    </row>
    <row r="10783" spans="45:45" ht="14.4">
      <c r="AS10783" s="20"/>
    </row>
    <row r="10784" spans="45:45" ht="14.4">
      <c r="AS10784" s="20"/>
    </row>
    <row r="10785" spans="45:45" ht="14.4">
      <c r="AS10785" s="20"/>
    </row>
    <row r="10786" spans="45:45" ht="14.4">
      <c r="AS10786" s="20"/>
    </row>
    <row r="10787" spans="45:45" ht="14.4">
      <c r="AS10787" s="20"/>
    </row>
    <row r="10788" spans="45:45" ht="14.4">
      <c r="AS10788" s="20"/>
    </row>
    <row r="10789" spans="45:45" ht="14.4">
      <c r="AS10789" s="20"/>
    </row>
    <row r="10790" spans="45:45" ht="14.4">
      <c r="AS10790" s="20"/>
    </row>
    <row r="10791" spans="45:45" ht="14.4">
      <c r="AS10791" s="20"/>
    </row>
    <row r="10792" spans="45:45" ht="14.4">
      <c r="AS10792" s="20"/>
    </row>
    <row r="10793" spans="45:45" ht="14.4">
      <c r="AS10793" s="20"/>
    </row>
    <row r="10794" spans="45:45" ht="14.4">
      <c r="AS10794" s="20"/>
    </row>
    <row r="10795" spans="45:45" ht="14.4">
      <c r="AS10795" s="20"/>
    </row>
    <row r="10796" spans="45:45" ht="14.4">
      <c r="AS10796" s="20"/>
    </row>
    <row r="10797" spans="45:45" ht="14.4">
      <c r="AS10797" s="20"/>
    </row>
    <row r="10798" spans="45:45" ht="14.4">
      <c r="AS10798" s="20"/>
    </row>
    <row r="10799" spans="45:45" ht="14.4">
      <c r="AS10799" s="20"/>
    </row>
    <row r="10800" spans="45:45" ht="14.4">
      <c r="AS10800" s="20"/>
    </row>
    <row r="10801" spans="45:45" ht="14.4">
      <c r="AS10801" s="20"/>
    </row>
    <row r="10802" spans="45:45" ht="14.4">
      <c r="AS10802" s="20"/>
    </row>
    <row r="10803" spans="45:45" ht="14.4">
      <c r="AS10803" s="20"/>
    </row>
    <row r="10804" spans="45:45" ht="14.4">
      <c r="AS10804" s="20"/>
    </row>
    <row r="10805" spans="45:45" ht="14.4">
      <c r="AS10805" s="20"/>
    </row>
    <row r="10806" spans="45:45" ht="14.4">
      <c r="AS10806" s="20"/>
    </row>
    <row r="10807" spans="45:45" ht="14.4">
      <c r="AS10807" s="20"/>
    </row>
    <row r="10808" spans="45:45" ht="14.4">
      <c r="AS10808" s="20"/>
    </row>
    <row r="10809" spans="45:45" ht="14.4">
      <c r="AS10809" s="20"/>
    </row>
    <row r="10810" spans="45:45" ht="14.4">
      <c r="AS10810" s="20"/>
    </row>
    <row r="10811" spans="45:45" ht="14.4">
      <c r="AS10811" s="20"/>
    </row>
    <row r="10812" spans="45:45" ht="14.4">
      <c r="AS10812" s="20"/>
    </row>
    <row r="10813" spans="45:45" ht="14.4">
      <c r="AS10813" s="20"/>
    </row>
    <row r="10814" spans="45:45" ht="14.4">
      <c r="AS10814" s="20"/>
    </row>
    <row r="10815" spans="45:45" ht="14.4">
      <c r="AS10815" s="20"/>
    </row>
    <row r="10816" spans="45:45" ht="14.4">
      <c r="AS10816" s="20"/>
    </row>
    <row r="10817" spans="45:45" ht="14.4">
      <c r="AS10817" s="20"/>
    </row>
    <row r="10818" spans="45:45" ht="14.4">
      <c r="AS10818" s="20"/>
    </row>
    <row r="10819" spans="45:45" ht="14.4">
      <c r="AS10819" s="20"/>
    </row>
    <row r="10820" spans="45:45" ht="14.4">
      <c r="AS10820" s="20"/>
    </row>
    <row r="10821" spans="45:45" ht="14.4">
      <c r="AS10821" s="20"/>
    </row>
    <row r="10822" spans="45:45" ht="14.4">
      <c r="AS10822" s="20"/>
    </row>
    <row r="10823" spans="45:45" ht="14.4">
      <c r="AS10823" s="20"/>
    </row>
    <row r="10824" spans="45:45" ht="14.4">
      <c r="AS10824" s="20"/>
    </row>
    <row r="10825" spans="45:45" ht="14.4">
      <c r="AS10825" s="20"/>
    </row>
    <row r="10826" spans="45:45" ht="14.4">
      <c r="AS10826" s="20"/>
    </row>
    <row r="10827" spans="45:45" ht="14.4">
      <c r="AS10827" s="20"/>
    </row>
    <row r="10828" spans="45:45" ht="14.4">
      <c r="AS10828" s="20"/>
    </row>
    <row r="10829" spans="45:45" ht="14.4">
      <c r="AS10829" s="20"/>
    </row>
    <row r="10830" spans="45:45" ht="14.4">
      <c r="AS10830" s="20"/>
    </row>
    <row r="10831" spans="45:45" ht="14.4">
      <c r="AS10831" s="20"/>
    </row>
    <row r="10832" spans="45:45" ht="14.4">
      <c r="AS10832" s="20"/>
    </row>
    <row r="10833" spans="45:45" ht="14.4">
      <c r="AS10833" s="20"/>
    </row>
    <row r="10834" spans="45:45" ht="14.4">
      <c r="AS10834" s="20"/>
    </row>
    <row r="10835" spans="45:45" ht="14.4">
      <c r="AS10835" s="20"/>
    </row>
    <row r="10836" spans="45:45" ht="14.4">
      <c r="AS10836" s="20"/>
    </row>
    <row r="10837" spans="45:45" ht="14.4">
      <c r="AS10837" s="20"/>
    </row>
    <row r="10838" spans="45:45" ht="14.4">
      <c r="AS10838" s="20"/>
    </row>
    <row r="10839" spans="45:45" ht="14.4">
      <c r="AS10839" s="20"/>
    </row>
    <row r="10840" spans="45:45" ht="14.4">
      <c r="AS10840" s="20"/>
    </row>
    <row r="10841" spans="45:45" ht="14.4">
      <c r="AS10841" s="20"/>
    </row>
    <row r="10842" spans="45:45" ht="14.4">
      <c r="AS10842" s="20"/>
    </row>
    <row r="10843" spans="45:45" ht="14.4">
      <c r="AS10843" s="20"/>
    </row>
    <row r="10844" spans="45:45" ht="14.4">
      <c r="AS10844" s="20"/>
    </row>
    <row r="10845" spans="45:45" ht="14.4">
      <c r="AS10845" s="20"/>
    </row>
    <row r="10846" spans="45:45" ht="14.4">
      <c r="AS10846" s="20"/>
    </row>
    <row r="10847" spans="45:45" ht="14.4">
      <c r="AS10847" s="20"/>
    </row>
    <row r="10848" spans="45:45" ht="14.4">
      <c r="AS10848" s="20"/>
    </row>
    <row r="10849" spans="45:45" ht="14.4">
      <c r="AS10849" s="20"/>
    </row>
    <row r="10850" spans="45:45" ht="14.4">
      <c r="AS10850" s="20"/>
    </row>
    <row r="10851" spans="45:45" ht="14.4">
      <c r="AS10851" s="20"/>
    </row>
    <row r="10852" spans="45:45" ht="14.4">
      <c r="AS10852" s="20"/>
    </row>
    <row r="10853" spans="45:45" ht="14.4">
      <c r="AS10853" s="20"/>
    </row>
    <row r="10854" spans="45:45" ht="14.4">
      <c r="AS10854" s="20"/>
    </row>
    <row r="10855" spans="45:45" ht="14.4">
      <c r="AS10855" s="20"/>
    </row>
    <row r="10856" spans="45:45" ht="14.4">
      <c r="AS10856" s="20"/>
    </row>
    <row r="10857" spans="45:45" ht="14.4">
      <c r="AS10857" s="20"/>
    </row>
    <row r="10858" spans="45:45" ht="14.4">
      <c r="AS10858" s="20"/>
    </row>
    <row r="10859" spans="45:45" ht="14.4">
      <c r="AS10859" s="20"/>
    </row>
    <row r="10860" spans="45:45" ht="14.4">
      <c r="AS10860" s="20"/>
    </row>
    <row r="10861" spans="45:45" ht="14.4">
      <c r="AS10861" s="20"/>
    </row>
    <row r="10862" spans="45:45" ht="14.4">
      <c r="AS10862" s="20"/>
    </row>
    <row r="10863" spans="45:45" ht="14.4">
      <c r="AS10863" s="20"/>
    </row>
    <row r="10864" spans="45:45" ht="14.4">
      <c r="AS10864" s="20"/>
    </row>
    <row r="10865" spans="45:45" ht="14.4">
      <c r="AS10865" s="20"/>
    </row>
    <row r="10866" spans="45:45" ht="14.4">
      <c r="AS10866" s="20"/>
    </row>
    <row r="10867" spans="45:45" ht="14.4">
      <c r="AS10867" s="20"/>
    </row>
    <row r="10868" spans="45:45" ht="14.4">
      <c r="AS10868" s="20"/>
    </row>
    <row r="10869" spans="45:45" ht="14.4">
      <c r="AS10869" s="20"/>
    </row>
    <row r="10870" spans="45:45" ht="14.4">
      <c r="AS10870" s="20"/>
    </row>
    <row r="10871" spans="45:45" ht="14.4">
      <c r="AS10871" s="20"/>
    </row>
    <row r="10872" spans="45:45" ht="14.4">
      <c r="AS10872" s="20"/>
    </row>
    <row r="10873" spans="45:45" ht="14.4">
      <c r="AS10873" s="20"/>
    </row>
    <row r="10874" spans="45:45" ht="14.4">
      <c r="AS10874" s="20"/>
    </row>
    <row r="10875" spans="45:45" ht="14.4">
      <c r="AS10875" s="20"/>
    </row>
    <row r="10876" spans="45:45" ht="14.4">
      <c r="AS10876" s="20"/>
    </row>
    <row r="10877" spans="45:45" ht="14.4">
      <c r="AS10877" s="20"/>
    </row>
    <row r="10878" spans="45:45" ht="14.4">
      <c r="AS10878" s="20"/>
    </row>
    <row r="10879" spans="45:45" ht="14.4">
      <c r="AS10879" s="20"/>
    </row>
    <row r="10880" spans="45:45" ht="14.4">
      <c r="AS10880" s="20"/>
    </row>
    <row r="10881" spans="45:45" ht="14.4">
      <c r="AS10881" s="20"/>
    </row>
    <row r="10882" spans="45:45" ht="14.4">
      <c r="AS10882" s="20"/>
    </row>
    <row r="10883" spans="45:45" ht="14.4">
      <c r="AS10883" s="20"/>
    </row>
    <row r="10884" spans="45:45" ht="14.4">
      <c r="AS10884" s="20"/>
    </row>
    <row r="10885" spans="45:45" ht="14.4">
      <c r="AS10885" s="20"/>
    </row>
    <row r="10886" spans="45:45" ht="14.4">
      <c r="AS10886" s="20"/>
    </row>
    <row r="10887" spans="45:45" ht="14.4">
      <c r="AS10887" s="20"/>
    </row>
    <row r="10888" spans="45:45" ht="14.4">
      <c r="AS10888" s="20"/>
    </row>
    <row r="10889" spans="45:45" ht="14.4">
      <c r="AS10889" s="20"/>
    </row>
    <row r="10890" spans="45:45" ht="14.4">
      <c r="AS10890" s="20"/>
    </row>
    <row r="10891" spans="45:45" ht="14.4">
      <c r="AS10891" s="20"/>
    </row>
    <row r="10892" spans="45:45" ht="14.4">
      <c r="AS10892" s="20"/>
    </row>
    <row r="10893" spans="45:45" ht="14.4">
      <c r="AS10893" s="20"/>
    </row>
    <row r="10894" spans="45:45" ht="14.4">
      <c r="AS10894" s="20"/>
    </row>
    <row r="10895" spans="45:45" ht="14.4">
      <c r="AS10895" s="20"/>
    </row>
    <row r="10896" spans="45:45" ht="14.4">
      <c r="AS10896" s="20"/>
    </row>
    <row r="10897" spans="45:45" ht="14.4">
      <c r="AS10897" s="20"/>
    </row>
    <row r="10898" spans="45:45" ht="14.4">
      <c r="AS10898" s="20"/>
    </row>
    <row r="10899" spans="45:45" ht="14.4">
      <c r="AS10899" s="20"/>
    </row>
    <row r="10900" spans="45:45" ht="14.4">
      <c r="AS10900" s="20"/>
    </row>
    <row r="10901" spans="45:45" ht="14.4">
      <c r="AS10901" s="20"/>
    </row>
    <row r="10902" spans="45:45" ht="14.4">
      <c r="AS10902" s="20"/>
    </row>
    <row r="10903" spans="45:45" ht="14.4">
      <c r="AS10903" s="20"/>
    </row>
    <row r="10904" spans="45:45" ht="14.4">
      <c r="AS10904" s="20"/>
    </row>
    <row r="10905" spans="45:45" ht="14.4">
      <c r="AS10905" s="20"/>
    </row>
    <row r="10906" spans="45:45" ht="14.4">
      <c r="AS10906" s="20"/>
    </row>
    <row r="10907" spans="45:45" ht="14.4">
      <c r="AS10907" s="20"/>
    </row>
    <row r="10908" spans="45:45" ht="14.4">
      <c r="AS10908" s="20"/>
    </row>
    <row r="10909" spans="45:45" ht="14.4">
      <c r="AS10909" s="20"/>
    </row>
    <row r="10910" spans="45:45" ht="14.4">
      <c r="AS10910" s="20"/>
    </row>
    <row r="10911" spans="45:45" ht="14.4">
      <c r="AS10911" s="20"/>
    </row>
    <row r="10912" spans="45:45" ht="14.4">
      <c r="AS10912" s="20"/>
    </row>
    <row r="10913" spans="45:45" ht="14.4">
      <c r="AS10913" s="20"/>
    </row>
    <row r="10914" spans="45:45" ht="14.4">
      <c r="AS10914" s="20"/>
    </row>
    <row r="10915" spans="45:45" ht="14.4">
      <c r="AS10915" s="20"/>
    </row>
    <row r="10916" spans="45:45" ht="14.4">
      <c r="AS10916" s="20"/>
    </row>
    <row r="10917" spans="45:45" ht="14.4">
      <c r="AS10917" s="20"/>
    </row>
    <row r="10918" spans="45:45" ht="14.4">
      <c r="AS10918" s="20"/>
    </row>
    <row r="10919" spans="45:45" ht="14.4">
      <c r="AS10919" s="20"/>
    </row>
    <row r="10920" spans="45:45" ht="14.4">
      <c r="AS10920" s="20"/>
    </row>
    <row r="10921" spans="45:45" ht="14.4">
      <c r="AS10921" s="20"/>
    </row>
    <row r="10922" spans="45:45" ht="14.4">
      <c r="AS10922" s="20"/>
    </row>
    <row r="10923" spans="45:45" ht="14.4">
      <c r="AS10923" s="20"/>
    </row>
    <row r="10924" spans="45:45" ht="14.4">
      <c r="AS10924" s="20"/>
    </row>
    <row r="10925" spans="45:45" ht="14.4">
      <c r="AS10925" s="20"/>
    </row>
    <row r="10926" spans="45:45" ht="14.4">
      <c r="AS10926" s="20"/>
    </row>
    <row r="10927" spans="45:45" ht="14.4">
      <c r="AS10927" s="20"/>
    </row>
    <row r="10928" spans="45:45" ht="14.4">
      <c r="AS10928" s="20"/>
    </row>
    <row r="10929" spans="45:45" ht="14.4">
      <c r="AS10929" s="20"/>
    </row>
    <row r="10930" spans="45:45" ht="14.4">
      <c r="AS10930" s="20"/>
    </row>
    <row r="10931" spans="45:45" ht="14.4">
      <c r="AS10931" s="20"/>
    </row>
    <row r="10932" spans="45:45" ht="14.4">
      <c r="AS10932" s="20"/>
    </row>
    <row r="10933" spans="45:45" ht="14.4">
      <c r="AS10933" s="20"/>
    </row>
    <row r="10934" spans="45:45" ht="14.4">
      <c r="AS10934" s="20"/>
    </row>
    <row r="10935" spans="45:45" ht="14.4">
      <c r="AS10935" s="20"/>
    </row>
    <row r="10936" spans="45:45" ht="14.4">
      <c r="AS10936" s="20"/>
    </row>
    <row r="10937" spans="45:45" ht="14.4">
      <c r="AS10937" s="20"/>
    </row>
    <row r="10938" spans="45:45" ht="14.4">
      <c r="AS10938" s="20"/>
    </row>
    <row r="10939" spans="45:45" ht="14.4">
      <c r="AS10939" s="20"/>
    </row>
    <row r="10940" spans="45:45" ht="14.4">
      <c r="AS10940" s="20"/>
    </row>
    <row r="10941" spans="45:45" ht="14.4">
      <c r="AS10941" s="20"/>
    </row>
    <row r="10942" spans="45:45" ht="14.4">
      <c r="AS10942" s="20"/>
    </row>
    <row r="10943" spans="45:45" ht="14.4">
      <c r="AS10943" s="20"/>
    </row>
    <row r="10944" spans="45:45" ht="14.4">
      <c r="AS10944" s="20"/>
    </row>
    <row r="10945" spans="45:45" ht="14.4">
      <c r="AS10945" s="20"/>
    </row>
    <row r="10946" spans="45:45" ht="14.4">
      <c r="AS10946" s="20"/>
    </row>
    <row r="10947" spans="45:45" ht="14.4">
      <c r="AS10947" s="20"/>
    </row>
    <row r="10948" spans="45:45" ht="14.4">
      <c r="AS10948" s="20"/>
    </row>
    <row r="10949" spans="45:45" ht="14.4">
      <c r="AS10949" s="20"/>
    </row>
    <row r="10950" spans="45:45" ht="14.4">
      <c r="AS10950" s="20"/>
    </row>
    <row r="10951" spans="45:45" ht="14.4">
      <c r="AS10951" s="20"/>
    </row>
    <row r="10952" spans="45:45" ht="14.4">
      <c r="AS10952" s="20"/>
    </row>
    <row r="10953" spans="45:45" ht="14.4">
      <c r="AS10953" s="20"/>
    </row>
    <row r="10954" spans="45:45" ht="14.4">
      <c r="AS10954" s="20"/>
    </row>
    <row r="10955" spans="45:45" ht="14.4">
      <c r="AS10955" s="20"/>
    </row>
    <row r="10956" spans="45:45" ht="14.4">
      <c r="AS10956" s="20"/>
    </row>
    <row r="10957" spans="45:45" ht="14.4">
      <c r="AS10957" s="20"/>
    </row>
    <row r="10958" spans="45:45" ht="14.4">
      <c r="AS10958" s="20"/>
    </row>
    <row r="10959" spans="45:45" ht="14.4">
      <c r="AS10959" s="20"/>
    </row>
    <row r="10960" spans="45:45" ht="14.4">
      <c r="AS10960" s="20"/>
    </row>
    <row r="10961" spans="45:45" ht="14.4">
      <c r="AS10961" s="20"/>
    </row>
    <row r="10962" spans="45:45" ht="14.4">
      <c r="AS10962" s="20"/>
    </row>
    <row r="10963" spans="45:45" ht="14.4">
      <c r="AS10963" s="20"/>
    </row>
    <row r="10964" spans="45:45" ht="14.4">
      <c r="AS10964" s="20"/>
    </row>
    <row r="10965" spans="45:45" ht="14.4">
      <c r="AS10965" s="20"/>
    </row>
    <row r="10966" spans="45:45" ht="14.4">
      <c r="AS10966" s="20"/>
    </row>
    <row r="10967" spans="45:45" ht="14.4">
      <c r="AS10967" s="20"/>
    </row>
    <row r="10968" spans="45:45" ht="14.4">
      <c r="AS10968" s="20"/>
    </row>
    <row r="10969" spans="45:45" ht="14.4">
      <c r="AS10969" s="20"/>
    </row>
    <row r="10970" spans="45:45" ht="14.4">
      <c r="AS10970" s="20"/>
    </row>
    <row r="10971" spans="45:45" ht="14.4">
      <c r="AS10971" s="20"/>
    </row>
    <row r="10972" spans="45:45" ht="14.4">
      <c r="AS10972" s="20"/>
    </row>
    <row r="10973" spans="45:45" ht="14.4">
      <c r="AS10973" s="20"/>
    </row>
    <row r="10974" spans="45:45" ht="14.4">
      <c r="AS10974" s="20"/>
    </row>
    <row r="10975" spans="45:45" ht="14.4">
      <c r="AS10975" s="20"/>
    </row>
    <row r="10976" spans="45:45" ht="14.4">
      <c r="AS10976" s="20"/>
    </row>
    <row r="10977" spans="45:45" ht="14.4">
      <c r="AS10977" s="20"/>
    </row>
    <row r="10978" spans="45:45" ht="14.4">
      <c r="AS10978" s="20"/>
    </row>
    <row r="10979" spans="45:45" ht="14.4">
      <c r="AS10979" s="20"/>
    </row>
    <row r="10980" spans="45:45" ht="14.4">
      <c r="AS10980" s="20"/>
    </row>
    <row r="10981" spans="45:45" ht="14.4">
      <c r="AS10981" s="20"/>
    </row>
    <row r="10982" spans="45:45" ht="14.4">
      <c r="AS10982" s="20"/>
    </row>
    <row r="10983" spans="45:45" ht="14.4">
      <c r="AS10983" s="20"/>
    </row>
    <row r="10984" spans="45:45" ht="14.4">
      <c r="AS10984" s="20"/>
    </row>
    <row r="10985" spans="45:45" ht="14.4">
      <c r="AS10985" s="20"/>
    </row>
    <row r="10986" spans="45:45" ht="14.4">
      <c r="AS10986" s="20"/>
    </row>
    <row r="10987" spans="45:45" ht="14.4">
      <c r="AS10987" s="20"/>
    </row>
    <row r="10988" spans="45:45" ht="14.4">
      <c r="AS10988" s="20"/>
    </row>
    <row r="10989" spans="45:45" ht="14.4">
      <c r="AS10989" s="20"/>
    </row>
    <row r="10990" spans="45:45" ht="14.4">
      <c r="AS10990" s="20"/>
    </row>
    <row r="10991" spans="45:45" ht="14.4">
      <c r="AS10991" s="20"/>
    </row>
    <row r="10992" spans="45:45" ht="14.4">
      <c r="AS10992" s="20"/>
    </row>
    <row r="10993" spans="45:45" ht="14.4">
      <c r="AS10993" s="20"/>
    </row>
    <row r="10994" spans="45:45" ht="14.4">
      <c r="AS10994" s="20"/>
    </row>
    <row r="10995" spans="45:45" ht="14.4">
      <c r="AS10995" s="20"/>
    </row>
    <row r="10996" spans="45:45" ht="14.4">
      <c r="AS10996" s="20"/>
    </row>
    <row r="10997" spans="45:45" ht="14.4">
      <c r="AS10997" s="20"/>
    </row>
    <row r="10998" spans="45:45" ht="14.4">
      <c r="AS10998" s="20"/>
    </row>
    <row r="10999" spans="45:45" ht="14.4">
      <c r="AS10999" s="20"/>
    </row>
    <row r="11000" spans="45:45" ht="14.4">
      <c r="AS11000" s="20"/>
    </row>
    <row r="11001" spans="45:45" ht="14.4">
      <c r="AS11001" s="20"/>
    </row>
    <row r="11002" spans="45:45" ht="14.4">
      <c r="AS11002" s="20"/>
    </row>
    <row r="11003" spans="45:45" ht="14.4">
      <c r="AS11003" s="20"/>
    </row>
    <row r="11004" spans="45:45" ht="14.4">
      <c r="AS11004" s="20"/>
    </row>
    <row r="11005" spans="45:45" ht="14.4">
      <c r="AS11005" s="20"/>
    </row>
    <row r="11006" spans="45:45" ht="14.4">
      <c r="AS11006" s="20"/>
    </row>
    <row r="11007" spans="45:45" ht="14.4">
      <c r="AS11007" s="20"/>
    </row>
    <row r="11008" spans="45:45" ht="14.4">
      <c r="AS11008" s="20"/>
    </row>
    <row r="11009" spans="45:45" ht="14.4">
      <c r="AS11009" s="20"/>
    </row>
    <row r="11010" spans="45:45" ht="14.4">
      <c r="AS11010" s="20"/>
    </row>
    <row r="11011" spans="45:45" ht="14.4">
      <c r="AS11011" s="20"/>
    </row>
    <row r="11012" spans="45:45" ht="14.4">
      <c r="AS11012" s="20"/>
    </row>
    <row r="11013" spans="45:45" ht="14.4">
      <c r="AS11013" s="20"/>
    </row>
    <row r="11014" spans="45:45" ht="14.4">
      <c r="AS11014" s="20"/>
    </row>
    <row r="11015" spans="45:45" ht="14.4">
      <c r="AS11015" s="20"/>
    </row>
    <row r="11016" spans="45:45" ht="14.4">
      <c r="AS11016" s="20"/>
    </row>
    <row r="11017" spans="45:45" ht="14.4">
      <c r="AS11017" s="20"/>
    </row>
    <row r="11018" spans="45:45" ht="14.4">
      <c r="AS11018" s="20"/>
    </row>
    <row r="11019" spans="45:45" ht="14.4">
      <c r="AS11019" s="20"/>
    </row>
    <row r="11020" spans="45:45" ht="14.4">
      <c r="AS11020" s="20"/>
    </row>
    <row r="11021" spans="45:45" ht="14.4">
      <c r="AS11021" s="20"/>
    </row>
    <row r="11022" spans="45:45" ht="14.4">
      <c r="AS11022" s="20"/>
    </row>
    <row r="11023" spans="45:45" ht="14.4">
      <c r="AS11023" s="20"/>
    </row>
    <row r="11024" spans="45:45" ht="14.4">
      <c r="AS11024" s="20"/>
    </row>
    <row r="11025" spans="45:45" ht="14.4">
      <c r="AS11025" s="20"/>
    </row>
    <row r="11026" spans="45:45" ht="14.4">
      <c r="AS11026" s="20"/>
    </row>
    <row r="11027" spans="45:45" ht="14.4">
      <c r="AS11027" s="20"/>
    </row>
    <row r="11028" spans="45:45" ht="14.4">
      <c r="AS11028" s="20"/>
    </row>
    <row r="11029" spans="45:45" ht="14.4">
      <c r="AS11029" s="20"/>
    </row>
    <row r="11030" spans="45:45" ht="14.4">
      <c r="AS11030" s="20"/>
    </row>
    <row r="11031" spans="45:45" ht="14.4">
      <c r="AS11031" s="20"/>
    </row>
    <row r="11032" spans="45:45" ht="14.4">
      <c r="AS11032" s="20"/>
    </row>
    <row r="11033" spans="45:45" ht="14.4">
      <c r="AS11033" s="20"/>
    </row>
    <row r="11034" spans="45:45" ht="14.4">
      <c r="AS11034" s="20"/>
    </row>
    <row r="11035" spans="45:45" ht="14.4">
      <c r="AS11035" s="20"/>
    </row>
    <row r="11036" spans="45:45" ht="14.4">
      <c r="AS11036" s="20"/>
    </row>
    <row r="11037" spans="45:45" ht="14.4">
      <c r="AS11037" s="20"/>
    </row>
    <row r="11038" spans="45:45" ht="14.4">
      <c r="AS11038" s="20"/>
    </row>
    <row r="11039" spans="45:45" ht="14.4">
      <c r="AS11039" s="20"/>
    </row>
    <row r="11040" spans="45:45" ht="14.4">
      <c r="AS11040" s="20"/>
    </row>
    <row r="11041" spans="45:45" ht="14.4">
      <c r="AS11041" s="20"/>
    </row>
    <row r="11042" spans="45:45" ht="14.4">
      <c r="AS11042" s="20"/>
    </row>
    <row r="11043" spans="45:45" ht="14.4">
      <c r="AS11043" s="20"/>
    </row>
    <row r="11044" spans="45:45" ht="14.4">
      <c r="AS11044" s="20"/>
    </row>
    <row r="11045" spans="45:45" ht="14.4">
      <c r="AS11045" s="20"/>
    </row>
    <row r="11046" spans="45:45" ht="14.4">
      <c r="AS11046" s="20"/>
    </row>
    <row r="11047" spans="45:45" ht="14.4">
      <c r="AS11047" s="20"/>
    </row>
    <row r="11048" spans="45:45" ht="14.4">
      <c r="AS11048" s="20"/>
    </row>
    <row r="11049" spans="45:45" ht="14.4">
      <c r="AS11049" s="20"/>
    </row>
    <row r="11050" spans="45:45" ht="14.4">
      <c r="AS11050" s="20"/>
    </row>
    <row r="11051" spans="45:45" ht="14.4">
      <c r="AS11051" s="20"/>
    </row>
    <row r="11052" spans="45:45" ht="14.4">
      <c r="AS11052" s="20"/>
    </row>
    <row r="11053" spans="45:45" ht="14.4">
      <c r="AS11053" s="20"/>
    </row>
    <row r="11054" spans="45:45" ht="14.4">
      <c r="AS11054" s="20"/>
    </row>
    <row r="11055" spans="45:45" ht="14.4">
      <c r="AS11055" s="20"/>
    </row>
    <row r="11056" spans="45:45" ht="14.4">
      <c r="AS11056" s="20"/>
    </row>
    <row r="11057" spans="45:45" ht="14.4">
      <c r="AS11057" s="20"/>
    </row>
    <row r="11058" spans="45:45" ht="14.4">
      <c r="AS11058" s="20"/>
    </row>
    <row r="11059" spans="45:45" ht="14.4">
      <c r="AS11059" s="20"/>
    </row>
    <row r="11060" spans="45:45" ht="14.4">
      <c r="AS11060" s="20"/>
    </row>
    <row r="11061" spans="45:45" ht="14.4">
      <c r="AS11061" s="20"/>
    </row>
    <row r="11062" spans="45:45" ht="14.4">
      <c r="AS11062" s="20"/>
    </row>
    <row r="11063" spans="45:45" ht="14.4">
      <c r="AS11063" s="20"/>
    </row>
    <row r="11064" spans="45:45" ht="14.4">
      <c r="AS11064" s="20"/>
    </row>
    <row r="11065" spans="45:45" ht="14.4">
      <c r="AS11065" s="20"/>
    </row>
    <row r="11066" spans="45:45" ht="14.4">
      <c r="AS11066" s="20"/>
    </row>
    <row r="11067" spans="45:45" ht="14.4">
      <c r="AS11067" s="20"/>
    </row>
    <row r="11068" spans="45:45" ht="14.4">
      <c r="AS11068" s="20"/>
    </row>
    <row r="11069" spans="45:45" ht="14.4">
      <c r="AS11069" s="20"/>
    </row>
    <row r="11070" spans="45:45" ht="14.4">
      <c r="AS11070" s="20"/>
    </row>
    <row r="11071" spans="45:45" ht="14.4">
      <c r="AS11071" s="20"/>
    </row>
    <row r="11072" spans="45:45" ht="14.4">
      <c r="AS11072" s="20"/>
    </row>
    <row r="11073" spans="45:45" ht="14.4">
      <c r="AS11073" s="20"/>
    </row>
    <row r="11074" spans="45:45" ht="14.4">
      <c r="AS11074" s="20"/>
    </row>
    <row r="11075" spans="45:45" ht="14.4">
      <c r="AS11075" s="20"/>
    </row>
    <row r="11076" spans="45:45" ht="14.4">
      <c r="AS11076" s="20"/>
    </row>
    <row r="11077" spans="45:45" ht="14.4">
      <c r="AS11077" s="20"/>
    </row>
    <row r="11078" spans="45:45" ht="14.4">
      <c r="AS11078" s="20"/>
    </row>
    <row r="11079" spans="45:45" ht="14.4">
      <c r="AS11079" s="20"/>
    </row>
    <row r="11080" spans="45:45" ht="14.4">
      <c r="AS11080" s="20"/>
    </row>
    <row r="11081" spans="45:45" ht="14.4">
      <c r="AS11081" s="20"/>
    </row>
    <row r="11082" spans="45:45" ht="14.4">
      <c r="AS11082" s="20"/>
    </row>
    <row r="11083" spans="45:45" ht="14.4">
      <c r="AS11083" s="20"/>
    </row>
    <row r="11084" spans="45:45" ht="14.4">
      <c r="AS11084" s="20"/>
    </row>
    <row r="11085" spans="45:45" ht="14.4">
      <c r="AS11085" s="20"/>
    </row>
    <row r="11086" spans="45:45" ht="14.4">
      <c r="AS11086" s="20"/>
    </row>
    <row r="11087" spans="45:45" ht="14.4">
      <c r="AS11087" s="20"/>
    </row>
    <row r="11088" spans="45:45" ht="14.4">
      <c r="AS11088" s="20"/>
    </row>
    <row r="11089" spans="45:45" ht="14.4">
      <c r="AS11089" s="20"/>
    </row>
    <row r="11090" spans="45:45" ht="14.4">
      <c r="AS11090" s="20"/>
    </row>
    <row r="11091" spans="45:45" ht="14.4">
      <c r="AS11091" s="20"/>
    </row>
    <row r="11092" spans="45:45" ht="14.4">
      <c r="AS11092" s="20"/>
    </row>
    <row r="11093" spans="45:45" ht="14.4">
      <c r="AS11093" s="20"/>
    </row>
    <row r="11094" spans="45:45" ht="14.4">
      <c r="AS11094" s="20"/>
    </row>
    <row r="11095" spans="45:45" ht="14.4">
      <c r="AS11095" s="20"/>
    </row>
    <row r="11096" spans="45:45" ht="14.4">
      <c r="AS11096" s="20"/>
    </row>
    <row r="11097" spans="45:45" ht="14.4">
      <c r="AS11097" s="20"/>
    </row>
    <row r="11098" spans="45:45" ht="14.4">
      <c r="AS11098" s="20"/>
    </row>
    <row r="11099" spans="45:45" ht="14.4">
      <c r="AS11099" s="20"/>
    </row>
    <row r="11100" spans="45:45" ht="14.4">
      <c r="AS11100" s="20"/>
    </row>
    <row r="11101" spans="45:45" ht="14.4">
      <c r="AS11101" s="20"/>
    </row>
    <row r="11102" spans="45:45" ht="14.4">
      <c r="AS11102" s="20"/>
    </row>
    <row r="11103" spans="45:45" ht="14.4">
      <c r="AS11103" s="20"/>
    </row>
    <row r="11104" spans="45:45" ht="14.4">
      <c r="AS11104" s="20"/>
    </row>
    <row r="11105" spans="45:45" ht="14.4">
      <c r="AS11105" s="20"/>
    </row>
    <row r="11106" spans="45:45" ht="14.4">
      <c r="AS11106" s="20"/>
    </row>
    <row r="11107" spans="45:45" ht="14.4">
      <c r="AS11107" s="20"/>
    </row>
    <row r="11108" spans="45:45" ht="14.4">
      <c r="AS11108" s="20"/>
    </row>
    <row r="11109" spans="45:45" ht="14.4">
      <c r="AS11109" s="20"/>
    </row>
    <row r="11110" spans="45:45" ht="14.4">
      <c r="AS11110" s="20"/>
    </row>
    <row r="11111" spans="45:45" ht="14.4">
      <c r="AS11111" s="20"/>
    </row>
    <row r="11112" spans="45:45" ht="14.4">
      <c r="AS11112" s="20"/>
    </row>
    <row r="11113" spans="45:45" ht="14.4">
      <c r="AS11113" s="20"/>
    </row>
    <row r="11114" spans="45:45" ht="14.4">
      <c r="AS11114" s="20"/>
    </row>
    <row r="11115" spans="45:45" ht="14.4">
      <c r="AS11115" s="20"/>
    </row>
    <row r="11116" spans="45:45" ht="14.4">
      <c r="AS11116" s="20"/>
    </row>
    <row r="11117" spans="45:45" ht="14.4">
      <c r="AS11117" s="20"/>
    </row>
    <row r="11118" spans="45:45" ht="14.4">
      <c r="AS11118" s="20"/>
    </row>
    <row r="11119" spans="45:45" ht="14.4">
      <c r="AS11119" s="20"/>
    </row>
    <row r="11120" spans="45:45" ht="14.4">
      <c r="AS11120" s="20"/>
    </row>
    <row r="11121" spans="45:45" ht="14.4">
      <c r="AS11121" s="20"/>
    </row>
    <row r="11122" spans="45:45" ht="14.4">
      <c r="AS11122" s="20"/>
    </row>
    <row r="11123" spans="45:45" ht="14.4">
      <c r="AS11123" s="20"/>
    </row>
    <row r="11124" spans="45:45" ht="14.4">
      <c r="AS11124" s="20"/>
    </row>
    <row r="11125" spans="45:45" ht="14.4">
      <c r="AS11125" s="20"/>
    </row>
    <row r="11126" spans="45:45" ht="14.4">
      <c r="AS11126" s="20"/>
    </row>
    <row r="11127" spans="45:45" ht="14.4">
      <c r="AS11127" s="20"/>
    </row>
    <row r="11128" spans="45:45" ht="14.4">
      <c r="AS11128" s="20"/>
    </row>
    <row r="11129" spans="45:45" ht="14.4">
      <c r="AS11129" s="20"/>
    </row>
    <row r="11130" spans="45:45" ht="14.4">
      <c r="AS11130" s="20"/>
    </row>
    <row r="11131" spans="45:45" ht="14.4">
      <c r="AS11131" s="20"/>
    </row>
    <row r="11132" spans="45:45" ht="14.4">
      <c r="AS11132" s="20"/>
    </row>
    <row r="11133" spans="45:45" ht="14.4">
      <c r="AS11133" s="20"/>
    </row>
    <row r="11134" spans="45:45" ht="14.4">
      <c r="AS11134" s="20"/>
    </row>
    <row r="11135" spans="45:45" ht="14.4">
      <c r="AS11135" s="20"/>
    </row>
    <row r="11136" spans="45:45" ht="14.4">
      <c r="AS11136" s="20"/>
    </row>
    <row r="11137" spans="45:45" ht="14.4">
      <c r="AS11137" s="20"/>
    </row>
    <row r="11138" spans="45:45" ht="14.4">
      <c r="AS11138" s="20"/>
    </row>
    <row r="11139" spans="45:45" ht="14.4">
      <c r="AS11139" s="20"/>
    </row>
    <row r="11140" spans="45:45" ht="14.4">
      <c r="AS11140" s="20"/>
    </row>
    <row r="11141" spans="45:45" ht="14.4">
      <c r="AS11141" s="20"/>
    </row>
    <row r="11142" spans="45:45" ht="14.4">
      <c r="AS11142" s="20"/>
    </row>
    <row r="11143" spans="45:45" ht="14.4">
      <c r="AS11143" s="20"/>
    </row>
    <row r="11144" spans="45:45" ht="14.4">
      <c r="AS11144" s="20"/>
    </row>
    <row r="11145" spans="45:45" ht="14.4">
      <c r="AS11145" s="20"/>
    </row>
    <row r="11146" spans="45:45" ht="14.4">
      <c r="AS11146" s="20"/>
    </row>
    <row r="11147" spans="45:45" ht="14.4">
      <c r="AS11147" s="20"/>
    </row>
    <row r="11148" spans="45:45" ht="14.4">
      <c r="AS11148" s="20"/>
    </row>
    <row r="11149" spans="45:45" ht="14.4">
      <c r="AS11149" s="20"/>
    </row>
    <row r="11150" spans="45:45" ht="14.4">
      <c r="AS11150" s="20"/>
    </row>
    <row r="11151" spans="45:45" ht="14.4">
      <c r="AS11151" s="20"/>
    </row>
    <row r="11152" spans="45:45" ht="14.4">
      <c r="AS11152" s="20"/>
    </row>
    <row r="11153" spans="45:45" ht="14.4">
      <c r="AS11153" s="20"/>
    </row>
    <row r="11154" spans="45:45" ht="14.4">
      <c r="AS11154" s="20"/>
    </row>
    <row r="11155" spans="45:45" ht="14.4">
      <c r="AS11155" s="20"/>
    </row>
    <row r="11156" spans="45:45" ht="14.4">
      <c r="AS11156" s="20"/>
    </row>
    <row r="11157" spans="45:45" ht="14.4">
      <c r="AS11157" s="20"/>
    </row>
    <row r="11158" spans="45:45" ht="14.4">
      <c r="AS11158" s="20"/>
    </row>
    <row r="11159" spans="45:45" ht="14.4">
      <c r="AS11159" s="20"/>
    </row>
    <row r="11160" spans="45:45" ht="14.4">
      <c r="AS11160" s="20"/>
    </row>
    <row r="11161" spans="45:45" ht="14.4">
      <c r="AS11161" s="20"/>
    </row>
    <row r="11162" spans="45:45" ht="14.4">
      <c r="AS11162" s="20"/>
    </row>
    <row r="11163" spans="45:45" ht="14.4">
      <c r="AS11163" s="20"/>
    </row>
    <row r="11164" spans="45:45" ht="14.4">
      <c r="AS11164" s="20"/>
    </row>
    <row r="11165" spans="45:45" ht="14.4">
      <c r="AS11165" s="20"/>
    </row>
    <row r="11166" spans="45:45" ht="14.4">
      <c r="AS11166" s="20"/>
    </row>
    <row r="11167" spans="45:45" ht="14.4">
      <c r="AS11167" s="20"/>
    </row>
    <row r="11168" spans="45:45" ht="14.4">
      <c r="AS11168" s="20"/>
    </row>
    <row r="11169" spans="45:45" ht="14.4">
      <c r="AS11169" s="20"/>
    </row>
    <row r="11170" spans="45:45" ht="14.4">
      <c r="AS11170" s="20"/>
    </row>
    <row r="11171" spans="45:45" ht="14.4">
      <c r="AS11171" s="20"/>
    </row>
    <row r="11172" spans="45:45" ht="14.4">
      <c r="AS11172" s="20"/>
    </row>
    <row r="11173" spans="45:45" ht="14.4">
      <c r="AS11173" s="20"/>
    </row>
    <row r="11174" spans="45:45" ht="14.4">
      <c r="AS11174" s="20"/>
    </row>
    <row r="11175" spans="45:45" ht="14.4">
      <c r="AS11175" s="20"/>
    </row>
    <row r="11176" spans="45:45" ht="14.4">
      <c r="AS11176" s="20"/>
    </row>
    <row r="11177" spans="45:45" ht="14.4">
      <c r="AS11177" s="20"/>
    </row>
    <row r="11178" spans="45:45" ht="14.4">
      <c r="AS11178" s="20"/>
    </row>
    <row r="11179" spans="45:45" ht="14.4">
      <c r="AS11179" s="20"/>
    </row>
    <row r="11180" spans="45:45" ht="14.4">
      <c r="AS11180" s="20"/>
    </row>
    <row r="11181" spans="45:45" ht="14.4">
      <c r="AS11181" s="20"/>
    </row>
    <row r="11182" spans="45:45" ht="14.4">
      <c r="AS11182" s="20"/>
    </row>
    <row r="11183" spans="45:45" ht="14.4">
      <c r="AS11183" s="20"/>
    </row>
    <row r="11184" spans="45:45" ht="14.4">
      <c r="AS11184" s="20"/>
    </row>
    <row r="11185" spans="45:45" ht="14.4">
      <c r="AS11185" s="20"/>
    </row>
    <row r="11186" spans="45:45" ht="14.4">
      <c r="AS11186" s="20"/>
    </row>
    <row r="11187" spans="45:45" ht="14.4">
      <c r="AS11187" s="20"/>
    </row>
    <row r="11188" spans="45:45" ht="14.4">
      <c r="AS11188" s="20"/>
    </row>
    <row r="11189" spans="45:45" ht="14.4">
      <c r="AS11189" s="20"/>
    </row>
    <row r="11190" spans="45:45" ht="14.4">
      <c r="AS11190" s="20"/>
    </row>
    <row r="11191" spans="45:45" ht="14.4">
      <c r="AS11191" s="20"/>
    </row>
    <row r="11192" spans="45:45" ht="14.4">
      <c r="AS11192" s="20"/>
    </row>
    <row r="11193" spans="45:45" ht="14.4">
      <c r="AS11193" s="20"/>
    </row>
    <row r="11194" spans="45:45" ht="14.4">
      <c r="AS11194" s="20"/>
    </row>
    <row r="11195" spans="45:45" ht="14.4">
      <c r="AS11195" s="20"/>
    </row>
    <row r="11196" spans="45:45" ht="14.4">
      <c r="AS11196" s="20"/>
    </row>
    <row r="11197" spans="45:45" ht="14.4">
      <c r="AS11197" s="20"/>
    </row>
    <row r="11198" spans="45:45" ht="14.4">
      <c r="AS11198" s="20"/>
    </row>
    <row r="11199" spans="45:45" ht="14.4">
      <c r="AS11199" s="20"/>
    </row>
    <row r="11200" spans="45:45" ht="14.4">
      <c r="AS11200" s="20"/>
    </row>
    <row r="11201" spans="45:45" ht="14.4">
      <c r="AS11201" s="20"/>
    </row>
    <row r="11202" spans="45:45" ht="14.4">
      <c r="AS11202" s="20"/>
    </row>
    <row r="11203" spans="45:45" ht="14.4">
      <c r="AS11203" s="20"/>
    </row>
    <row r="11204" spans="45:45" ht="14.4">
      <c r="AS11204" s="20"/>
    </row>
    <row r="11205" spans="45:45" ht="14.4">
      <c r="AS11205" s="20"/>
    </row>
    <row r="11206" spans="45:45" ht="14.4">
      <c r="AS11206" s="20"/>
    </row>
    <row r="11207" spans="45:45" ht="14.4">
      <c r="AS11207" s="20"/>
    </row>
    <row r="11208" spans="45:45" ht="14.4">
      <c r="AS11208" s="20"/>
    </row>
    <row r="11209" spans="45:45" ht="14.4">
      <c r="AS11209" s="20"/>
    </row>
    <row r="11210" spans="45:45" ht="14.4">
      <c r="AS11210" s="20"/>
    </row>
    <row r="11211" spans="45:45" ht="14.4">
      <c r="AS11211" s="20"/>
    </row>
    <row r="11212" spans="45:45" ht="14.4">
      <c r="AS11212" s="20"/>
    </row>
    <row r="11213" spans="45:45" ht="14.4">
      <c r="AS11213" s="20"/>
    </row>
    <row r="11214" spans="45:45" ht="14.4">
      <c r="AS11214" s="20"/>
    </row>
    <row r="11215" spans="45:45" ht="14.4">
      <c r="AS11215" s="20"/>
    </row>
    <row r="11216" spans="45:45" ht="14.4">
      <c r="AS11216" s="20"/>
    </row>
    <row r="11217" spans="45:45" ht="14.4">
      <c r="AS11217" s="20"/>
    </row>
    <row r="11218" spans="45:45" ht="14.4">
      <c r="AS11218" s="20"/>
    </row>
    <row r="11219" spans="45:45" ht="14.4">
      <c r="AS11219" s="20"/>
    </row>
    <row r="11220" spans="45:45" ht="14.4">
      <c r="AS11220" s="20"/>
    </row>
    <row r="11221" spans="45:45" ht="14.4">
      <c r="AS11221" s="20"/>
    </row>
    <row r="11222" spans="45:45" ht="14.4">
      <c r="AS11222" s="20"/>
    </row>
    <row r="11223" spans="45:45" ht="14.4">
      <c r="AS11223" s="20"/>
    </row>
    <row r="11224" spans="45:45" ht="14.4">
      <c r="AS11224" s="20"/>
    </row>
    <row r="11225" spans="45:45" ht="14.4">
      <c r="AS11225" s="20"/>
    </row>
    <row r="11226" spans="45:45" ht="14.4">
      <c r="AS11226" s="20"/>
    </row>
    <row r="11227" spans="45:45" ht="14.4">
      <c r="AS11227" s="20"/>
    </row>
    <row r="11228" spans="45:45" ht="14.4">
      <c r="AS11228" s="20"/>
    </row>
    <row r="11229" spans="45:45" ht="14.4">
      <c r="AS11229" s="20"/>
    </row>
    <row r="11230" spans="45:45" ht="14.4">
      <c r="AS11230" s="20"/>
    </row>
    <row r="11231" spans="45:45" ht="14.4">
      <c r="AS11231" s="20"/>
    </row>
    <row r="11232" spans="45:45" ht="14.4">
      <c r="AS11232" s="20"/>
    </row>
    <row r="11233" spans="45:45" ht="14.4">
      <c r="AS11233" s="20"/>
    </row>
    <row r="11234" spans="45:45" ht="14.4">
      <c r="AS11234" s="20"/>
    </row>
    <row r="11235" spans="45:45" ht="14.4">
      <c r="AS11235" s="20"/>
    </row>
    <row r="11236" spans="45:45" ht="14.4">
      <c r="AS11236" s="20"/>
    </row>
    <row r="11237" spans="45:45" ht="14.4">
      <c r="AS11237" s="20"/>
    </row>
    <row r="11238" spans="45:45" ht="14.4">
      <c r="AS11238" s="20"/>
    </row>
    <row r="11239" spans="45:45" ht="14.4">
      <c r="AS11239" s="20"/>
    </row>
    <row r="11240" spans="45:45" ht="14.4">
      <c r="AS11240" s="20"/>
    </row>
    <row r="11241" spans="45:45" ht="14.4">
      <c r="AS11241" s="20"/>
    </row>
    <row r="11242" spans="45:45" ht="14.4">
      <c r="AS11242" s="20"/>
    </row>
    <row r="11243" spans="45:45" ht="14.4">
      <c r="AS11243" s="20"/>
    </row>
    <row r="11244" spans="45:45" ht="14.4">
      <c r="AS11244" s="20"/>
    </row>
    <row r="11245" spans="45:45" ht="14.4">
      <c r="AS11245" s="20"/>
    </row>
    <row r="11246" spans="45:45" ht="14.4">
      <c r="AS11246" s="20"/>
    </row>
    <row r="11247" spans="45:45" ht="14.4">
      <c r="AS11247" s="20"/>
    </row>
    <row r="11248" spans="45:45" ht="14.4">
      <c r="AS11248" s="20"/>
    </row>
    <row r="11249" spans="45:45" ht="14.4">
      <c r="AS11249" s="20"/>
    </row>
    <row r="11250" spans="45:45" ht="14.4">
      <c r="AS11250" s="20"/>
    </row>
    <row r="11251" spans="45:45" ht="14.4">
      <c r="AS11251" s="20"/>
    </row>
    <row r="11252" spans="45:45" ht="14.4">
      <c r="AS11252" s="20"/>
    </row>
    <row r="11253" spans="45:45" ht="14.4">
      <c r="AS11253" s="20"/>
    </row>
    <row r="11254" spans="45:45" ht="14.4">
      <c r="AS11254" s="20"/>
    </row>
    <row r="11255" spans="45:45" ht="14.4">
      <c r="AS11255" s="20"/>
    </row>
    <row r="11256" spans="45:45" ht="14.4">
      <c r="AS11256" s="20"/>
    </row>
    <row r="11257" spans="45:45" ht="14.4">
      <c r="AS11257" s="20"/>
    </row>
    <row r="11258" spans="45:45" ht="14.4">
      <c r="AS11258" s="20"/>
    </row>
    <row r="11259" spans="45:45" ht="14.4">
      <c r="AS11259" s="20"/>
    </row>
    <row r="11260" spans="45:45" ht="14.4">
      <c r="AS11260" s="20"/>
    </row>
    <row r="11261" spans="45:45" ht="14.4">
      <c r="AS11261" s="20"/>
    </row>
    <row r="11262" spans="45:45" ht="14.4">
      <c r="AS11262" s="20"/>
    </row>
    <row r="11263" spans="45:45" ht="14.4">
      <c r="AS11263" s="20"/>
    </row>
    <row r="11264" spans="45:45" ht="14.4">
      <c r="AS11264" s="20"/>
    </row>
    <row r="11265" spans="45:45" ht="14.4">
      <c r="AS11265" s="20"/>
    </row>
    <row r="11266" spans="45:45" ht="14.4">
      <c r="AS11266" s="20"/>
    </row>
    <row r="11267" spans="45:45" ht="14.4">
      <c r="AS11267" s="20"/>
    </row>
    <row r="11268" spans="45:45" ht="14.4">
      <c r="AS11268" s="20"/>
    </row>
    <row r="11269" spans="45:45" ht="14.4">
      <c r="AS11269" s="20"/>
    </row>
    <row r="11270" spans="45:45" ht="14.4">
      <c r="AS11270" s="20"/>
    </row>
    <row r="11271" spans="45:45" ht="14.4">
      <c r="AS11271" s="20"/>
    </row>
    <row r="11272" spans="45:45" ht="14.4">
      <c r="AS11272" s="20"/>
    </row>
    <row r="11273" spans="45:45" ht="14.4">
      <c r="AS11273" s="20"/>
    </row>
    <row r="11274" spans="45:45" ht="14.4">
      <c r="AS11274" s="20"/>
    </row>
    <row r="11275" spans="45:45" ht="14.4">
      <c r="AS11275" s="20"/>
    </row>
    <row r="11276" spans="45:45" ht="14.4">
      <c r="AS11276" s="20"/>
    </row>
    <row r="11277" spans="45:45" ht="14.4">
      <c r="AS11277" s="20"/>
    </row>
    <row r="11278" spans="45:45" ht="14.4">
      <c r="AS11278" s="20"/>
    </row>
    <row r="11279" spans="45:45" ht="14.4">
      <c r="AS11279" s="20"/>
    </row>
    <row r="11280" spans="45:45" ht="14.4">
      <c r="AS11280" s="20"/>
    </row>
    <row r="11281" spans="45:45" ht="14.4">
      <c r="AS11281" s="20"/>
    </row>
    <row r="11282" spans="45:45" ht="14.4">
      <c r="AS11282" s="20"/>
    </row>
    <row r="11283" spans="45:45" ht="14.4">
      <c r="AS11283" s="20"/>
    </row>
    <row r="11284" spans="45:45" ht="14.4">
      <c r="AS11284" s="20"/>
    </row>
    <row r="11285" spans="45:45" ht="14.4">
      <c r="AS11285" s="20"/>
    </row>
    <row r="11286" spans="45:45" ht="14.4">
      <c r="AS11286" s="20"/>
    </row>
    <row r="11287" spans="45:45" ht="14.4">
      <c r="AS11287" s="20"/>
    </row>
    <row r="11288" spans="45:45" ht="14.4">
      <c r="AS11288" s="20"/>
    </row>
    <row r="11289" spans="45:45" ht="14.4">
      <c r="AS11289" s="20"/>
    </row>
    <row r="11290" spans="45:45" ht="14.4">
      <c r="AS11290" s="20"/>
    </row>
    <row r="11291" spans="45:45" ht="14.4">
      <c r="AS11291" s="20"/>
    </row>
    <row r="11292" spans="45:45" ht="14.4">
      <c r="AS11292" s="20"/>
    </row>
    <row r="11293" spans="45:45" ht="14.4">
      <c r="AS11293" s="20"/>
    </row>
    <row r="11294" spans="45:45" ht="14.4">
      <c r="AS11294" s="20"/>
    </row>
    <row r="11295" spans="45:45" ht="14.4">
      <c r="AS11295" s="20"/>
    </row>
    <row r="11296" spans="45:45" ht="14.4">
      <c r="AS11296" s="20"/>
    </row>
    <row r="11297" spans="45:45" ht="14.4">
      <c r="AS11297" s="20"/>
    </row>
    <row r="11298" spans="45:45" ht="14.4">
      <c r="AS11298" s="20"/>
    </row>
    <row r="11299" spans="45:45" ht="14.4">
      <c r="AS11299" s="20"/>
    </row>
    <row r="11300" spans="45:45" ht="14.4">
      <c r="AS11300" s="20"/>
    </row>
    <row r="11301" spans="45:45" ht="14.4">
      <c r="AS11301" s="20"/>
    </row>
    <row r="11302" spans="45:45" ht="14.4">
      <c r="AS11302" s="20"/>
    </row>
    <row r="11303" spans="45:45" ht="14.4">
      <c r="AS11303" s="20"/>
    </row>
    <row r="11304" spans="45:45" ht="14.4">
      <c r="AS11304" s="20"/>
    </row>
    <row r="11305" spans="45:45" ht="14.4">
      <c r="AS11305" s="20"/>
    </row>
    <row r="11306" spans="45:45" ht="14.4">
      <c r="AS11306" s="20"/>
    </row>
    <row r="11307" spans="45:45" ht="14.4">
      <c r="AS11307" s="20"/>
    </row>
    <row r="11308" spans="45:45" ht="14.4">
      <c r="AS11308" s="20"/>
    </row>
    <row r="11309" spans="45:45" ht="14.4">
      <c r="AS11309" s="20"/>
    </row>
    <row r="11310" spans="45:45" ht="14.4">
      <c r="AS11310" s="20"/>
    </row>
    <row r="11311" spans="45:45" ht="14.4">
      <c r="AS11311" s="20"/>
    </row>
    <row r="11312" spans="45:45" ht="14.4">
      <c r="AS11312" s="20"/>
    </row>
    <row r="11313" spans="45:45" ht="14.4">
      <c r="AS11313" s="20"/>
    </row>
    <row r="11314" spans="45:45" ht="14.4">
      <c r="AS11314" s="20"/>
    </row>
    <row r="11315" spans="45:45" ht="14.4">
      <c r="AS11315" s="20"/>
    </row>
    <row r="11316" spans="45:45" ht="14.4">
      <c r="AS11316" s="20"/>
    </row>
    <row r="11317" spans="45:45" ht="14.4">
      <c r="AS11317" s="20"/>
    </row>
    <row r="11318" spans="45:45" ht="14.4">
      <c r="AS11318" s="20"/>
    </row>
    <row r="11319" spans="45:45" ht="14.4">
      <c r="AS11319" s="20"/>
    </row>
    <row r="11320" spans="45:45" ht="14.4">
      <c r="AS11320" s="20"/>
    </row>
    <row r="11321" spans="45:45" ht="14.4">
      <c r="AS11321" s="20"/>
    </row>
    <row r="11322" spans="45:45" ht="14.4">
      <c r="AS11322" s="20"/>
    </row>
    <row r="11323" spans="45:45" ht="14.4">
      <c r="AS11323" s="20"/>
    </row>
    <row r="11324" spans="45:45" ht="14.4">
      <c r="AS11324" s="20"/>
    </row>
    <row r="11325" spans="45:45" ht="14.4">
      <c r="AS11325" s="20"/>
    </row>
    <row r="11326" spans="45:45" ht="14.4">
      <c r="AS11326" s="20"/>
    </row>
    <row r="11327" spans="45:45" ht="14.4">
      <c r="AS11327" s="20"/>
    </row>
    <row r="11328" spans="45:45" ht="14.4">
      <c r="AS11328" s="20"/>
    </row>
    <row r="11329" spans="45:45" ht="14.4">
      <c r="AS11329" s="20"/>
    </row>
    <row r="11330" spans="45:45" ht="14.4">
      <c r="AS11330" s="20"/>
    </row>
    <row r="11331" spans="45:45" ht="14.4">
      <c r="AS11331" s="20"/>
    </row>
    <row r="11332" spans="45:45" ht="14.4">
      <c r="AS11332" s="20"/>
    </row>
    <row r="11333" spans="45:45" ht="14.4">
      <c r="AS11333" s="20"/>
    </row>
    <row r="11334" spans="45:45" ht="14.4">
      <c r="AS11334" s="20"/>
    </row>
    <row r="11335" spans="45:45" ht="14.4">
      <c r="AS11335" s="20"/>
    </row>
    <row r="11336" spans="45:45" ht="14.4">
      <c r="AS11336" s="20"/>
    </row>
    <row r="11337" spans="45:45" ht="14.4">
      <c r="AS11337" s="20"/>
    </row>
    <row r="11338" spans="45:45" ht="14.4">
      <c r="AS11338" s="20"/>
    </row>
    <row r="11339" spans="45:45" ht="14.4">
      <c r="AS11339" s="20"/>
    </row>
    <row r="11340" spans="45:45" ht="14.4">
      <c r="AS11340" s="20"/>
    </row>
    <row r="11341" spans="45:45" ht="14.4">
      <c r="AS11341" s="20"/>
    </row>
    <row r="11342" spans="45:45" ht="14.4">
      <c r="AS11342" s="20"/>
    </row>
    <row r="11343" spans="45:45" ht="14.4">
      <c r="AS11343" s="20"/>
    </row>
    <row r="11344" spans="45:45" ht="14.4">
      <c r="AS11344" s="20"/>
    </row>
    <row r="11345" spans="45:45" ht="14.4">
      <c r="AS11345" s="20"/>
    </row>
    <row r="11346" spans="45:45" ht="14.4">
      <c r="AS11346" s="20"/>
    </row>
    <row r="11347" spans="45:45" ht="14.4">
      <c r="AS11347" s="20"/>
    </row>
    <row r="11348" spans="45:45" ht="14.4">
      <c r="AS11348" s="20"/>
    </row>
    <row r="11349" spans="45:45" ht="14.4">
      <c r="AS11349" s="20"/>
    </row>
    <row r="11350" spans="45:45" ht="14.4">
      <c r="AS11350" s="20"/>
    </row>
    <row r="11351" spans="45:45" ht="14.4">
      <c r="AS11351" s="20"/>
    </row>
    <row r="11352" spans="45:45" ht="14.4">
      <c r="AS11352" s="20"/>
    </row>
    <row r="11353" spans="45:45" ht="14.4">
      <c r="AS11353" s="20"/>
    </row>
    <row r="11354" spans="45:45" ht="14.4">
      <c r="AS11354" s="20"/>
    </row>
    <row r="11355" spans="45:45" ht="14.4">
      <c r="AS11355" s="20"/>
    </row>
    <row r="11356" spans="45:45" ht="14.4">
      <c r="AS11356" s="20"/>
    </row>
    <row r="11357" spans="45:45" ht="14.4">
      <c r="AS11357" s="20"/>
    </row>
    <row r="11358" spans="45:45" ht="14.4">
      <c r="AS11358" s="20"/>
    </row>
    <row r="11359" spans="45:45" ht="14.4">
      <c r="AS11359" s="20"/>
    </row>
    <row r="11360" spans="45:45" ht="14.4">
      <c r="AS11360" s="20"/>
    </row>
    <row r="11361" spans="45:45" ht="14.4">
      <c r="AS11361" s="20"/>
    </row>
    <row r="11362" spans="45:45" ht="14.4">
      <c r="AS11362" s="20"/>
    </row>
    <row r="11363" spans="45:45" ht="14.4">
      <c r="AS11363" s="20"/>
    </row>
    <row r="11364" spans="45:45" ht="14.4">
      <c r="AS11364" s="20"/>
    </row>
    <row r="11365" spans="45:45" ht="14.4">
      <c r="AS11365" s="20"/>
    </row>
    <row r="11366" spans="45:45" ht="14.4">
      <c r="AS11366" s="20"/>
    </row>
    <row r="11367" spans="45:45" ht="14.4">
      <c r="AS11367" s="20"/>
    </row>
    <row r="11368" spans="45:45" ht="14.4">
      <c r="AS11368" s="20"/>
    </row>
    <row r="11369" spans="45:45" ht="14.4">
      <c r="AS11369" s="20"/>
    </row>
    <row r="11370" spans="45:45" ht="14.4">
      <c r="AS11370" s="20"/>
    </row>
    <row r="11371" spans="45:45" ht="14.4">
      <c r="AS11371" s="20"/>
    </row>
    <row r="11372" spans="45:45" ht="14.4">
      <c r="AS11372" s="20"/>
    </row>
    <row r="11373" spans="45:45" ht="14.4">
      <c r="AS11373" s="20"/>
    </row>
    <row r="11374" spans="45:45" ht="14.4">
      <c r="AS11374" s="20"/>
    </row>
    <row r="11375" spans="45:45" ht="14.4">
      <c r="AS11375" s="20"/>
    </row>
    <row r="11376" spans="45:45" ht="14.4">
      <c r="AS11376" s="20"/>
    </row>
    <row r="11377" spans="45:45" ht="14.4">
      <c r="AS11377" s="20"/>
    </row>
    <row r="11378" spans="45:45" ht="14.4">
      <c r="AS11378" s="20"/>
    </row>
    <row r="11379" spans="45:45" ht="14.4">
      <c r="AS11379" s="20"/>
    </row>
    <row r="11380" spans="45:45" ht="14.4">
      <c r="AS11380" s="20"/>
    </row>
    <row r="11381" spans="45:45" ht="14.4">
      <c r="AS11381" s="20"/>
    </row>
    <row r="11382" spans="45:45" ht="14.4">
      <c r="AS11382" s="20"/>
    </row>
    <row r="11383" spans="45:45" ht="14.4">
      <c r="AS11383" s="20"/>
    </row>
    <row r="11384" spans="45:45" ht="14.4">
      <c r="AS11384" s="20"/>
    </row>
    <row r="11385" spans="45:45" ht="14.4">
      <c r="AS11385" s="20"/>
    </row>
    <row r="11386" spans="45:45" ht="14.4">
      <c r="AS11386" s="20"/>
    </row>
    <row r="11387" spans="45:45" ht="14.4">
      <c r="AS11387" s="20"/>
    </row>
    <row r="11388" spans="45:45" ht="14.4">
      <c r="AS11388" s="20"/>
    </row>
    <row r="11389" spans="45:45" ht="14.4">
      <c r="AS11389" s="20"/>
    </row>
    <row r="11390" spans="45:45" ht="14.4">
      <c r="AS11390" s="20"/>
    </row>
    <row r="11391" spans="45:45" ht="14.4">
      <c r="AS11391" s="20"/>
    </row>
    <row r="11392" spans="45:45" ht="14.4">
      <c r="AS11392" s="20"/>
    </row>
    <row r="11393" spans="45:45" ht="14.4">
      <c r="AS11393" s="20"/>
    </row>
    <row r="11394" spans="45:45" ht="14.4">
      <c r="AS11394" s="20"/>
    </row>
    <row r="11395" spans="45:45" ht="14.4">
      <c r="AS11395" s="20"/>
    </row>
    <row r="11396" spans="45:45" ht="14.4">
      <c r="AS11396" s="20"/>
    </row>
    <row r="11397" spans="45:45" ht="14.4">
      <c r="AS11397" s="20"/>
    </row>
    <row r="11398" spans="45:45" ht="14.4">
      <c r="AS11398" s="20"/>
    </row>
    <row r="11399" spans="45:45" ht="14.4">
      <c r="AS11399" s="20"/>
    </row>
    <row r="11400" spans="45:45" ht="14.4">
      <c r="AS11400" s="20"/>
    </row>
    <row r="11401" spans="45:45" ht="14.4">
      <c r="AS11401" s="20"/>
    </row>
    <row r="11402" spans="45:45" ht="14.4">
      <c r="AS11402" s="20"/>
    </row>
    <row r="11403" spans="45:45" ht="14.4">
      <c r="AS11403" s="20"/>
    </row>
    <row r="11404" spans="45:45" ht="14.4">
      <c r="AS11404" s="20"/>
    </row>
    <row r="11405" spans="45:45" ht="14.4">
      <c r="AS11405" s="20"/>
    </row>
    <row r="11406" spans="45:45" ht="14.4">
      <c r="AS11406" s="20"/>
    </row>
    <row r="11407" spans="45:45" ht="14.4">
      <c r="AS11407" s="20"/>
    </row>
    <row r="11408" spans="45:45" ht="14.4">
      <c r="AS11408" s="20"/>
    </row>
    <row r="11409" spans="45:45" ht="14.4">
      <c r="AS11409" s="20"/>
    </row>
    <row r="11410" spans="45:45" ht="14.4">
      <c r="AS11410" s="20"/>
    </row>
    <row r="11411" spans="45:45" ht="14.4">
      <c r="AS11411" s="20"/>
    </row>
    <row r="11412" spans="45:45" ht="14.4">
      <c r="AS11412" s="20"/>
    </row>
    <row r="11413" spans="45:45" ht="14.4">
      <c r="AS11413" s="20"/>
    </row>
    <row r="11414" spans="45:45" ht="14.4">
      <c r="AS11414" s="20"/>
    </row>
    <row r="11415" spans="45:45" ht="14.4">
      <c r="AS11415" s="20"/>
    </row>
    <row r="11416" spans="45:45" ht="14.4">
      <c r="AS11416" s="20"/>
    </row>
    <row r="11417" spans="45:45" ht="14.4">
      <c r="AS11417" s="20"/>
    </row>
    <row r="11418" spans="45:45" ht="14.4">
      <c r="AS11418" s="20"/>
    </row>
    <row r="11419" spans="45:45" ht="14.4">
      <c r="AS11419" s="20"/>
    </row>
    <row r="11420" spans="45:45" ht="14.4">
      <c r="AS11420" s="20"/>
    </row>
    <row r="11421" spans="45:45" ht="14.4">
      <c r="AS11421" s="20"/>
    </row>
    <row r="11422" spans="45:45" ht="14.4">
      <c r="AS11422" s="20"/>
    </row>
    <row r="11423" spans="45:45" ht="14.4">
      <c r="AS11423" s="20"/>
    </row>
    <row r="11424" spans="45:45" ht="14.4">
      <c r="AS11424" s="20"/>
    </row>
    <row r="11425" spans="45:45" ht="14.4">
      <c r="AS11425" s="20"/>
    </row>
    <row r="11426" spans="45:45" ht="14.4">
      <c r="AS11426" s="20"/>
    </row>
    <row r="11427" spans="45:45" ht="14.4">
      <c r="AS11427" s="20"/>
    </row>
    <row r="11428" spans="45:45" ht="14.4">
      <c r="AS11428" s="20"/>
    </row>
    <row r="11429" spans="45:45" ht="14.4">
      <c r="AS11429" s="20"/>
    </row>
    <row r="11430" spans="45:45" ht="14.4">
      <c r="AS11430" s="20"/>
    </row>
    <row r="11431" spans="45:45" ht="14.4">
      <c r="AS11431" s="20"/>
    </row>
    <row r="11432" spans="45:45" ht="14.4">
      <c r="AS11432" s="20"/>
    </row>
    <row r="11433" spans="45:45" ht="14.4">
      <c r="AS11433" s="20"/>
    </row>
    <row r="11434" spans="45:45" ht="14.4">
      <c r="AS11434" s="20"/>
    </row>
    <row r="11435" spans="45:45" ht="14.4">
      <c r="AS11435" s="20"/>
    </row>
    <row r="11436" spans="45:45" ht="14.4">
      <c r="AS11436" s="20"/>
    </row>
    <row r="11437" spans="45:45" ht="14.4">
      <c r="AS11437" s="20"/>
    </row>
    <row r="11438" spans="45:45" ht="14.4">
      <c r="AS11438" s="20"/>
    </row>
    <row r="11439" spans="45:45" ht="14.4">
      <c r="AS11439" s="20"/>
    </row>
    <row r="11440" spans="45:45" ht="14.4">
      <c r="AS11440" s="20"/>
    </row>
    <row r="11441" spans="45:45" ht="14.4">
      <c r="AS11441" s="20"/>
    </row>
    <row r="11442" spans="45:45" ht="14.4">
      <c r="AS11442" s="20"/>
    </row>
    <row r="11443" spans="45:45" ht="14.4">
      <c r="AS11443" s="20"/>
    </row>
    <row r="11444" spans="45:45" ht="14.4">
      <c r="AS11444" s="20"/>
    </row>
    <row r="11445" spans="45:45" ht="14.4">
      <c r="AS11445" s="20"/>
    </row>
    <row r="11446" spans="45:45" ht="14.4">
      <c r="AS11446" s="20"/>
    </row>
    <row r="11447" spans="45:45" ht="14.4">
      <c r="AS11447" s="20"/>
    </row>
    <row r="11448" spans="45:45" ht="14.4">
      <c r="AS11448" s="20"/>
    </row>
    <row r="11449" spans="45:45" ht="14.4">
      <c r="AS11449" s="20"/>
    </row>
    <row r="11450" spans="45:45" ht="14.4">
      <c r="AS11450" s="20"/>
    </row>
    <row r="11451" spans="45:45" ht="14.4">
      <c r="AS11451" s="20"/>
    </row>
    <row r="11452" spans="45:45" ht="14.4">
      <c r="AS11452" s="20"/>
    </row>
    <row r="11453" spans="45:45" ht="14.4">
      <c r="AS11453" s="20"/>
    </row>
    <row r="11454" spans="45:45" ht="14.4">
      <c r="AS11454" s="20"/>
    </row>
    <row r="11455" spans="45:45" ht="14.4">
      <c r="AS11455" s="20"/>
    </row>
    <row r="11456" spans="45:45" ht="14.4">
      <c r="AS11456" s="20"/>
    </row>
    <row r="11457" spans="45:45" ht="14.4">
      <c r="AS11457" s="20"/>
    </row>
    <row r="11458" spans="45:45" ht="14.4">
      <c r="AS11458" s="20"/>
    </row>
    <row r="11459" spans="45:45" ht="14.4">
      <c r="AS11459" s="20"/>
    </row>
    <row r="11460" spans="45:45" ht="14.4">
      <c r="AS11460" s="20"/>
    </row>
    <row r="11461" spans="45:45" ht="14.4">
      <c r="AS11461" s="20"/>
    </row>
    <row r="11462" spans="45:45" ht="14.4">
      <c r="AS11462" s="20"/>
    </row>
    <row r="11463" spans="45:45" ht="14.4">
      <c r="AS11463" s="20"/>
    </row>
    <row r="11464" spans="45:45" ht="14.4">
      <c r="AS11464" s="20"/>
    </row>
    <row r="11465" spans="45:45" ht="14.4">
      <c r="AS11465" s="20"/>
    </row>
    <row r="11466" spans="45:45" ht="14.4">
      <c r="AS11466" s="20"/>
    </row>
    <row r="11467" spans="45:45" ht="14.4">
      <c r="AS11467" s="20"/>
    </row>
    <row r="11468" spans="45:45" ht="14.4">
      <c r="AS11468" s="20"/>
    </row>
    <row r="11469" spans="45:45" ht="14.4">
      <c r="AS11469" s="20"/>
    </row>
    <row r="11470" spans="45:45" ht="14.4">
      <c r="AS11470" s="20"/>
    </row>
    <row r="11471" spans="45:45" ht="14.4">
      <c r="AS11471" s="20"/>
    </row>
    <row r="11472" spans="45:45" ht="14.4">
      <c r="AS11472" s="20"/>
    </row>
    <row r="11473" spans="45:45" ht="14.4">
      <c r="AS11473" s="20"/>
    </row>
    <row r="11474" spans="45:45" ht="14.4">
      <c r="AS11474" s="20"/>
    </row>
    <row r="11475" spans="45:45" ht="14.4">
      <c r="AS11475" s="20"/>
    </row>
    <row r="11476" spans="45:45" ht="14.4">
      <c r="AS11476" s="20"/>
    </row>
    <row r="11477" spans="45:45" ht="14.4">
      <c r="AS11477" s="20"/>
    </row>
    <row r="11478" spans="45:45" ht="14.4">
      <c r="AS11478" s="20"/>
    </row>
    <row r="11479" spans="45:45" ht="14.4">
      <c r="AS11479" s="20"/>
    </row>
    <row r="11480" spans="45:45" ht="14.4">
      <c r="AS11480" s="20"/>
    </row>
    <row r="11481" spans="45:45" ht="14.4">
      <c r="AS11481" s="20"/>
    </row>
    <row r="11482" spans="45:45" ht="14.4">
      <c r="AS11482" s="20"/>
    </row>
    <row r="11483" spans="45:45" ht="14.4">
      <c r="AS11483" s="20"/>
    </row>
    <row r="11484" spans="45:45" ht="14.4">
      <c r="AS11484" s="20"/>
    </row>
    <row r="11485" spans="45:45" ht="14.4">
      <c r="AS11485" s="20"/>
    </row>
    <row r="11486" spans="45:45" ht="14.4">
      <c r="AS11486" s="20"/>
    </row>
    <row r="11487" spans="45:45" ht="14.4">
      <c r="AS11487" s="20"/>
    </row>
    <row r="11488" spans="45:45" ht="14.4">
      <c r="AS11488" s="20"/>
    </row>
    <row r="11489" spans="45:45" ht="14.4">
      <c r="AS11489" s="20"/>
    </row>
    <row r="11490" spans="45:45" ht="14.4">
      <c r="AS11490" s="20"/>
    </row>
    <row r="11491" spans="45:45" ht="14.4">
      <c r="AS11491" s="20"/>
    </row>
    <row r="11492" spans="45:45" ht="14.4">
      <c r="AS11492" s="20"/>
    </row>
    <row r="11493" spans="45:45" ht="14.4">
      <c r="AS11493" s="20"/>
    </row>
    <row r="11494" spans="45:45" ht="14.4">
      <c r="AS11494" s="20"/>
    </row>
    <row r="11495" spans="45:45" ht="14.4">
      <c r="AS11495" s="20"/>
    </row>
    <row r="11496" spans="45:45" ht="14.4">
      <c r="AS11496" s="20"/>
    </row>
    <row r="11497" spans="45:45" ht="14.4">
      <c r="AS11497" s="20"/>
    </row>
    <row r="11498" spans="45:45" ht="14.4">
      <c r="AS11498" s="20"/>
    </row>
    <row r="11499" spans="45:45" ht="14.4">
      <c r="AS11499" s="20"/>
    </row>
    <row r="11500" spans="45:45" ht="14.4">
      <c r="AS11500" s="20"/>
    </row>
    <row r="11501" spans="45:45" ht="14.4">
      <c r="AS11501" s="20"/>
    </row>
    <row r="11502" spans="45:45" ht="14.4">
      <c r="AS11502" s="20"/>
    </row>
    <row r="11503" spans="45:45" ht="14.4">
      <c r="AS11503" s="20"/>
    </row>
    <row r="11504" spans="45:45" ht="14.4">
      <c r="AS11504" s="20"/>
    </row>
    <row r="11505" spans="45:45" ht="14.4">
      <c r="AS11505" s="20"/>
    </row>
    <row r="11506" spans="45:45" ht="14.4">
      <c r="AS11506" s="20"/>
    </row>
    <row r="11507" spans="45:45" ht="14.4">
      <c r="AS11507" s="20"/>
    </row>
    <row r="11508" spans="45:45" ht="14.4">
      <c r="AS11508" s="20"/>
    </row>
    <row r="11509" spans="45:45" ht="14.4">
      <c r="AS11509" s="20"/>
    </row>
    <row r="11510" spans="45:45" ht="14.4">
      <c r="AS11510" s="20"/>
    </row>
    <row r="11511" spans="45:45" ht="14.4">
      <c r="AS11511" s="20"/>
    </row>
    <row r="11512" spans="45:45" ht="14.4">
      <c r="AS11512" s="20"/>
    </row>
    <row r="11513" spans="45:45" ht="14.4">
      <c r="AS11513" s="20"/>
    </row>
    <row r="11514" spans="45:45" ht="14.4">
      <c r="AS11514" s="20"/>
    </row>
    <row r="11515" spans="45:45" ht="14.4">
      <c r="AS11515" s="20"/>
    </row>
    <row r="11516" spans="45:45" ht="14.4">
      <c r="AS11516" s="20"/>
    </row>
    <row r="11517" spans="45:45" ht="14.4">
      <c r="AS11517" s="20"/>
    </row>
    <row r="11518" spans="45:45" ht="14.4">
      <c r="AS11518" s="20"/>
    </row>
    <row r="11519" spans="45:45" ht="14.4">
      <c r="AS11519" s="20"/>
    </row>
    <row r="11520" spans="45:45" ht="14.4">
      <c r="AS11520" s="20"/>
    </row>
    <row r="11521" spans="45:45" ht="14.4">
      <c r="AS11521" s="20"/>
    </row>
    <row r="11522" spans="45:45" ht="14.4">
      <c r="AS11522" s="20"/>
    </row>
    <row r="11523" spans="45:45" ht="14.4">
      <c r="AS11523" s="20"/>
    </row>
    <row r="11524" spans="45:45" ht="14.4">
      <c r="AS11524" s="20"/>
    </row>
    <row r="11525" spans="45:45" ht="14.4">
      <c r="AS11525" s="20"/>
    </row>
    <row r="11526" spans="45:45" ht="14.4">
      <c r="AS11526" s="20"/>
    </row>
    <row r="11527" spans="45:45" ht="14.4">
      <c r="AS11527" s="20"/>
    </row>
    <row r="11528" spans="45:45" ht="14.4">
      <c r="AS11528" s="20"/>
    </row>
    <row r="11529" spans="45:45" ht="14.4">
      <c r="AS11529" s="20"/>
    </row>
    <row r="11530" spans="45:45" ht="14.4">
      <c r="AS11530" s="20"/>
    </row>
    <row r="11531" spans="45:45" ht="14.4">
      <c r="AS11531" s="20"/>
    </row>
    <row r="11532" spans="45:45" ht="14.4">
      <c r="AS11532" s="20"/>
    </row>
    <row r="11533" spans="45:45" ht="14.4">
      <c r="AS11533" s="20"/>
    </row>
    <row r="11534" spans="45:45" ht="14.4">
      <c r="AS11534" s="20"/>
    </row>
    <row r="11535" spans="45:45" ht="14.4">
      <c r="AS11535" s="20"/>
    </row>
    <row r="11536" spans="45:45" ht="14.4">
      <c r="AS11536" s="20"/>
    </row>
    <row r="11537" spans="45:45" ht="14.4">
      <c r="AS11537" s="20"/>
    </row>
    <row r="11538" spans="45:45" ht="14.4">
      <c r="AS11538" s="20"/>
    </row>
    <row r="11539" spans="45:45" ht="14.4">
      <c r="AS11539" s="20"/>
    </row>
    <row r="11540" spans="45:45" ht="14.4">
      <c r="AS11540" s="20"/>
    </row>
    <row r="11541" spans="45:45" ht="14.4">
      <c r="AS11541" s="20"/>
    </row>
    <row r="11542" spans="45:45" ht="14.4">
      <c r="AS11542" s="20"/>
    </row>
    <row r="11543" spans="45:45" ht="14.4">
      <c r="AS11543" s="20"/>
    </row>
    <row r="11544" spans="45:45" ht="14.4">
      <c r="AS11544" s="20"/>
    </row>
    <row r="11545" spans="45:45" ht="14.4">
      <c r="AS11545" s="20"/>
    </row>
    <row r="11546" spans="45:45" ht="14.4">
      <c r="AS11546" s="20"/>
    </row>
    <row r="11547" spans="45:45" ht="14.4">
      <c r="AS11547" s="20"/>
    </row>
    <row r="11548" spans="45:45" ht="14.4">
      <c r="AS11548" s="20"/>
    </row>
    <row r="11549" spans="45:45" ht="14.4">
      <c r="AS11549" s="20"/>
    </row>
    <row r="11550" spans="45:45" ht="14.4">
      <c r="AS11550" s="20"/>
    </row>
    <row r="11551" spans="45:45" ht="14.4">
      <c r="AS11551" s="20"/>
    </row>
    <row r="11552" spans="45:45" ht="14.4">
      <c r="AS11552" s="20"/>
    </row>
    <row r="11553" spans="45:45" ht="14.4">
      <c r="AS11553" s="20"/>
    </row>
    <row r="11554" spans="45:45" ht="14.4">
      <c r="AS11554" s="20"/>
    </row>
    <row r="11555" spans="45:45" ht="14.4">
      <c r="AS11555" s="20"/>
    </row>
    <row r="11556" spans="45:45" ht="14.4">
      <c r="AS11556" s="20"/>
    </row>
    <row r="11557" spans="45:45" ht="14.4">
      <c r="AS11557" s="20"/>
    </row>
    <row r="11558" spans="45:45" ht="14.4">
      <c r="AS11558" s="20"/>
    </row>
    <row r="11559" spans="45:45" ht="14.4">
      <c r="AS11559" s="20"/>
    </row>
    <row r="11560" spans="45:45" ht="14.4">
      <c r="AS11560" s="20"/>
    </row>
    <row r="11561" spans="45:45" ht="14.4">
      <c r="AS11561" s="20"/>
    </row>
    <row r="11562" spans="45:45" ht="14.4">
      <c r="AS11562" s="20"/>
    </row>
    <row r="11563" spans="45:45" ht="14.4">
      <c r="AS11563" s="20"/>
    </row>
    <row r="11564" spans="45:45" ht="14.4">
      <c r="AS11564" s="20"/>
    </row>
    <row r="11565" spans="45:45" ht="14.4">
      <c r="AS11565" s="20"/>
    </row>
    <row r="11566" spans="45:45" ht="14.4">
      <c r="AS11566" s="20"/>
    </row>
    <row r="11567" spans="45:45" ht="14.4">
      <c r="AS11567" s="20"/>
    </row>
    <row r="11568" spans="45:45" ht="14.4">
      <c r="AS11568" s="20"/>
    </row>
    <row r="11569" spans="45:45" ht="14.4">
      <c r="AS11569" s="20"/>
    </row>
    <row r="11570" spans="45:45" ht="14.4">
      <c r="AS11570" s="20"/>
    </row>
    <row r="11571" spans="45:45" ht="14.4">
      <c r="AS11571" s="20"/>
    </row>
    <row r="11572" spans="45:45" ht="14.4">
      <c r="AS11572" s="20"/>
    </row>
    <row r="11573" spans="45:45" ht="14.4">
      <c r="AS11573" s="20"/>
    </row>
    <row r="11574" spans="45:45" ht="14.4">
      <c r="AS11574" s="20"/>
    </row>
    <row r="11575" spans="45:45" ht="14.4">
      <c r="AS11575" s="20"/>
    </row>
    <row r="11576" spans="45:45" ht="14.4">
      <c r="AS11576" s="20"/>
    </row>
    <row r="11577" spans="45:45" ht="14.4">
      <c r="AS11577" s="20"/>
    </row>
    <row r="11578" spans="45:45" ht="14.4">
      <c r="AS11578" s="20"/>
    </row>
    <row r="11579" spans="45:45" ht="14.4">
      <c r="AS11579" s="20"/>
    </row>
    <row r="11580" spans="45:45" ht="14.4">
      <c r="AS11580" s="20"/>
    </row>
    <row r="11581" spans="45:45" ht="14.4">
      <c r="AS11581" s="20"/>
    </row>
    <row r="11582" spans="45:45" ht="14.4">
      <c r="AS11582" s="20"/>
    </row>
    <row r="11583" spans="45:45" ht="14.4">
      <c r="AS11583" s="20"/>
    </row>
    <row r="11584" spans="45:45" ht="14.4">
      <c r="AS11584" s="20"/>
    </row>
    <row r="11585" spans="45:45" ht="14.4">
      <c r="AS11585" s="20"/>
    </row>
    <row r="11586" spans="45:45" ht="14.4">
      <c r="AS11586" s="20"/>
    </row>
    <row r="11587" spans="45:45" ht="14.4">
      <c r="AS11587" s="20"/>
    </row>
    <row r="11588" spans="45:45" ht="14.4">
      <c r="AS11588" s="20"/>
    </row>
    <row r="11589" spans="45:45" ht="14.4">
      <c r="AS11589" s="20"/>
    </row>
    <row r="11590" spans="45:45" ht="14.4">
      <c r="AS11590" s="20"/>
    </row>
    <row r="11591" spans="45:45" ht="14.4">
      <c r="AS11591" s="20"/>
    </row>
    <row r="11592" spans="45:45" ht="14.4">
      <c r="AS11592" s="20"/>
    </row>
    <row r="11593" spans="45:45" ht="14.4">
      <c r="AS11593" s="20"/>
    </row>
    <row r="11594" spans="45:45" ht="14.4">
      <c r="AS11594" s="20"/>
    </row>
    <row r="11595" spans="45:45" ht="14.4">
      <c r="AS11595" s="20"/>
    </row>
    <row r="11596" spans="45:45" ht="14.4">
      <c r="AS11596" s="20"/>
    </row>
    <row r="11597" spans="45:45" ht="14.4">
      <c r="AS11597" s="20"/>
    </row>
    <row r="11598" spans="45:45" ht="14.4">
      <c r="AS11598" s="20"/>
    </row>
    <row r="11599" spans="45:45" ht="14.4">
      <c r="AS11599" s="20"/>
    </row>
    <row r="11600" spans="45:45" ht="14.4">
      <c r="AS11600" s="20"/>
    </row>
    <row r="11601" spans="45:45" ht="14.4">
      <c r="AS11601" s="20"/>
    </row>
    <row r="11602" spans="45:45" ht="14.4">
      <c r="AS11602" s="20"/>
    </row>
    <row r="11603" spans="45:45" ht="14.4">
      <c r="AS11603" s="20"/>
    </row>
    <row r="11604" spans="45:45" ht="14.4">
      <c r="AS11604" s="20"/>
    </row>
    <row r="11605" spans="45:45" ht="14.4">
      <c r="AS11605" s="20"/>
    </row>
    <row r="11606" spans="45:45" ht="14.4">
      <c r="AS11606" s="20"/>
    </row>
    <row r="11607" spans="45:45" ht="14.4">
      <c r="AS11607" s="20"/>
    </row>
    <row r="11608" spans="45:45" ht="14.4">
      <c r="AS11608" s="20"/>
    </row>
    <row r="11609" spans="45:45" ht="14.4">
      <c r="AS11609" s="20"/>
    </row>
    <row r="11610" spans="45:45" ht="14.4">
      <c r="AS11610" s="20"/>
    </row>
    <row r="11611" spans="45:45" ht="14.4">
      <c r="AS11611" s="20"/>
    </row>
    <row r="11612" spans="45:45" ht="14.4">
      <c r="AS11612" s="20"/>
    </row>
    <row r="11613" spans="45:45" ht="14.4">
      <c r="AS11613" s="20"/>
    </row>
    <row r="11614" spans="45:45" ht="14.4">
      <c r="AS11614" s="20"/>
    </row>
    <row r="11615" spans="45:45" ht="14.4">
      <c r="AS11615" s="20"/>
    </row>
    <row r="11616" spans="45:45" ht="14.4">
      <c r="AS11616" s="20"/>
    </row>
    <row r="11617" spans="45:45" ht="14.4">
      <c r="AS11617" s="20"/>
    </row>
    <row r="11618" spans="45:45" ht="14.4">
      <c r="AS11618" s="20"/>
    </row>
    <row r="11619" spans="45:45" ht="14.4">
      <c r="AS11619" s="20"/>
    </row>
    <row r="11620" spans="45:45" ht="14.4">
      <c r="AS11620" s="20"/>
    </row>
    <row r="11621" spans="45:45" ht="14.4">
      <c r="AS11621" s="20"/>
    </row>
    <row r="11622" spans="45:45" ht="14.4">
      <c r="AS11622" s="20"/>
    </row>
    <row r="11623" spans="45:45" ht="14.4">
      <c r="AS11623" s="20"/>
    </row>
    <row r="11624" spans="45:45" ht="14.4">
      <c r="AS11624" s="20"/>
    </row>
    <row r="11625" spans="45:45" ht="14.4">
      <c r="AS11625" s="20"/>
    </row>
    <row r="11626" spans="45:45" ht="14.4">
      <c r="AS11626" s="20"/>
    </row>
    <row r="11627" spans="45:45" ht="14.4">
      <c r="AS11627" s="20"/>
    </row>
    <row r="11628" spans="45:45" ht="14.4">
      <c r="AS11628" s="20"/>
    </row>
    <row r="11629" spans="45:45" ht="14.4">
      <c r="AS11629" s="20"/>
    </row>
    <row r="11630" spans="45:45" ht="14.4">
      <c r="AS11630" s="20"/>
    </row>
    <row r="11631" spans="45:45" ht="14.4">
      <c r="AS11631" s="20"/>
    </row>
    <row r="11632" spans="45:45" ht="14.4">
      <c r="AS11632" s="20"/>
    </row>
    <row r="11633" spans="45:45" ht="14.4">
      <c r="AS11633" s="20"/>
    </row>
    <row r="11634" spans="45:45" ht="14.4">
      <c r="AS11634" s="20"/>
    </row>
    <row r="11635" spans="45:45" ht="14.4">
      <c r="AS11635" s="20"/>
    </row>
    <row r="11636" spans="45:45" ht="14.4">
      <c r="AS11636" s="20"/>
    </row>
    <row r="11637" spans="45:45" ht="14.4">
      <c r="AS11637" s="20"/>
    </row>
    <row r="11638" spans="45:45" ht="14.4">
      <c r="AS11638" s="20"/>
    </row>
    <row r="11639" spans="45:45" ht="14.4">
      <c r="AS11639" s="20"/>
    </row>
    <row r="11640" spans="45:45" ht="14.4">
      <c r="AS11640" s="20"/>
    </row>
    <row r="11641" spans="45:45" ht="14.4">
      <c r="AS11641" s="20"/>
    </row>
    <row r="11642" spans="45:45" ht="14.4">
      <c r="AS11642" s="20"/>
    </row>
    <row r="11643" spans="45:45" ht="14.4">
      <c r="AS11643" s="20"/>
    </row>
    <row r="11644" spans="45:45" ht="14.4">
      <c r="AS11644" s="20"/>
    </row>
    <row r="11645" spans="45:45" ht="14.4">
      <c r="AS11645" s="20"/>
    </row>
    <row r="11646" spans="45:45" ht="14.4">
      <c r="AS11646" s="20"/>
    </row>
    <row r="11647" spans="45:45" ht="14.4">
      <c r="AS11647" s="20"/>
    </row>
    <row r="11648" spans="45:45" ht="14.4">
      <c r="AS11648" s="20"/>
    </row>
    <row r="11649" spans="45:45" ht="14.4">
      <c r="AS11649" s="20"/>
    </row>
    <row r="11650" spans="45:45" ht="14.4">
      <c r="AS11650" s="20"/>
    </row>
    <row r="11651" spans="45:45" ht="14.4">
      <c r="AS11651" s="20"/>
    </row>
    <row r="11652" spans="45:45" ht="14.4">
      <c r="AS11652" s="20"/>
    </row>
    <row r="11653" spans="45:45" ht="14.4">
      <c r="AS11653" s="20"/>
    </row>
    <row r="11654" spans="45:45" ht="14.4">
      <c r="AS11654" s="20"/>
    </row>
    <row r="11655" spans="45:45" ht="14.4">
      <c r="AS11655" s="20"/>
    </row>
    <row r="11656" spans="45:45" ht="14.4">
      <c r="AS11656" s="20"/>
    </row>
    <row r="11657" spans="45:45" ht="14.4">
      <c r="AS11657" s="20"/>
    </row>
    <row r="11658" spans="45:45" ht="14.4">
      <c r="AS11658" s="20"/>
    </row>
    <row r="11659" spans="45:45" ht="14.4">
      <c r="AS11659" s="20"/>
    </row>
    <row r="11660" spans="45:45" ht="14.4">
      <c r="AS11660" s="20"/>
    </row>
    <row r="11661" spans="45:45" ht="14.4">
      <c r="AS11661" s="20"/>
    </row>
    <row r="11662" spans="45:45" ht="14.4">
      <c r="AS11662" s="20"/>
    </row>
    <row r="11663" spans="45:45" ht="14.4">
      <c r="AS11663" s="20"/>
    </row>
    <row r="11664" spans="45:45" ht="14.4">
      <c r="AS11664" s="20"/>
    </row>
    <row r="11665" spans="45:45" ht="14.4">
      <c r="AS11665" s="20"/>
    </row>
    <row r="11666" spans="45:45" ht="14.4">
      <c r="AS11666" s="20"/>
    </row>
    <row r="11667" spans="45:45" ht="14.4">
      <c r="AS11667" s="20"/>
    </row>
    <row r="11668" spans="45:45" ht="14.4">
      <c r="AS11668" s="20"/>
    </row>
    <row r="11669" spans="45:45" ht="14.4">
      <c r="AS11669" s="20"/>
    </row>
    <row r="11670" spans="45:45" ht="14.4">
      <c r="AS11670" s="20"/>
    </row>
    <row r="11671" spans="45:45" ht="14.4">
      <c r="AS11671" s="20"/>
    </row>
    <row r="11672" spans="45:45" ht="14.4">
      <c r="AS11672" s="20"/>
    </row>
    <row r="11673" spans="45:45" ht="14.4">
      <c r="AS11673" s="20"/>
    </row>
    <row r="11674" spans="45:45" ht="14.4">
      <c r="AS11674" s="20"/>
    </row>
    <row r="11675" spans="45:45" ht="14.4">
      <c r="AS11675" s="20"/>
    </row>
    <row r="11676" spans="45:45" ht="14.4">
      <c r="AS11676" s="20"/>
    </row>
    <row r="11677" spans="45:45" ht="14.4">
      <c r="AS11677" s="20"/>
    </row>
    <row r="11678" spans="45:45" ht="14.4">
      <c r="AS11678" s="20"/>
    </row>
    <row r="11679" spans="45:45" ht="14.4">
      <c r="AS11679" s="20"/>
    </row>
    <row r="11680" spans="45:45" ht="14.4">
      <c r="AS11680" s="20"/>
    </row>
    <row r="11681" spans="45:45" ht="14.4">
      <c r="AS11681" s="20"/>
    </row>
    <row r="11682" spans="45:45" ht="14.4">
      <c r="AS11682" s="20"/>
    </row>
    <row r="11683" spans="45:45" ht="14.4">
      <c r="AS11683" s="20"/>
    </row>
    <row r="11684" spans="45:45" ht="14.4">
      <c r="AS11684" s="20"/>
    </row>
    <row r="11685" spans="45:45" ht="14.4">
      <c r="AS11685" s="20"/>
    </row>
    <row r="11686" spans="45:45" ht="14.4">
      <c r="AS11686" s="20"/>
    </row>
    <row r="11687" spans="45:45" ht="14.4">
      <c r="AS11687" s="20"/>
    </row>
    <row r="11688" spans="45:45" ht="14.4">
      <c r="AS11688" s="20"/>
    </row>
    <row r="11689" spans="45:45" ht="14.4">
      <c r="AS11689" s="20"/>
    </row>
    <row r="11690" spans="45:45" ht="14.4">
      <c r="AS11690" s="20"/>
    </row>
    <row r="11691" spans="45:45" ht="14.4">
      <c r="AS11691" s="20"/>
    </row>
    <row r="11692" spans="45:45" ht="14.4">
      <c r="AS11692" s="20"/>
    </row>
    <row r="11693" spans="45:45" ht="14.4">
      <c r="AS11693" s="20"/>
    </row>
    <row r="11694" spans="45:45" ht="14.4">
      <c r="AS11694" s="20"/>
    </row>
    <row r="11695" spans="45:45" ht="14.4">
      <c r="AS11695" s="20"/>
    </row>
    <row r="11696" spans="45:45" ht="14.4">
      <c r="AS11696" s="20"/>
    </row>
    <row r="11697" spans="45:45" ht="14.4">
      <c r="AS11697" s="20"/>
    </row>
    <row r="11698" spans="45:45" ht="14.4">
      <c r="AS11698" s="20"/>
    </row>
    <row r="11699" spans="45:45" ht="14.4">
      <c r="AS11699" s="20"/>
    </row>
    <row r="11700" spans="45:45" ht="14.4">
      <c r="AS11700" s="20"/>
    </row>
    <row r="11701" spans="45:45" ht="14.4">
      <c r="AS11701" s="20"/>
    </row>
    <row r="11702" spans="45:45" ht="14.4">
      <c r="AS11702" s="20"/>
    </row>
    <row r="11703" spans="45:45" ht="14.4">
      <c r="AS11703" s="20"/>
    </row>
    <row r="11704" spans="45:45" ht="14.4">
      <c r="AS11704" s="20"/>
    </row>
    <row r="11705" spans="45:45" ht="14.4">
      <c r="AS11705" s="20"/>
    </row>
    <row r="11706" spans="45:45" ht="14.4">
      <c r="AS11706" s="20"/>
    </row>
    <row r="11707" spans="45:45" ht="14.4">
      <c r="AS11707" s="20"/>
    </row>
    <row r="11708" spans="45:45" ht="14.4">
      <c r="AS11708" s="20"/>
    </row>
    <row r="11709" spans="45:45" ht="14.4">
      <c r="AS11709" s="20"/>
    </row>
    <row r="11710" spans="45:45" ht="14.4">
      <c r="AS11710" s="20"/>
    </row>
    <row r="11711" spans="45:45" ht="14.4">
      <c r="AS11711" s="20"/>
    </row>
    <row r="11712" spans="45:45" ht="14.4">
      <c r="AS11712" s="20"/>
    </row>
    <row r="11713" spans="45:45" ht="14.4">
      <c r="AS11713" s="20"/>
    </row>
    <row r="11714" spans="45:45" ht="14.4">
      <c r="AS11714" s="20"/>
    </row>
    <row r="11715" spans="45:45" ht="14.4">
      <c r="AS11715" s="20"/>
    </row>
    <row r="11716" spans="45:45" ht="14.4">
      <c r="AS11716" s="20"/>
    </row>
    <row r="11717" spans="45:45" ht="14.4">
      <c r="AS11717" s="20"/>
    </row>
    <row r="11718" spans="45:45" ht="14.4">
      <c r="AS11718" s="20"/>
    </row>
    <row r="11719" spans="45:45" ht="14.4">
      <c r="AS11719" s="20"/>
    </row>
    <row r="11720" spans="45:45" ht="14.4">
      <c r="AS11720" s="20"/>
    </row>
    <row r="11721" spans="45:45" ht="14.4">
      <c r="AS11721" s="20"/>
    </row>
    <row r="11722" spans="45:45" ht="14.4">
      <c r="AS11722" s="20"/>
    </row>
    <row r="11723" spans="45:45" ht="14.4">
      <c r="AS11723" s="20"/>
    </row>
    <row r="11724" spans="45:45" ht="14.4">
      <c r="AS11724" s="20"/>
    </row>
    <row r="11725" spans="45:45" ht="14.4">
      <c r="AS11725" s="20"/>
    </row>
    <row r="11726" spans="45:45" ht="14.4">
      <c r="AS11726" s="20"/>
    </row>
    <row r="11727" spans="45:45" ht="14.4">
      <c r="AS11727" s="20"/>
    </row>
    <row r="11728" spans="45:45" ht="14.4">
      <c r="AS11728" s="20"/>
    </row>
    <row r="11729" spans="45:45" ht="14.4">
      <c r="AS11729" s="20"/>
    </row>
    <row r="11730" spans="45:45" ht="14.4">
      <c r="AS11730" s="20"/>
    </row>
    <row r="11731" spans="45:45" ht="14.4">
      <c r="AS11731" s="20"/>
    </row>
    <row r="11732" spans="45:45" ht="14.4">
      <c r="AS11732" s="20"/>
    </row>
    <row r="11733" spans="45:45" ht="14.4">
      <c r="AS11733" s="20"/>
    </row>
    <row r="11734" spans="45:45" ht="14.4">
      <c r="AS11734" s="20"/>
    </row>
    <row r="11735" spans="45:45" ht="14.4">
      <c r="AS11735" s="20"/>
    </row>
    <row r="11736" spans="45:45" ht="14.4">
      <c r="AS11736" s="20"/>
    </row>
    <row r="11737" spans="45:45" ht="14.4">
      <c r="AS11737" s="20"/>
    </row>
    <row r="11738" spans="45:45" ht="14.4">
      <c r="AS11738" s="20"/>
    </row>
    <row r="11739" spans="45:45" ht="14.4">
      <c r="AS11739" s="20"/>
    </row>
    <row r="11740" spans="45:45" ht="14.4">
      <c r="AS11740" s="20"/>
    </row>
    <row r="11741" spans="45:45" ht="14.4">
      <c r="AS11741" s="20"/>
    </row>
    <row r="11742" spans="45:45" ht="14.4">
      <c r="AS11742" s="20"/>
    </row>
    <row r="11743" spans="45:45" ht="14.4">
      <c r="AS11743" s="20"/>
    </row>
    <row r="11744" spans="45:45" ht="14.4">
      <c r="AS11744" s="20"/>
    </row>
    <row r="11745" spans="45:45" ht="14.4">
      <c r="AS11745" s="20"/>
    </row>
    <row r="11746" spans="45:45" ht="14.4">
      <c r="AS11746" s="20"/>
    </row>
    <row r="11747" spans="45:45" ht="14.4">
      <c r="AS11747" s="20"/>
    </row>
    <row r="11748" spans="45:45" ht="14.4">
      <c r="AS11748" s="20"/>
    </row>
    <row r="11749" spans="45:45" ht="14.4">
      <c r="AS11749" s="20"/>
    </row>
    <row r="11750" spans="45:45" ht="14.4">
      <c r="AS11750" s="20"/>
    </row>
    <row r="11751" spans="45:45" ht="14.4">
      <c r="AS11751" s="20"/>
    </row>
    <row r="11752" spans="45:45" ht="14.4">
      <c r="AS11752" s="20"/>
    </row>
    <row r="11753" spans="45:45" ht="14.4">
      <c r="AS11753" s="20"/>
    </row>
    <row r="11754" spans="45:45" ht="14.4">
      <c r="AS11754" s="20"/>
    </row>
    <row r="11755" spans="45:45" ht="14.4">
      <c r="AS11755" s="20"/>
    </row>
    <row r="11756" spans="45:45" ht="14.4">
      <c r="AS11756" s="20"/>
    </row>
    <row r="11757" spans="45:45" ht="14.4">
      <c r="AS11757" s="20"/>
    </row>
    <row r="11758" spans="45:45" ht="14.4">
      <c r="AS11758" s="20"/>
    </row>
    <row r="11759" spans="45:45" ht="14.4">
      <c r="AS11759" s="20"/>
    </row>
    <row r="11760" spans="45:45" ht="14.4">
      <c r="AS11760" s="20"/>
    </row>
    <row r="11761" spans="45:45" ht="14.4">
      <c r="AS11761" s="20"/>
    </row>
    <row r="11762" spans="45:45" ht="14.4">
      <c r="AS11762" s="20"/>
    </row>
    <row r="11763" spans="45:45" ht="14.4">
      <c r="AS11763" s="20"/>
    </row>
    <row r="11764" spans="45:45" ht="14.4">
      <c r="AS11764" s="20"/>
    </row>
    <row r="11765" spans="45:45" ht="14.4">
      <c r="AS11765" s="20"/>
    </row>
    <row r="11766" spans="45:45" ht="14.4">
      <c r="AS11766" s="20"/>
    </row>
    <row r="11767" spans="45:45" ht="14.4">
      <c r="AS11767" s="20"/>
    </row>
    <row r="11768" spans="45:45" ht="14.4">
      <c r="AS11768" s="20"/>
    </row>
    <row r="11769" spans="45:45" ht="14.4">
      <c r="AS11769" s="20"/>
    </row>
    <row r="11770" spans="45:45" ht="14.4">
      <c r="AS11770" s="20"/>
    </row>
    <row r="11771" spans="45:45" ht="14.4">
      <c r="AS11771" s="20"/>
    </row>
    <row r="11772" spans="45:45" ht="14.4">
      <c r="AS11772" s="20"/>
    </row>
    <row r="11773" spans="45:45" ht="14.4">
      <c r="AS11773" s="20"/>
    </row>
    <row r="11774" spans="45:45" ht="14.4">
      <c r="AS11774" s="20"/>
    </row>
    <row r="11775" spans="45:45" ht="14.4">
      <c r="AS11775" s="20"/>
    </row>
    <row r="11776" spans="45:45" ht="14.4">
      <c r="AS11776" s="20"/>
    </row>
    <row r="11777" spans="45:45" ht="14.4">
      <c r="AS11777" s="20"/>
    </row>
    <row r="11778" spans="45:45" ht="14.4">
      <c r="AS11778" s="20"/>
    </row>
    <row r="11779" spans="45:45" ht="14.4">
      <c r="AS11779" s="20"/>
    </row>
    <row r="11780" spans="45:45" ht="14.4">
      <c r="AS11780" s="20"/>
    </row>
    <row r="11781" spans="45:45" ht="14.4">
      <c r="AS11781" s="20"/>
    </row>
    <row r="11782" spans="45:45" ht="14.4">
      <c r="AS11782" s="20"/>
    </row>
    <row r="11783" spans="45:45" ht="14.4">
      <c r="AS11783" s="20"/>
    </row>
    <row r="11784" spans="45:45" ht="14.4">
      <c r="AS11784" s="20"/>
    </row>
    <row r="11785" spans="45:45" ht="14.4">
      <c r="AS11785" s="20"/>
    </row>
    <row r="11786" spans="45:45" ht="14.4">
      <c r="AS11786" s="20"/>
    </row>
    <row r="11787" spans="45:45" ht="14.4">
      <c r="AS11787" s="20"/>
    </row>
    <row r="11788" spans="45:45" ht="14.4">
      <c r="AS11788" s="20"/>
    </row>
    <row r="11789" spans="45:45" ht="14.4">
      <c r="AS11789" s="20"/>
    </row>
    <row r="11790" spans="45:45" ht="14.4">
      <c r="AS11790" s="20"/>
    </row>
    <row r="11791" spans="45:45" ht="14.4">
      <c r="AS11791" s="20"/>
    </row>
    <row r="11792" spans="45:45" ht="14.4">
      <c r="AS11792" s="20"/>
    </row>
    <row r="11793" spans="45:45" ht="14.4">
      <c r="AS11793" s="20"/>
    </row>
    <row r="11794" spans="45:45" ht="14.4">
      <c r="AS11794" s="20"/>
    </row>
    <row r="11795" spans="45:45" ht="14.4">
      <c r="AS11795" s="20"/>
    </row>
    <row r="11796" spans="45:45" ht="14.4">
      <c r="AS11796" s="20"/>
    </row>
    <row r="11797" spans="45:45" ht="14.4">
      <c r="AS11797" s="20"/>
    </row>
    <row r="11798" spans="45:45" ht="14.4">
      <c r="AS11798" s="20"/>
    </row>
    <row r="11799" spans="45:45" ht="14.4">
      <c r="AS11799" s="20"/>
    </row>
    <row r="11800" spans="45:45" ht="14.4">
      <c r="AS11800" s="20"/>
    </row>
    <row r="11801" spans="45:45" ht="14.4">
      <c r="AS11801" s="20"/>
    </row>
    <row r="11802" spans="45:45" ht="14.4">
      <c r="AS11802" s="20"/>
    </row>
    <row r="11803" spans="45:45" ht="14.4">
      <c r="AS11803" s="20"/>
    </row>
    <row r="11804" spans="45:45" ht="14.4">
      <c r="AS11804" s="20"/>
    </row>
    <row r="11805" spans="45:45" ht="14.4">
      <c r="AS11805" s="20"/>
    </row>
    <row r="11806" spans="45:45" ht="14.4">
      <c r="AS11806" s="20"/>
    </row>
    <row r="11807" spans="45:45" ht="14.4">
      <c r="AS11807" s="20"/>
    </row>
    <row r="11808" spans="45:45" ht="14.4">
      <c r="AS11808" s="20"/>
    </row>
    <row r="11809" spans="45:45" ht="14.4">
      <c r="AS11809" s="20"/>
    </row>
    <row r="11810" spans="45:45" ht="14.4">
      <c r="AS11810" s="20"/>
    </row>
    <row r="11811" spans="45:45" ht="14.4">
      <c r="AS11811" s="20"/>
    </row>
    <row r="11812" spans="45:45" ht="14.4">
      <c r="AS11812" s="20"/>
    </row>
    <row r="11813" spans="45:45" ht="14.4">
      <c r="AS11813" s="20"/>
    </row>
    <row r="11814" spans="45:45" ht="14.4">
      <c r="AS11814" s="20"/>
    </row>
    <row r="11815" spans="45:45" ht="14.4">
      <c r="AS11815" s="20"/>
    </row>
    <row r="11816" spans="45:45" ht="14.4">
      <c r="AS11816" s="20"/>
    </row>
    <row r="11817" spans="45:45" ht="14.4">
      <c r="AS11817" s="20"/>
    </row>
    <row r="11818" spans="45:45" ht="14.4">
      <c r="AS11818" s="20"/>
    </row>
    <row r="11819" spans="45:45" ht="14.4">
      <c r="AS11819" s="20"/>
    </row>
    <row r="11820" spans="45:45" ht="14.4">
      <c r="AS11820" s="20"/>
    </row>
    <row r="11821" spans="45:45" ht="14.4">
      <c r="AS11821" s="20"/>
    </row>
    <row r="11822" spans="45:45" ht="14.4">
      <c r="AS11822" s="20"/>
    </row>
    <row r="11823" spans="45:45" ht="14.4">
      <c r="AS11823" s="20"/>
    </row>
    <row r="11824" spans="45:45" ht="14.4">
      <c r="AS11824" s="20"/>
    </row>
    <row r="11825" spans="45:45" ht="14.4">
      <c r="AS11825" s="20"/>
    </row>
    <row r="11826" spans="45:45" ht="14.4">
      <c r="AS11826" s="20"/>
    </row>
    <row r="11827" spans="45:45" ht="14.4">
      <c r="AS11827" s="20"/>
    </row>
    <row r="11828" spans="45:45" ht="14.4">
      <c r="AS11828" s="20"/>
    </row>
    <row r="11829" spans="45:45" ht="14.4">
      <c r="AS11829" s="20"/>
    </row>
    <row r="11830" spans="45:45" ht="14.4">
      <c r="AS11830" s="20"/>
    </row>
    <row r="11831" spans="45:45" ht="14.4">
      <c r="AS11831" s="20"/>
    </row>
    <row r="11832" spans="45:45" ht="14.4">
      <c r="AS11832" s="20"/>
    </row>
    <row r="11833" spans="45:45" ht="14.4">
      <c r="AS11833" s="20"/>
    </row>
    <row r="11834" spans="45:45" ht="14.4">
      <c r="AS11834" s="20"/>
    </row>
    <row r="11835" spans="45:45" ht="14.4">
      <c r="AS11835" s="20"/>
    </row>
    <row r="11836" spans="45:45" ht="14.4">
      <c r="AS11836" s="20"/>
    </row>
    <row r="11837" spans="45:45" ht="14.4">
      <c r="AS11837" s="20"/>
    </row>
    <row r="11838" spans="45:45" ht="14.4">
      <c r="AS11838" s="20"/>
    </row>
    <row r="11839" spans="45:45" ht="14.4">
      <c r="AS11839" s="20"/>
    </row>
    <row r="11840" spans="45:45" ht="14.4">
      <c r="AS11840" s="20"/>
    </row>
    <row r="11841" spans="45:45" ht="14.4">
      <c r="AS11841" s="20"/>
    </row>
    <row r="11842" spans="45:45" ht="14.4">
      <c r="AS11842" s="20"/>
    </row>
    <row r="11843" spans="45:45" ht="14.4">
      <c r="AS11843" s="20"/>
    </row>
    <row r="11844" spans="45:45" ht="14.4">
      <c r="AS11844" s="20"/>
    </row>
    <row r="11845" spans="45:45" ht="14.4">
      <c r="AS11845" s="20"/>
    </row>
    <row r="11846" spans="45:45" ht="14.4">
      <c r="AS11846" s="20"/>
    </row>
    <row r="11847" spans="45:45" ht="14.4">
      <c r="AS11847" s="20"/>
    </row>
    <row r="11848" spans="45:45" ht="14.4">
      <c r="AS11848" s="20"/>
    </row>
    <row r="11849" spans="45:45" ht="14.4">
      <c r="AS11849" s="20"/>
    </row>
    <row r="11850" spans="45:45" ht="14.4">
      <c r="AS11850" s="20"/>
    </row>
    <row r="11851" spans="45:45" ht="14.4">
      <c r="AS11851" s="20"/>
    </row>
    <row r="11852" spans="45:45" ht="14.4">
      <c r="AS11852" s="20"/>
    </row>
    <row r="11853" spans="45:45" ht="14.4">
      <c r="AS11853" s="20"/>
    </row>
    <row r="11854" spans="45:45" ht="14.4">
      <c r="AS11854" s="20"/>
    </row>
    <row r="11855" spans="45:45" ht="14.4">
      <c r="AS11855" s="20"/>
    </row>
    <row r="11856" spans="45:45" ht="14.4">
      <c r="AS11856" s="20"/>
    </row>
    <row r="11857" spans="45:45" ht="14.4">
      <c r="AS11857" s="20"/>
    </row>
    <row r="11858" spans="45:45" ht="14.4">
      <c r="AS11858" s="20"/>
    </row>
    <row r="11859" spans="45:45" ht="14.4">
      <c r="AS11859" s="20"/>
    </row>
    <row r="11860" spans="45:45" ht="14.4">
      <c r="AS11860" s="20"/>
    </row>
    <row r="11861" spans="45:45" ht="14.4">
      <c r="AS11861" s="20"/>
    </row>
    <row r="11862" spans="45:45" ht="14.4">
      <c r="AS11862" s="20"/>
    </row>
    <row r="11863" spans="45:45" ht="14.4">
      <c r="AS11863" s="20"/>
    </row>
    <row r="11864" spans="45:45" ht="14.4">
      <c r="AS11864" s="20"/>
    </row>
    <row r="11865" spans="45:45" ht="14.4">
      <c r="AS11865" s="20"/>
    </row>
    <row r="11866" spans="45:45" ht="14.4">
      <c r="AS11866" s="20"/>
    </row>
    <row r="11867" spans="45:45" ht="14.4">
      <c r="AS11867" s="20"/>
    </row>
    <row r="11868" spans="45:45" ht="14.4">
      <c r="AS11868" s="20"/>
    </row>
    <row r="11869" spans="45:45" ht="14.4">
      <c r="AS11869" s="20"/>
    </row>
    <row r="11870" spans="45:45" ht="14.4">
      <c r="AS11870" s="20"/>
    </row>
    <row r="11871" spans="45:45" ht="14.4">
      <c r="AS11871" s="20"/>
    </row>
    <row r="11872" spans="45:45" ht="14.4">
      <c r="AS11872" s="20"/>
    </row>
    <row r="11873" spans="45:45" ht="14.4">
      <c r="AS11873" s="20"/>
    </row>
    <row r="11874" spans="45:45" ht="14.4">
      <c r="AS11874" s="20"/>
    </row>
    <row r="11875" spans="45:45" ht="14.4">
      <c r="AS11875" s="20"/>
    </row>
    <row r="11876" spans="45:45" ht="14.4">
      <c r="AS11876" s="20"/>
    </row>
    <row r="11877" spans="45:45" ht="14.4">
      <c r="AS11877" s="20"/>
    </row>
    <row r="11878" spans="45:45" ht="14.4">
      <c r="AS11878" s="20"/>
    </row>
    <row r="11879" spans="45:45" ht="14.4">
      <c r="AS11879" s="20"/>
    </row>
    <row r="11880" spans="45:45" ht="14.4">
      <c r="AS11880" s="20"/>
    </row>
    <row r="11881" spans="45:45" ht="14.4">
      <c r="AS11881" s="20"/>
    </row>
    <row r="11882" spans="45:45" ht="14.4">
      <c r="AS11882" s="20"/>
    </row>
    <row r="11883" spans="45:45" ht="14.4">
      <c r="AS11883" s="20"/>
    </row>
    <row r="11884" spans="45:45" ht="14.4">
      <c r="AS11884" s="20"/>
    </row>
    <row r="11885" spans="45:45" ht="14.4">
      <c r="AS11885" s="20"/>
    </row>
    <row r="11886" spans="45:45" ht="14.4">
      <c r="AS11886" s="20"/>
    </row>
    <row r="11887" spans="45:45" ht="14.4">
      <c r="AS11887" s="20"/>
    </row>
    <row r="11888" spans="45:45" ht="14.4">
      <c r="AS11888" s="20"/>
    </row>
    <row r="11889" spans="45:45" ht="14.4">
      <c r="AS11889" s="20"/>
    </row>
    <row r="11890" spans="45:45" ht="14.4">
      <c r="AS11890" s="20"/>
    </row>
    <row r="11891" spans="45:45" ht="14.4">
      <c r="AS11891" s="20"/>
    </row>
    <row r="11892" spans="45:45" ht="14.4">
      <c r="AS11892" s="20"/>
    </row>
    <row r="11893" spans="45:45" ht="14.4">
      <c r="AS11893" s="20"/>
    </row>
    <row r="11894" spans="45:45" ht="14.4">
      <c r="AS11894" s="20"/>
    </row>
    <row r="11895" spans="45:45" ht="14.4">
      <c r="AS11895" s="20"/>
    </row>
    <row r="11896" spans="45:45" ht="14.4">
      <c r="AS11896" s="20"/>
    </row>
    <row r="11897" spans="45:45" ht="14.4">
      <c r="AS11897" s="20"/>
    </row>
    <row r="11898" spans="45:45" ht="14.4">
      <c r="AS11898" s="20"/>
    </row>
    <row r="11899" spans="45:45" ht="14.4">
      <c r="AS11899" s="20"/>
    </row>
    <row r="11900" spans="45:45" ht="14.4">
      <c r="AS11900" s="20"/>
    </row>
    <row r="11901" spans="45:45" ht="14.4">
      <c r="AS11901" s="20"/>
    </row>
    <row r="11902" spans="45:45" ht="14.4">
      <c r="AS11902" s="20"/>
    </row>
    <row r="11903" spans="45:45" ht="14.4">
      <c r="AS11903" s="20"/>
    </row>
    <row r="11904" spans="45:45" ht="14.4">
      <c r="AS11904" s="20"/>
    </row>
    <row r="11905" spans="45:45" ht="14.4">
      <c r="AS11905" s="20"/>
    </row>
    <row r="11906" spans="45:45" ht="14.4">
      <c r="AS11906" s="20"/>
    </row>
    <row r="11907" spans="45:45" ht="14.4">
      <c r="AS11907" s="20"/>
    </row>
    <row r="11908" spans="45:45" ht="14.4">
      <c r="AS11908" s="20"/>
    </row>
    <row r="11909" spans="45:45" ht="14.4">
      <c r="AS11909" s="20"/>
    </row>
    <row r="11910" spans="45:45" ht="14.4">
      <c r="AS11910" s="20"/>
    </row>
    <row r="11911" spans="45:45" ht="14.4">
      <c r="AS11911" s="20"/>
    </row>
    <row r="11912" spans="45:45" ht="14.4">
      <c r="AS11912" s="20"/>
    </row>
    <row r="11913" spans="45:45" ht="14.4">
      <c r="AS11913" s="20"/>
    </row>
    <row r="11914" spans="45:45" ht="14.4">
      <c r="AS11914" s="20"/>
    </row>
    <row r="11915" spans="45:45" ht="14.4">
      <c r="AS11915" s="20"/>
    </row>
    <row r="11916" spans="45:45" ht="14.4">
      <c r="AS11916" s="20"/>
    </row>
    <row r="11917" spans="45:45" ht="14.4">
      <c r="AS11917" s="20"/>
    </row>
    <row r="11918" spans="45:45" ht="14.4">
      <c r="AS11918" s="20"/>
    </row>
    <row r="11919" spans="45:45" ht="14.4">
      <c r="AS11919" s="20"/>
    </row>
    <row r="11920" spans="45:45" ht="14.4">
      <c r="AS11920" s="20"/>
    </row>
    <row r="11921" spans="45:45" ht="14.4">
      <c r="AS11921" s="20"/>
    </row>
    <row r="11922" spans="45:45" ht="14.4">
      <c r="AS11922" s="20"/>
    </row>
    <row r="11923" spans="45:45" ht="14.4">
      <c r="AS11923" s="20"/>
    </row>
    <row r="11924" spans="45:45" ht="14.4">
      <c r="AS11924" s="20"/>
    </row>
    <row r="11925" spans="45:45" ht="14.4">
      <c r="AS11925" s="20"/>
    </row>
    <row r="11926" spans="45:45" ht="14.4">
      <c r="AS11926" s="20"/>
    </row>
    <row r="11927" spans="45:45" ht="14.4">
      <c r="AS11927" s="20"/>
    </row>
    <row r="11928" spans="45:45" ht="14.4">
      <c r="AS11928" s="20"/>
    </row>
    <row r="11929" spans="45:45" ht="14.4">
      <c r="AS11929" s="20"/>
    </row>
    <row r="11930" spans="45:45" ht="14.4">
      <c r="AS11930" s="20"/>
    </row>
    <row r="11931" spans="45:45" ht="14.4">
      <c r="AS11931" s="20"/>
    </row>
    <row r="11932" spans="45:45" ht="14.4">
      <c r="AS11932" s="20"/>
    </row>
    <row r="11933" spans="45:45" ht="14.4">
      <c r="AS11933" s="20"/>
    </row>
    <row r="11934" spans="45:45" ht="14.4">
      <c r="AS11934" s="20"/>
    </row>
    <row r="11935" spans="45:45" ht="14.4">
      <c r="AS11935" s="20"/>
    </row>
    <row r="11936" spans="45:45" ht="14.4">
      <c r="AS11936" s="20"/>
    </row>
    <row r="11937" spans="45:45" ht="14.4">
      <c r="AS11937" s="20"/>
    </row>
    <row r="11938" spans="45:45" ht="14.4">
      <c r="AS11938" s="20"/>
    </row>
    <row r="11939" spans="45:45" ht="14.4">
      <c r="AS11939" s="20"/>
    </row>
    <row r="11940" spans="45:45" ht="14.4">
      <c r="AS11940" s="20"/>
    </row>
    <row r="11941" spans="45:45" ht="14.4">
      <c r="AS11941" s="20"/>
    </row>
    <row r="11942" spans="45:45" ht="14.4">
      <c r="AS11942" s="20"/>
    </row>
    <row r="11943" spans="45:45" ht="14.4">
      <c r="AS11943" s="20"/>
    </row>
    <row r="11944" spans="45:45" ht="14.4">
      <c r="AS11944" s="20"/>
    </row>
    <row r="11945" spans="45:45" ht="14.4">
      <c r="AS11945" s="20"/>
    </row>
    <row r="11946" spans="45:45" ht="14.4">
      <c r="AS11946" s="20"/>
    </row>
    <row r="11947" spans="45:45" ht="14.4">
      <c r="AS11947" s="20"/>
    </row>
    <row r="11948" spans="45:45" ht="14.4">
      <c r="AS11948" s="20"/>
    </row>
    <row r="11949" spans="45:45" ht="14.4">
      <c r="AS11949" s="20"/>
    </row>
    <row r="11950" spans="45:45" ht="14.4">
      <c r="AS11950" s="20"/>
    </row>
    <row r="11951" spans="45:45" ht="14.4">
      <c r="AS11951" s="20"/>
    </row>
    <row r="11952" spans="45:45" ht="14.4">
      <c r="AS11952" s="20"/>
    </row>
    <row r="11953" spans="45:45" ht="14.4">
      <c r="AS11953" s="20"/>
    </row>
    <row r="11954" spans="45:45" ht="14.4">
      <c r="AS11954" s="20"/>
    </row>
    <row r="11955" spans="45:45" ht="14.4">
      <c r="AS11955" s="20"/>
    </row>
    <row r="11956" spans="45:45" ht="14.4">
      <c r="AS11956" s="20"/>
    </row>
    <row r="11957" spans="45:45" ht="14.4">
      <c r="AS11957" s="20"/>
    </row>
    <row r="11958" spans="45:45" ht="14.4">
      <c r="AS11958" s="20"/>
    </row>
    <row r="11959" spans="45:45" ht="14.4">
      <c r="AS11959" s="20"/>
    </row>
    <row r="11960" spans="45:45" ht="14.4">
      <c r="AS11960" s="20"/>
    </row>
    <row r="11961" spans="45:45" ht="14.4">
      <c r="AS11961" s="20"/>
    </row>
    <row r="11962" spans="45:45" ht="14.4">
      <c r="AS11962" s="20"/>
    </row>
    <row r="11963" spans="45:45" ht="14.4">
      <c r="AS11963" s="20"/>
    </row>
    <row r="11964" spans="45:45" ht="14.4">
      <c r="AS11964" s="20"/>
    </row>
    <row r="11965" spans="45:45" ht="14.4">
      <c r="AS11965" s="20"/>
    </row>
    <row r="11966" spans="45:45" ht="14.4">
      <c r="AS11966" s="20"/>
    </row>
    <row r="11967" spans="45:45" ht="14.4">
      <c r="AS11967" s="20"/>
    </row>
    <row r="11968" spans="45:45" ht="14.4">
      <c r="AS11968" s="20"/>
    </row>
    <row r="11969" spans="45:45" ht="14.4">
      <c r="AS11969" s="20"/>
    </row>
    <row r="11970" spans="45:45" ht="14.4">
      <c r="AS11970" s="20"/>
    </row>
    <row r="11971" spans="45:45" ht="14.4">
      <c r="AS11971" s="20"/>
    </row>
    <row r="11972" spans="45:45" ht="14.4">
      <c r="AS11972" s="20"/>
    </row>
    <row r="11973" spans="45:45" ht="14.4">
      <c r="AS11973" s="20"/>
    </row>
    <row r="11974" spans="45:45" ht="14.4">
      <c r="AS11974" s="20"/>
    </row>
    <row r="11975" spans="45:45" ht="14.4">
      <c r="AS11975" s="20"/>
    </row>
    <row r="11976" spans="45:45" ht="14.4">
      <c r="AS11976" s="20"/>
    </row>
    <row r="11977" spans="45:45" ht="14.4">
      <c r="AS11977" s="20"/>
    </row>
    <row r="11978" spans="45:45" ht="14.4">
      <c r="AS11978" s="20"/>
    </row>
    <row r="11979" spans="45:45" ht="14.4">
      <c r="AS11979" s="20"/>
    </row>
    <row r="11980" spans="45:45" ht="14.4">
      <c r="AS11980" s="20"/>
    </row>
    <row r="11981" spans="45:45" ht="14.4">
      <c r="AS11981" s="20"/>
    </row>
    <row r="11982" spans="45:45" ht="14.4">
      <c r="AS11982" s="20"/>
    </row>
    <row r="11983" spans="45:45" ht="14.4">
      <c r="AS11983" s="20"/>
    </row>
    <row r="11984" spans="45:45" ht="14.4">
      <c r="AS11984" s="20"/>
    </row>
    <row r="11985" spans="45:45" ht="14.4">
      <c r="AS11985" s="20"/>
    </row>
    <row r="11986" spans="45:45" ht="14.4">
      <c r="AS11986" s="20"/>
    </row>
    <row r="11987" spans="45:45" ht="14.4">
      <c r="AS11987" s="20"/>
    </row>
    <row r="11988" spans="45:45" ht="14.4">
      <c r="AS11988" s="20"/>
    </row>
    <row r="11989" spans="45:45" ht="14.4">
      <c r="AS11989" s="20"/>
    </row>
    <row r="11990" spans="45:45" ht="14.4">
      <c r="AS11990" s="20"/>
    </row>
    <row r="11991" spans="45:45" ht="14.4">
      <c r="AS11991" s="20"/>
    </row>
    <row r="11992" spans="45:45" ht="14.4">
      <c r="AS11992" s="20"/>
    </row>
    <row r="11993" spans="45:45" ht="14.4">
      <c r="AS11993" s="20"/>
    </row>
    <row r="11994" spans="45:45" ht="14.4">
      <c r="AS11994" s="20"/>
    </row>
    <row r="11995" spans="45:45" ht="14.4">
      <c r="AS11995" s="20"/>
    </row>
    <row r="11996" spans="45:45" ht="14.4">
      <c r="AS11996" s="20"/>
    </row>
    <row r="11997" spans="45:45" ht="14.4">
      <c r="AS11997" s="20"/>
    </row>
    <row r="11998" spans="45:45" ht="14.4">
      <c r="AS11998" s="20"/>
    </row>
    <row r="11999" spans="45:45" ht="14.4">
      <c r="AS11999" s="20"/>
    </row>
    <row r="12000" spans="45:45" ht="14.4">
      <c r="AS12000" s="20"/>
    </row>
    <row r="12001" spans="45:45" ht="14.4">
      <c r="AS12001" s="20"/>
    </row>
    <row r="12002" spans="45:45" ht="14.4">
      <c r="AS12002" s="20"/>
    </row>
    <row r="12003" spans="45:45" ht="14.4">
      <c r="AS12003" s="20"/>
    </row>
    <row r="12004" spans="45:45" ht="14.4">
      <c r="AS12004" s="20"/>
    </row>
    <row r="12005" spans="45:45" ht="14.4">
      <c r="AS12005" s="20"/>
    </row>
    <row r="12006" spans="45:45" ht="14.4">
      <c r="AS12006" s="20"/>
    </row>
    <row r="12007" spans="45:45" ht="14.4">
      <c r="AS12007" s="20"/>
    </row>
    <row r="12008" spans="45:45" ht="14.4">
      <c r="AS12008" s="20"/>
    </row>
    <row r="12009" spans="45:45" ht="14.4">
      <c r="AS12009" s="20"/>
    </row>
    <row r="12010" spans="45:45" ht="14.4">
      <c r="AS12010" s="20"/>
    </row>
    <row r="12011" spans="45:45" ht="14.4">
      <c r="AS12011" s="20"/>
    </row>
    <row r="12012" spans="45:45" ht="14.4">
      <c r="AS12012" s="20"/>
    </row>
    <row r="12013" spans="45:45" ht="14.4">
      <c r="AS12013" s="20"/>
    </row>
    <row r="12014" spans="45:45" ht="14.4">
      <c r="AS12014" s="20"/>
    </row>
    <row r="12015" spans="45:45" ht="14.4">
      <c r="AS12015" s="20"/>
    </row>
    <row r="12016" spans="45:45" ht="14.4">
      <c r="AS12016" s="20"/>
    </row>
    <row r="12017" spans="45:45" ht="14.4">
      <c r="AS12017" s="20"/>
    </row>
    <row r="12018" spans="45:45" ht="14.4">
      <c r="AS12018" s="20"/>
    </row>
    <row r="12019" spans="45:45" ht="14.4">
      <c r="AS12019" s="20"/>
    </row>
    <row r="12020" spans="45:45" ht="14.4">
      <c r="AS12020" s="20"/>
    </row>
    <row r="12021" spans="45:45" ht="14.4">
      <c r="AS12021" s="20"/>
    </row>
    <row r="12022" spans="45:45" ht="14.4">
      <c r="AS12022" s="20"/>
    </row>
    <row r="12023" spans="45:45" ht="14.4">
      <c r="AS12023" s="20"/>
    </row>
    <row r="12024" spans="45:45" ht="14.4">
      <c r="AS12024" s="20"/>
    </row>
    <row r="12025" spans="45:45" ht="14.4">
      <c r="AS12025" s="20"/>
    </row>
    <row r="12026" spans="45:45" ht="14.4">
      <c r="AS12026" s="20"/>
    </row>
    <row r="12027" spans="45:45" ht="14.4">
      <c r="AS12027" s="20"/>
    </row>
    <row r="12028" spans="45:45" ht="14.4">
      <c r="AS12028" s="20"/>
    </row>
    <row r="12029" spans="45:45" ht="14.4">
      <c r="AS12029" s="20"/>
    </row>
    <row r="12030" spans="45:45" ht="14.4">
      <c r="AS12030" s="20"/>
    </row>
    <row r="12031" spans="45:45" ht="14.4">
      <c r="AS12031" s="20"/>
    </row>
    <row r="12032" spans="45:45" ht="14.4">
      <c r="AS12032" s="20"/>
    </row>
    <row r="12033" spans="45:45" ht="14.4">
      <c r="AS12033" s="20"/>
    </row>
    <row r="12034" spans="45:45" ht="14.4">
      <c r="AS12034" s="20"/>
    </row>
    <row r="12035" spans="45:45" ht="14.4">
      <c r="AS12035" s="20"/>
    </row>
    <row r="12036" spans="45:45" ht="14.4">
      <c r="AS12036" s="20"/>
    </row>
    <row r="12037" spans="45:45" ht="14.4">
      <c r="AS12037" s="20"/>
    </row>
    <row r="12038" spans="45:45" ht="14.4">
      <c r="AS12038" s="20"/>
    </row>
    <row r="12039" spans="45:45" ht="14.4">
      <c r="AS12039" s="20"/>
    </row>
    <row r="12040" spans="45:45" ht="14.4">
      <c r="AS12040" s="20"/>
    </row>
    <row r="12041" spans="45:45" ht="14.4">
      <c r="AS12041" s="20"/>
    </row>
    <row r="12042" spans="45:45" ht="14.4">
      <c r="AS12042" s="20"/>
    </row>
    <row r="12043" spans="45:45" ht="14.4">
      <c r="AS12043" s="20"/>
    </row>
    <row r="12044" spans="45:45" ht="14.4">
      <c r="AS12044" s="20"/>
    </row>
    <row r="12045" spans="45:45" ht="14.4">
      <c r="AS12045" s="20"/>
    </row>
    <row r="12046" spans="45:45" ht="14.4">
      <c r="AS12046" s="20"/>
    </row>
    <row r="12047" spans="45:45" ht="14.4">
      <c r="AS12047" s="20"/>
    </row>
    <row r="12048" spans="45:45" ht="14.4">
      <c r="AS12048" s="20"/>
    </row>
    <row r="12049" spans="45:45" ht="14.4">
      <c r="AS12049" s="20"/>
    </row>
    <row r="12050" spans="45:45" ht="14.4">
      <c r="AS12050" s="20"/>
    </row>
    <row r="12051" spans="45:45" ht="14.4">
      <c r="AS12051" s="20"/>
    </row>
    <row r="12052" spans="45:45" ht="14.4">
      <c r="AS12052" s="20"/>
    </row>
    <row r="12053" spans="45:45" ht="14.4">
      <c r="AS12053" s="20"/>
    </row>
    <row r="12054" spans="45:45" ht="14.4">
      <c r="AS12054" s="20"/>
    </row>
    <row r="12055" spans="45:45" ht="14.4">
      <c r="AS12055" s="20"/>
    </row>
    <row r="12056" spans="45:45" ht="14.4">
      <c r="AS12056" s="20"/>
    </row>
    <row r="12057" spans="45:45" ht="14.4">
      <c r="AS12057" s="20"/>
    </row>
    <row r="12058" spans="45:45" ht="14.4">
      <c r="AS12058" s="20"/>
    </row>
    <row r="12059" spans="45:45" ht="14.4">
      <c r="AS12059" s="20"/>
    </row>
    <row r="12060" spans="45:45" ht="14.4">
      <c r="AS12060" s="20"/>
    </row>
    <row r="12061" spans="45:45" ht="14.4">
      <c r="AS12061" s="20"/>
    </row>
    <row r="12062" spans="45:45" ht="14.4">
      <c r="AS12062" s="20"/>
    </row>
    <row r="12063" spans="45:45" ht="14.4">
      <c r="AS12063" s="20"/>
    </row>
    <row r="12064" spans="45:45" ht="14.4">
      <c r="AS12064" s="20"/>
    </row>
    <row r="12065" spans="45:45" ht="14.4">
      <c r="AS12065" s="20"/>
    </row>
    <row r="12066" spans="45:45" ht="14.4">
      <c r="AS12066" s="20"/>
    </row>
    <row r="12067" spans="45:45" ht="14.4">
      <c r="AS12067" s="20"/>
    </row>
    <row r="12068" spans="45:45" ht="14.4">
      <c r="AS12068" s="20"/>
    </row>
    <row r="12069" spans="45:45" ht="14.4">
      <c r="AS12069" s="20"/>
    </row>
    <row r="12070" spans="45:45" ht="14.4">
      <c r="AS12070" s="20"/>
    </row>
    <row r="12071" spans="45:45" ht="14.4">
      <c r="AS12071" s="20"/>
    </row>
    <row r="12072" spans="45:45" ht="14.4">
      <c r="AS12072" s="20"/>
    </row>
    <row r="12073" spans="45:45" ht="14.4">
      <c r="AS12073" s="20"/>
    </row>
    <row r="12074" spans="45:45" ht="14.4">
      <c r="AS12074" s="20"/>
    </row>
    <row r="12075" spans="45:45" ht="14.4">
      <c r="AS12075" s="20"/>
    </row>
    <row r="12076" spans="45:45" ht="14.4">
      <c r="AS12076" s="20"/>
    </row>
    <row r="12077" spans="45:45" ht="14.4">
      <c r="AS12077" s="20"/>
    </row>
    <row r="12078" spans="45:45" ht="14.4">
      <c r="AS12078" s="20"/>
    </row>
    <row r="12079" spans="45:45" ht="14.4">
      <c r="AS12079" s="20"/>
    </row>
    <row r="12080" spans="45:45" ht="14.4">
      <c r="AS12080" s="20"/>
    </row>
    <row r="12081" spans="45:45" ht="14.4">
      <c r="AS12081" s="20"/>
    </row>
    <row r="12082" spans="45:45" ht="14.4">
      <c r="AS12082" s="20"/>
    </row>
    <row r="12083" spans="45:45" ht="14.4">
      <c r="AS12083" s="20"/>
    </row>
    <row r="12084" spans="45:45" ht="14.4">
      <c r="AS12084" s="20"/>
    </row>
    <row r="12085" spans="45:45" ht="14.4">
      <c r="AS12085" s="20"/>
    </row>
    <row r="12086" spans="45:45" ht="14.4">
      <c r="AS12086" s="20"/>
    </row>
    <row r="12087" spans="45:45" ht="14.4">
      <c r="AS12087" s="20"/>
    </row>
    <row r="12088" spans="45:45" ht="14.4">
      <c r="AS12088" s="20"/>
    </row>
    <row r="12089" spans="45:45" ht="14.4">
      <c r="AS12089" s="20"/>
    </row>
    <row r="12090" spans="45:45" ht="14.4">
      <c r="AS12090" s="20"/>
    </row>
    <row r="12091" spans="45:45" ht="14.4">
      <c r="AS12091" s="20"/>
    </row>
    <row r="12092" spans="45:45" ht="14.4">
      <c r="AS12092" s="20"/>
    </row>
    <row r="12093" spans="45:45" ht="14.4">
      <c r="AS12093" s="20"/>
    </row>
    <row r="12094" spans="45:45" ht="14.4">
      <c r="AS12094" s="20"/>
    </row>
    <row r="12095" spans="45:45" ht="14.4">
      <c r="AS12095" s="20"/>
    </row>
    <row r="12096" spans="45:45" ht="14.4">
      <c r="AS12096" s="20"/>
    </row>
    <row r="12097" spans="45:45" ht="14.4">
      <c r="AS12097" s="20"/>
    </row>
    <row r="12098" spans="45:45" ht="14.4">
      <c r="AS12098" s="20"/>
    </row>
    <row r="12099" spans="45:45" ht="14.4">
      <c r="AS12099" s="20"/>
    </row>
    <row r="12100" spans="45:45" ht="14.4">
      <c r="AS12100" s="20"/>
    </row>
    <row r="12101" spans="45:45" ht="14.4">
      <c r="AS12101" s="20"/>
    </row>
    <row r="12102" spans="45:45" ht="14.4">
      <c r="AS12102" s="20"/>
    </row>
    <row r="12103" spans="45:45" ht="14.4">
      <c r="AS12103" s="20"/>
    </row>
    <row r="12104" spans="45:45" ht="14.4">
      <c r="AS12104" s="20"/>
    </row>
    <row r="12105" spans="45:45" ht="14.4">
      <c r="AS12105" s="20"/>
    </row>
    <row r="12106" spans="45:45" ht="14.4">
      <c r="AS12106" s="20"/>
    </row>
    <row r="12107" spans="45:45" ht="14.4">
      <c r="AS12107" s="20"/>
    </row>
    <row r="12108" spans="45:45" ht="14.4">
      <c r="AS12108" s="20"/>
    </row>
    <row r="12109" spans="45:45" ht="14.4">
      <c r="AS12109" s="20"/>
    </row>
    <row r="12110" spans="45:45" ht="14.4">
      <c r="AS12110" s="20"/>
    </row>
    <row r="12111" spans="45:45" ht="14.4">
      <c r="AS12111" s="20"/>
    </row>
    <row r="12112" spans="45:45" ht="14.4">
      <c r="AS12112" s="20"/>
    </row>
    <row r="12113" spans="45:45" ht="14.4">
      <c r="AS12113" s="20"/>
    </row>
    <row r="12114" spans="45:45" ht="14.4">
      <c r="AS12114" s="20"/>
    </row>
    <row r="12115" spans="45:45" ht="14.4">
      <c r="AS12115" s="20"/>
    </row>
    <row r="12116" spans="45:45" ht="14.4">
      <c r="AS12116" s="20"/>
    </row>
    <row r="12117" spans="45:45" ht="14.4">
      <c r="AS12117" s="20"/>
    </row>
    <row r="12118" spans="45:45" ht="14.4">
      <c r="AS12118" s="20"/>
    </row>
    <row r="12119" spans="45:45" ht="14.4">
      <c r="AS12119" s="20"/>
    </row>
    <row r="12120" spans="45:45" ht="14.4">
      <c r="AS12120" s="20"/>
    </row>
    <row r="12121" spans="45:45" ht="14.4">
      <c r="AS12121" s="20"/>
    </row>
    <row r="12122" spans="45:45" ht="14.4">
      <c r="AS12122" s="20"/>
    </row>
    <row r="12123" spans="45:45" ht="14.4">
      <c r="AS12123" s="20"/>
    </row>
    <row r="12124" spans="45:45" ht="14.4">
      <c r="AS12124" s="20"/>
    </row>
    <row r="12125" spans="45:45" ht="14.4">
      <c r="AS12125" s="20"/>
    </row>
    <row r="12126" spans="45:45" ht="14.4">
      <c r="AS12126" s="20"/>
    </row>
    <row r="12127" spans="45:45" ht="14.4">
      <c r="AS12127" s="20"/>
    </row>
    <row r="12128" spans="45:45" ht="14.4">
      <c r="AS12128" s="20"/>
    </row>
    <row r="12129" spans="45:45" ht="14.4">
      <c r="AS12129" s="20"/>
    </row>
    <row r="12130" spans="45:45" ht="14.4">
      <c r="AS12130" s="20"/>
    </row>
    <row r="12131" spans="45:45" ht="14.4">
      <c r="AS12131" s="20"/>
    </row>
    <row r="12132" spans="45:45" ht="14.4">
      <c r="AS12132" s="20"/>
    </row>
    <row r="12133" spans="45:45" ht="14.4">
      <c r="AS12133" s="20"/>
    </row>
    <row r="12134" spans="45:45" ht="14.4">
      <c r="AS12134" s="20"/>
    </row>
    <row r="12135" spans="45:45" ht="14.4">
      <c r="AS12135" s="20"/>
    </row>
    <row r="12136" spans="45:45" ht="14.4">
      <c r="AS12136" s="20"/>
    </row>
    <row r="12137" spans="45:45" ht="14.4">
      <c r="AS12137" s="20"/>
    </row>
    <row r="12138" spans="45:45" ht="14.4">
      <c r="AS12138" s="20"/>
    </row>
    <row r="12139" spans="45:45" ht="14.4">
      <c r="AS12139" s="20"/>
    </row>
    <row r="12140" spans="45:45" ht="14.4">
      <c r="AS12140" s="20"/>
    </row>
    <row r="12141" spans="45:45" ht="14.4">
      <c r="AS12141" s="20"/>
    </row>
    <row r="12142" spans="45:45" ht="14.4">
      <c r="AS12142" s="20"/>
    </row>
    <row r="12143" spans="45:45" ht="14.4">
      <c r="AS12143" s="20"/>
    </row>
    <row r="12144" spans="45:45" ht="14.4">
      <c r="AS12144" s="20"/>
    </row>
    <row r="12145" spans="45:45" ht="14.4">
      <c r="AS12145" s="20"/>
    </row>
    <row r="12146" spans="45:45" ht="14.4">
      <c r="AS12146" s="20"/>
    </row>
    <row r="12147" spans="45:45" ht="14.4">
      <c r="AS12147" s="20"/>
    </row>
    <row r="12148" spans="45:45" ht="14.4">
      <c r="AS12148" s="20"/>
    </row>
    <row r="12149" spans="45:45" ht="14.4">
      <c r="AS12149" s="20"/>
    </row>
    <row r="12150" spans="45:45" ht="14.4">
      <c r="AS12150" s="20"/>
    </row>
    <row r="12151" spans="45:45" ht="14.4">
      <c r="AS12151" s="20"/>
    </row>
    <row r="12152" spans="45:45" ht="14.4">
      <c r="AS12152" s="20"/>
    </row>
    <row r="12153" spans="45:45" ht="14.4">
      <c r="AS12153" s="20"/>
    </row>
    <row r="12154" spans="45:45" ht="14.4">
      <c r="AS12154" s="20"/>
    </row>
    <row r="12155" spans="45:45" ht="14.4">
      <c r="AS12155" s="20"/>
    </row>
    <row r="12156" spans="45:45" ht="14.4">
      <c r="AS12156" s="20"/>
    </row>
    <row r="12157" spans="45:45" ht="14.4">
      <c r="AS12157" s="20"/>
    </row>
    <row r="12158" spans="45:45" ht="14.4">
      <c r="AS12158" s="20"/>
    </row>
    <row r="12159" spans="45:45" ht="14.4">
      <c r="AS12159" s="20"/>
    </row>
    <row r="12160" spans="45:45" ht="14.4">
      <c r="AS12160" s="20"/>
    </row>
    <row r="12161" spans="45:45" ht="14.4">
      <c r="AS12161" s="20"/>
    </row>
    <row r="12162" spans="45:45" ht="14.4">
      <c r="AS12162" s="20"/>
    </row>
    <row r="12163" spans="45:45" ht="14.4">
      <c r="AS12163" s="20"/>
    </row>
    <row r="12164" spans="45:45" ht="14.4">
      <c r="AS12164" s="20"/>
    </row>
    <row r="12165" spans="45:45" ht="14.4">
      <c r="AS12165" s="20"/>
    </row>
    <row r="12166" spans="45:45" ht="14.4">
      <c r="AS12166" s="20"/>
    </row>
    <row r="12167" spans="45:45" ht="14.4">
      <c r="AS12167" s="20"/>
    </row>
    <row r="12168" spans="45:45" ht="14.4">
      <c r="AS12168" s="20"/>
    </row>
    <row r="12169" spans="45:45" ht="14.4">
      <c r="AS12169" s="20"/>
    </row>
    <row r="12170" spans="45:45" ht="14.4">
      <c r="AS12170" s="20"/>
    </row>
    <row r="12171" spans="45:45" ht="14.4">
      <c r="AS12171" s="20"/>
    </row>
    <row r="12172" spans="45:45" ht="14.4">
      <c r="AS12172" s="20"/>
    </row>
    <row r="12173" spans="45:45" ht="14.4">
      <c r="AS12173" s="20"/>
    </row>
    <row r="12174" spans="45:45" ht="14.4">
      <c r="AS12174" s="20"/>
    </row>
    <row r="12175" spans="45:45" ht="14.4">
      <c r="AS12175" s="20"/>
    </row>
    <row r="12176" spans="45:45" ht="14.4">
      <c r="AS12176" s="20"/>
    </row>
    <row r="12177" spans="45:45" ht="14.4">
      <c r="AS12177" s="20"/>
    </row>
    <row r="12178" spans="45:45" ht="14.4">
      <c r="AS12178" s="20"/>
    </row>
    <row r="12179" spans="45:45" ht="14.4">
      <c r="AS12179" s="20"/>
    </row>
    <row r="12180" spans="45:45" ht="14.4">
      <c r="AS12180" s="20"/>
    </row>
    <row r="12181" spans="45:45" ht="14.4">
      <c r="AS12181" s="20"/>
    </row>
    <row r="12182" spans="45:45" ht="14.4">
      <c r="AS12182" s="20"/>
    </row>
    <row r="12183" spans="45:45" ht="14.4">
      <c r="AS12183" s="20"/>
    </row>
    <row r="12184" spans="45:45" ht="14.4">
      <c r="AS12184" s="20"/>
    </row>
    <row r="12185" spans="45:45" ht="14.4">
      <c r="AS12185" s="20"/>
    </row>
    <row r="12186" spans="45:45" ht="14.4">
      <c r="AS12186" s="20"/>
    </row>
    <row r="12187" spans="45:45" ht="14.4">
      <c r="AS12187" s="20"/>
    </row>
    <row r="12188" spans="45:45" ht="14.4">
      <c r="AS12188" s="20"/>
    </row>
    <row r="12189" spans="45:45" ht="14.4">
      <c r="AS12189" s="20"/>
    </row>
    <row r="12190" spans="45:45" ht="14.4">
      <c r="AS12190" s="20"/>
    </row>
    <row r="12191" spans="45:45" ht="14.4">
      <c r="AS12191" s="20"/>
    </row>
    <row r="12192" spans="45:45" ht="14.4">
      <c r="AS12192" s="20"/>
    </row>
    <row r="12193" spans="45:45" ht="14.4">
      <c r="AS12193" s="20"/>
    </row>
    <row r="12194" spans="45:45" ht="14.4">
      <c r="AS12194" s="20"/>
    </row>
    <row r="12195" spans="45:45" ht="14.4">
      <c r="AS12195" s="20"/>
    </row>
    <row r="12196" spans="45:45" ht="14.4">
      <c r="AS12196" s="20"/>
    </row>
    <row r="12197" spans="45:45" ht="14.4">
      <c r="AS12197" s="20"/>
    </row>
    <row r="12198" spans="45:45" ht="14.4">
      <c r="AS12198" s="20"/>
    </row>
    <row r="12199" spans="45:45" ht="14.4">
      <c r="AS12199" s="20"/>
    </row>
    <row r="12200" spans="45:45" ht="14.4">
      <c r="AS12200" s="20"/>
    </row>
    <row r="12201" spans="45:45" ht="14.4">
      <c r="AS12201" s="20"/>
    </row>
    <row r="12202" spans="45:45" ht="14.4">
      <c r="AS12202" s="20"/>
    </row>
    <row r="12203" spans="45:45" ht="14.4">
      <c r="AS12203" s="20"/>
    </row>
    <row r="12204" spans="45:45" ht="14.4">
      <c r="AS12204" s="20"/>
    </row>
    <row r="12205" spans="45:45" ht="14.4">
      <c r="AS12205" s="20"/>
    </row>
    <row r="12206" spans="45:45" ht="14.4">
      <c r="AS12206" s="20"/>
    </row>
    <row r="12207" spans="45:45" ht="14.4">
      <c r="AS12207" s="20"/>
    </row>
    <row r="12208" spans="45:45" ht="14.4">
      <c r="AS12208" s="20"/>
    </row>
    <row r="12209" spans="45:45" ht="14.4">
      <c r="AS12209" s="20"/>
    </row>
    <row r="12210" spans="45:45" ht="14.4">
      <c r="AS12210" s="20"/>
    </row>
    <row r="12211" spans="45:45" ht="14.4">
      <c r="AS12211" s="20"/>
    </row>
    <row r="12212" spans="45:45" ht="14.4">
      <c r="AS12212" s="20"/>
    </row>
    <row r="12213" spans="45:45" ht="14.4">
      <c r="AS12213" s="20"/>
    </row>
    <row r="12214" spans="45:45" ht="14.4">
      <c r="AS12214" s="20"/>
    </row>
    <row r="12215" spans="45:45" ht="14.4">
      <c r="AS12215" s="20"/>
    </row>
    <row r="12216" spans="45:45" ht="14.4">
      <c r="AS12216" s="20"/>
    </row>
    <row r="12217" spans="45:45" ht="14.4">
      <c r="AS12217" s="20"/>
    </row>
    <row r="12218" spans="45:45" ht="14.4">
      <c r="AS12218" s="20"/>
    </row>
    <row r="12219" spans="45:45" ht="14.4">
      <c r="AS12219" s="20"/>
    </row>
    <row r="12220" spans="45:45" ht="14.4">
      <c r="AS12220" s="20"/>
    </row>
    <row r="12221" spans="45:45" ht="14.4">
      <c r="AS12221" s="20"/>
    </row>
    <row r="12222" spans="45:45" ht="14.4">
      <c r="AS12222" s="20"/>
    </row>
    <row r="12223" spans="45:45" ht="14.4">
      <c r="AS12223" s="20"/>
    </row>
    <row r="12224" spans="45:45" ht="14.4">
      <c r="AS12224" s="20"/>
    </row>
    <row r="12225" spans="45:45" ht="14.4">
      <c r="AS12225" s="20"/>
    </row>
    <row r="12226" spans="45:45" ht="14.4">
      <c r="AS12226" s="20"/>
    </row>
    <row r="12227" spans="45:45" ht="14.4">
      <c r="AS12227" s="20"/>
    </row>
    <row r="12228" spans="45:45" ht="14.4">
      <c r="AS12228" s="20"/>
    </row>
    <row r="12229" spans="45:45" ht="14.4">
      <c r="AS12229" s="20"/>
    </row>
    <row r="12230" spans="45:45" ht="14.4">
      <c r="AS12230" s="20"/>
    </row>
    <row r="12231" spans="45:45" ht="14.4">
      <c r="AS12231" s="20"/>
    </row>
    <row r="12232" spans="45:45" ht="14.4">
      <c r="AS12232" s="20"/>
    </row>
    <row r="12233" spans="45:45" ht="14.4">
      <c r="AS12233" s="20"/>
    </row>
    <row r="12234" spans="45:45" ht="14.4">
      <c r="AS12234" s="20"/>
    </row>
    <row r="12235" spans="45:45" ht="14.4">
      <c r="AS12235" s="20"/>
    </row>
    <row r="12236" spans="45:45" ht="14.4">
      <c r="AS12236" s="20"/>
    </row>
    <row r="12237" spans="45:45" ht="14.4">
      <c r="AS12237" s="20"/>
    </row>
    <row r="12238" spans="45:45" ht="14.4">
      <c r="AS12238" s="20"/>
    </row>
    <row r="12239" spans="45:45" ht="14.4">
      <c r="AS12239" s="20"/>
    </row>
    <row r="12240" spans="45:45" ht="14.4">
      <c r="AS12240" s="20"/>
    </row>
    <row r="12241" spans="45:45" ht="14.4">
      <c r="AS12241" s="20"/>
    </row>
    <row r="12242" spans="45:45" ht="14.4">
      <c r="AS12242" s="20"/>
    </row>
    <row r="12243" spans="45:45" ht="14.4">
      <c r="AS12243" s="20"/>
    </row>
    <row r="12244" spans="45:45" ht="14.4">
      <c r="AS12244" s="20"/>
    </row>
    <row r="12245" spans="45:45" ht="14.4">
      <c r="AS12245" s="20"/>
    </row>
    <row r="12246" spans="45:45" ht="14.4">
      <c r="AS12246" s="20"/>
    </row>
    <row r="12247" spans="45:45" ht="14.4">
      <c r="AS12247" s="20"/>
    </row>
    <row r="12248" spans="45:45" ht="14.4">
      <c r="AS12248" s="20"/>
    </row>
    <row r="12249" spans="45:45" ht="14.4">
      <c r="AS12249" s="20"/>
    </row>
    <row r="12250" spans="45:45" ht="14.4">
      <c r="AS12250" s="20"/>
    </row>
    <row r="12251" spans="45:45" ht="14.4">
      <c r="AS12251" s="20"/>
    </row>
    <row r="12252" spans="45:45" ht="14.4">
      <c r="AS12252" s="20"/>
    </row>
    <row r="12253" spans="45:45" ht="14.4">
      <c r="AS12253" s="20"/>
    </row>
    <row r="12254" spans="45:45" ht="14.4">
      <c r="AS12254" s="20"/>
    </row>
    <row r="12255" spans="45:45" ht="14.4">
      <c r="AS12255" s="20"/>
    </row>
    <row r="12256" spans="45:45" ht="14.4">
      <c r="AS12256" s="20"/>
    </row>
    <row r="12257" spans="45:45" ht="14.4">
      <c r="AS12257" s="20"/>
    </row>
    <row r="12258" spans="45:45" ht="14.4">
      <c r="AS12258" s="20"/>
    </row>
    <row r="12259" spans="45:45" ht="14.4">
      <c r="AS12259" s="20"/>
    </row>
    <row r="12260" spans="45:45" ht="14.4">
      <c r="AS12260" s="20"/>
    </row>
    <row r="12261" spans="45:45" ht="14.4">
      <c r="AS12261" s="20"/>
    </row>
    <row r="12262" spans="45:45" ht="14.4">
      <c r="AS12262" s="20"/>
    </row>
    <row r="12263" spans="45:45" ht="14.4">
      <c r="AS12263" s="20"/>
    </row>
    <row r="12264" spans="45:45" ht="14.4">
      <c r="AS12264" s="20"/>
    </row>
    <row r="12265" spans="45:45" ht="14.4">
      <c r="AS12265" s="20"/>
    </row>
    <row r="12266" spans="45:45" ht="14.4">
      <c r="AS12266" s="20"/>
    </row>
    <row r="12267" spans="45:45" ht="14.4">
      <c r="AS12267" s="20"/>
    </row>
    <row r="12268" spans="45:45" ht="14.4">
      <c r="AS12268" s="20"/>
    </row>
    <row r="12269" spans="45:45" ht="14.4">
      <c r="AS12269" s="20"/>
    </row>
    <row r="12270" spans="45:45" ht="14.4">
      <c r="AS12270" s="20"/>
    </row>
    <row r="12271" spans="45:45" ht="14.4">
      <c r="AS12271" s="20"/>
    </row>
    <row r="12272" spans="45:45" ht="14.4">
      <c r="AS12272" s="20"/>
    </row>
    <row r="12273" spans="45:45" ht="14.4">
      <c r="AS12273" s="20"/>
    </row>
    <row r="12274" spans="45:45" ht="14.4">
      <c r="AS12274" s="20"/>
    </row>
    <row r="12275" spans="45:45" ht="14.4">
      <c r="AS12275" s="20"/>
    </row>
    <row r="12276" spans="45:45" ht="14.4">
      <c r="AS12276" s="20"/>
    </row>
    <row r="12277" spans="45:45" ht="14.4">
      <c r="AS12277" s="20"/>
    </row>
    <row r="12278" spans="45:45" ht="14.4">
      <c r="AS12278" s="20"/>
    </row>
    <row r="12279" spans="45:45" ht="14.4">
      <c r="AS12279" s="20"/>
    </row>
    <row r="12280" spans="45:45" ht="14.4">
      <c r="AS12280" s="20"/>
    </row>
    <row r="12281" spans="45:45" ht="14.4">
      <c r="AS12281" s="20"/>
    </row>
    <row r="12282" spans="45:45" ht="14.4">
      <c r="AS12282" s="20"/>
    </row>
    <row r="12283" spans="45:45" ht="14.4">
      <c r="AS12283" s="20"/>
    </row>
    <row r="12284" spans="45:45" ht="14.4">
      <c r="AS12284" s="20"/>
    </row>
    <row r="12285" spans="45:45" ht="14.4">
      <c r="AS12285" s="20"/>
    </row>
    <row r="12286" spans="45:45" ht="14.4">
      <c r="AS12286" s="20"/>
    </row>
    <row r="12287" spans="45:45" ht="14.4">
      <c r="AS12287" s="20"/>
    </row>
    <row r="12288" spans="45:45" ht="14.4">
      <c r="AS12288" s="20"/>
    </row>
    <row r="12289" spans="45:45" ht="14.4">
      <c r="AS12289" s="20"/>
    </row>
    <row r="12290" spans="45:45" ht="14.4">
      <c r="AS12290" s="20"/>
    </row>
    <row r="12291" spans="45:45" ht="14.4">
      <c r="AS12291" s="20"/>
    </row>
    <row r="12292" spans="45:45" ht="14.4">
      <c r="AS12292" s="20"/>
    </row>
    <row r="12293" spans="45:45" ht="14.4">
      <c r="AS12293" s="20"/>
    </row>
    <row r="12294" spans="45:45" ht="14.4">
      <c r="AS12294" s="20"/>
    </row>
    <row r="12295" spans="45:45" ht="14.4">
      <c r="AS12295" s="20"/>
    </row>
    <row r="12296" spans="45:45" ht="14.4">
      <c r="AS12296" s="20"/>
    </row>
    <row r="12297" spans="45:45" ht="14.4">
      <c r="AS12297" s="20"/>
    </row>
    <row r="12298" spans="45:45" ht="14.4">
      <c r="AS12298" s="20"/>
    </row>
    <row r="12299" spans="45:45" ht="14.4">
      <c r="AS12299" s="20"/>
    </row>
    <row r="12300" spans="45:45" ht="14.4">
      <c r="AS12300" s="20"/>
    </row>
    <row r="12301" spans="45:45" ht="14.4">
      <c r="AS12301" s="20"/>
    </row>
    <row r="12302" spans="45:45" ht="14.4">
      <c r="AS12302" s="20"/>
    </row>
    <row r="12303" spans="45:45" ht="14.4">
      <c r="AS12303" s="20"/>
    </row>
    <row r="12304" spans="45:45" ht="14.4">
      <c r="AS12304" s="20"/>
    </row>
    <row r="12305" spans="45:45" ht="14.4">
      <c r="AS12305" s="20"/>
    </row>
    <row r="12306" spans="45:45" ht="14.4">
      <c r="AS12306" s="20"/>
    </row>
    <row r="12307" spans="45:45" ht="14.4">
      <c r="AS12307" s="20"/>
    </row>
    <row r="12308" spans="45:45" ht="14.4">
      <c r="AS12308" s="20"/>
    </row>
    <row r="12309" spans="45:45" ht="14.4">
      <c r="AS12309" s="20"/>
    </row>
    <row r="12310" spans="45:45" ht="14.4">
      <c r="AS12310" s="20"/>
    </row>
    <row r="12311" spans="45:45" ht="14.4">
      <c r="AS12311" s="20"/>
    </row>
    <row r="12312" spans="45:45" ht="14.4">
      <c r="AS12312" s="20"/>
    </row>
    <row r="12313" spans="45:45" ht="14.4">
      <c r="AS12313" s="20"/>
    </row>
    <row r="12314" spans="45:45" ht="14.4">
      <c r="AS12314" s="20"/>
    </row>
    <row r="12315" spans="45:45" ht="14.4">
      <c r="AS12315" s="20"/>
    </row>
    <row r="12316" spans="45:45" ht="14.4">
      <c r="AS12316" s="20"/>
    </row>
    <row r="12317" spans="45:45" ht="14.4">
      <c r="AS12317" s="20"/>
    </row>
    <row r="12318" spans="45:45" ht="14.4">
      <c r="AS12318" s="20"/>
    </row>
    <row r="12319" spans="45:45" ht="14.4">
      <c r="AS12319" s="20"/>
    </row>
    <row r="12320" spans="45:45" ht="14.4">
      <c r="AS12320" s="20"/>
    </row>
    <row r="12321" spans="45:45" ht="14.4">
      <c r="AS12321" s="20"/>
    </row>
    <row r="12322" spans="45:45" ht="14.4">
      <c r="AS12322" s="20"/>
    </row>
    <row r="12323" spans="45:45" ht="14.4">
      <c r="AS12323" s="20"/>
    </row>
    <row r="12324" spans="45:45" ht="14.4">
      <c r="AS12324" s="20"/>
    </row>
    <row r="12325" spans="45:45" ht="14.4">
      <c r="AS12325" s="20"/>
    </row>
    <row r="12326" spans="45:45" ht="14.4">
      <c r="AS12326" s="20"/>
    </row>
    <row r="12327" spans="45:45" ht="14.4">
      <c r="AS12327" s="20"/>
    </row>
    <row r="12328" spans="45:45" ht="14.4">
      <c r="AS12328" s="20"/>
    </row>
    <row r="12329" spans="45:45" ht="14.4">
      <c r="AS12329" s="20"/>
    </row>
    <row r="12330" spans="45:45" ht="14.4">
      <c r="AS12330" s="20"/>
    </row>
    <row r="12331" spans="45:45" ht="14.4">
      <c r="AS12331" s="20"/>
    </row>
    <row r="12332" spans="45:45" ht="14.4">
      <c r="AS12332" s="20"/>
    </row>
    <row r="12333" spans="45:45" ht="14.4">
      <c r="AS12333" s="20"/>
    </row>
    <row r="12334" spans="45:45" ht="14.4">
      <c r="AS12334" s="20"/>
    </row>
    <row r="12335" spans="45:45" ht="14.4">
      <c r="AS12335" s="20"/>
    </row>
    <row r="12336" spans="45:45" ht="14.4">
      <c r="AS12336" s="20"/>
    </row>
    <row r="12337" spans="45:45" ht="14.4">
      <c r="AS12337" s="20"/>
    </row>
    <row r="12338" spans="45:45" ht="14.4">
      <c r="AS12338" s="20"/>
    </row>
    <row r="12339" spans="45:45" ht="14.4">
      <c r="AS12339" s="20"/>
    </row>
    <row r="12340" spans="45:45" ht="14.4">
      <c r="AS12340" s="20"/>
    </row>
    <row r="12341" spans="45:45" ht="14.4">
      <c r="AS12341" s="20"/>
    </row>
    <row r="12342" spans="45:45" ht="14.4">
      <c r="AS12342" s="20"/>
    </row>
    <row r="12343" spans="45:45" ht="14.4">
      <c r="AS12343" s="20"/>
    </row>
    <row r="12344" spans="45:45" ht="14.4">
      <c r="AS12344" s="20"/>
    </row>
    <row r="12345" spans="45:45" ht="14.4">
      <c r="AS12345" s="20"/>
    </row>
    <row r="12346" spans="45:45" ht="14.4">
      <c r="AS12346" s="20"/>
    </row>
    <row r="12347" spans="45:45" ht="14.4">
      <c r="AS12347" s="20"/>
    </row>
    <row r="12348" spans="45:45" ht="14.4">
      <c r="AS12348" s="20"/>
    </row>
    <row r="12349" spans="45:45" ht="14.4">
      <c r="AS12349" s="20"/>
    </row>
    <row r="12350" spans="45:45" ht="14.4">
      <c r="AS12350" s="20"/>
    </row>
    <row r="12351" spans="45:45" ht="14.4">
      <c r="AS12351" s="20"/>
    </row>
    <row r="12352" spans="45:45" ht="14.4">
      <c r="AS12352" s="20"/>
    </row>
    <row r="12353" spans="45:45" ht="14.4">
      <c r="AS12353" s="20"/>
    </row>
    <row r="12354" spans="45:45" ht="14.4">
      <c r="AS12354" s="20"/>
    </row>
    <row r="12355" spans="45:45" ht="14.4">
      <c r="AS12355" s="20"/>
    </row>
    <row r="12356" spans="45:45" ht="14.4">
      <c r="AS12356" s="20"/>
    </row>
    <row r="12357" spans="45:45" ht="14.4">
      <c r="AS12357" s="20"/>
    </row>
    <row r="12358" spans="45:45" ht="14.4">
      <c r="AS12358" s="20"/>
    </row>
    <row r="12359" spans="45:45" ht="14.4">
      <c r="AS12359" s="20"/>
    </row>
    <row r="12360" spans="45:45" ht="14.4">
      <c r="AS12360" s="20"/>
    </row>
    <row r="12361" spans="45:45" ht="14.4">
      <c r="AS12361" s="20"/>
    </row>
    <row r="12362" spans="45:45" ht="14.4">
      <c r="AS12362" s="20"/>
    </row>
    <row r="12363" spans="45:45" ht="14.4">
      <c r="AS12363" s="20"/>
    </row>
    <row r="12364" spans="45:45" ht="14.4">
      <c r="AS12364" s="20"/>
    </row>
    <row r="12365" spans="45:45" ht="14.4">
      <c r="AS12365" s="20"/>
    </row>
    <row r="12366" spans="45:45" ht="14.4">
      <c r="AS12366" s="20"/>
    </row>
    <row r="12367" spans="45:45" ht="14.4">
      <c r="AS12367" s="20"/>
    </row>
    <row r="12368" spans="45:45" ht="14.4">
      <c r="AS12368" s="20"/>
    </row>
    <row r="12369" spans="45:45" ht="14.4">
      <c r="AS12369" s="20"/>
    </row>
    <row r="12370" spans="45:45" ht="14.4">
      <c r="AS12370" s="20"/>
    </row>
    <row r="12371" spans="45:45" ht="14.4">
      <c r="AS12371" s="20"/>
    </row>
    <row r="12372" spans="45:45" ht="14.4">
      <c r="AS12372" s="20"/>
    </row>
    <row r="12373" spans="45:45" ht="14.4">
      <c r="AS12373" s="20"/>
    </row>
    <row r="12374" spans="45:45" ht="14.4">
      <c r="AS12374" s="20"/>
    </row>
    <row r="12375" spans="45:45" ht="14.4">
      <c r="AS12375" s="20"/>
    </row>
    <row r="12376" spans="45:45" ht="14.4">
      <c r="AS12376" s="20"/>
    </row>
    <row r="12377" spans="45:45" ht="14.4">
      <c r="AS12377" s="20"/>
    </row>
    <row r="12378" spans="45:45" ht="14.4">
      <c r="AS12378" s="20"/>
    </row>
    <row r="12379" spans="45:45" ht="14.4">
      <c r="AS12379" s="20"/>
    </row>
    <row r="12380" spans="45:45" ht="14.4">
      <c r="AS12380" s="20"/>
    </row>
    <row r="12381" spans="45:45" ht="14.4">
      <c r="AS12381" s="20"/>
    </row>
    <row r="12382" spans="45:45" ht="14.4">
      <c r="AS12382" s="20"/>
    </row>
    <row r="12383" spans="45:45" ht="14.4">
      <c r="AS12383" s="20"/>
    </row>
    <row r="12384" spans="45:45" ht="14.4">
      <c r="AS12384" s="20"/>
    </row>
    <row r="12385" spans="45:45" ht="14.4">
      <c r="AS12385" s="20"/>
    </row>
    <row r="12386" spans="45:45" ht="14.4">
      <c r="AS12386" s="20"/>
    </row>
    <row r="12387" spans="45:45" ht="14.4">
      <c r="AS12387" s="20"/>
    </row>
    <row r="12388" spans="45:45" ht="14.4">
      <c r="AS12388" s="20"/>
    </row>
    <row r="12389" spans="45:45" ht="14.4">
      <c r="AS12389" s="20"/>
    </row>
    <row r="12390" spans="45:45" ht="14.4">
      <c r="AS12390" s="20"/>
    </row>
    <row r="12391" spans="45:45" ht="14.4">
      <c r="AS12391" s="20"/>
    </row>
    <row r="12392" spans="45:45" ht="14.4">
      <c r="AS12392" s="20"/>
    </row>
    <row r="12393" spans="45:45" ht="14.4">
      <c r="AS12393" s="20"/>
    </row>
    <row r="12394" spans="45:45" ht="14.4">
      <c r="AS12394" s="20"/>
    </row>
    <row r="12395" spans="45:45" ht="14.4">
      <c r="AS12395" s="20"/>
    </row>
    <row r="12396" spans="45:45" ht="14.4">
      <c r="AS12396" s="20"/>
    </row>
    <row r="12397" spans="45:45" ht="14.4">
      <c r="AS12397" s="20"/>
    </row>
    <row r="12398" spans="45:45" ht="14.4">
      <c r="AS12398" s="20"/>
    </row>
    <row r="12399" spans="45:45" ht="14.4">
      <c r="AS12399" s="20"/>
    </row>
    <row r="12400" spans="45:45" ht="14.4">
      <c r="AS12400" s="20"/>
    </row>
    <row r="12401" spans="45:45" ht="14.4">
      <c r="AS12401" s="20"/>
    </row>
    <row r="12402" spans="45:45" ht="14.4">
      <c r="AS12402" s="20"/>
    </row>
    <row r="12403" spans="45:45" ht="14.4">
      <c r="AS12403" s="20"/>
    </row>
    <row r="12404" spans="45:45" ht="14.4">
      <c r="AS12404" s="20"/>
    </row>
    <row r="12405" spans="45:45" ht="14.4">
      <c r="AS12405" s="20"/>
    </row>
    <row r="12406" spans="45:45" ht="14.4">
      <c r="AS12406" s="20"/>
    </row>
    <row r="12407" spans="45:45" ht="14.4">
      <c r="AS12407" s="20"/>
    </row>
    <row r="12408" spans="45:45" ht="14.4">
      <c r="AS12408" s="20"/>
    </row>
    <row r="12409" spans="45:45" ht="14.4">
      <c r="AS12409" s="20"/>
    </row>
    <row r="12410" spans="45:45" ht="14.4">
      <c r="AS12410" s="20"/>
    </row>
    <row r="12411" spans="45:45" ht="14.4">
      <c r="AS12411" s="20"/>
    </row>
    <row r="12412" spans="45:45" ht="14.4">
      <c r="AS12412" s="20"/>
    </row>
    <row r="12413" spans="45:45" ht="14.4">
      <c r="AS12413" s="20"/>
    </row>
    <row r="12414" spans="45:45" ht="14.4">
      <c r="AS12414" s="20"/>
    </row>
    <row r="12415" spans="45:45" ht="14.4">
      <c r="AS12415" s="20"/>
    </row>
    <row r="12416" spans="45:45" ht="14.4">
      <c r="AS12416" s="20"/>
    </row>
    <row r="12417" spans="45:45" ht="14.4">
      <c r="AS12417" s="20"/>
    </row>
    <row r="12418" spans="45:45" ht="14.4">
      <c r="AS12418" s="20"/>
    </row>
    <row r="12419" spans="45:45" ht="14.4">
      <c r="AS12419" s="20"/>
    </row>
    <row r="12420" spans="45:45" ht="14.4">
      <c r="AS12420" s="20"/>
    </row>
    <row r="12421" spans="45:45" ht="14.4">
      <c r="AS12421" s="20"/>
    </row>
    <row r="12422" spans="45:45" ht="14.4">
      <c r="AS12422" s="20"/>
    </row>
    <row r="12423" spans="45:45" ht="14.4">
      <c r="AS12423" s="20"/>
    </row>
    <row r="12424" spans="45:45" ht="14.4">
      <c r="AS12424" s="20"/>
    </row>
    <row r="12425" spans="45:45" ht="14.4">
      <c r="AS12425" s="20"/>
    </row>
    <row r="12426" spans="45:45" ht="14.4">
      <c r="AS12426" s="20"/>
    </row>
    <row r="12427" spans="45:45" ht="14.4">
      <c r="AS12427" s="20"/>
    </row>
    <row r="12428" spans="45:45" ht="14.4">
      <c r="AS12428" s="20"/>
    </row>
    <row r="12429" spans="45:45" ht="14.4">
      <c r="AS12429" s="20"/>
    </row>
    <row r="12430" spans="45:45" ht="14.4">
      <c r="AS12430" s="20"/>
    </row>
    <row r="12431" spans="45:45" ht="14.4">
      <c r="AS12431" s="20"/>
    </row>
    <row r="12432" spans="45:45" ht="14.4">
      <c r="AS12432" s="20"/>
    </row>
    <row r="12433" spans="45:45" ht="14.4">
      <c r="AS12433" s="20"/>
    </row>
    <row r="12434" spans="45:45" ht="14.4">
      <c r="AS12434" s="20"/>
    </row>
    <row r="12435" spans="45:45" ht="14.4">
      <c r="AS12435" s="20"/>
    </row>
    <row r="12436" spans="45:45" ht="14.4">
      <c r="AS12436" s="20"/>
    </row>
    <row r="12437" spans="45:45" ht="14.4">
      <c r="AS12437" s="20"/>
    </row>
    <row r="12438" spans="45:45" ht="14.4">
      <c r="AS12438" s="20"/>
    </row>
    <row r="12439" spans="45:45" ht="14.4">
      <c r="AS12439" s="20"/>
    </row>
    <row r="12440" spans="45:45" ht="14.4">
      <c r="AS12440" s="20"/>
    </row>
    <row r="12441" spans="45:45" ht="14.4">
      <c r="AS12441" s="20"/>
    </row>
    <row r="12442" spans="45:45" ht="14.4">
      <c r="AS12442" s="20"/>
    </row>
    <row r="12443" spans="45:45" ht="14.4">
      <c r="AS12443" s="20"/>
    </row>
    <row r="12444" spans="45:45" ht="14.4">
      <c r="AS12444" s="20"/>
    </row>
    <row r="12445" spans="45:45" ht="14.4">
      <c r="AS12445" s="20"/>
    </row>
    <row r="12446" spans="45:45" ht="14.4">
      <c r="AS12446" s="20"/>
    </row>
    <row r="12447" spans="45:45" ht="14.4">
      <c r="AS12447" s="20"/>
    </row>
    <row r="12448" spans="45:45" ht="14.4">
      <c r="AS12448" s="20"/>
    </row>
    <row r="12449" spans="45:45" ht="14.4">
      <c r="AS12449" s="20"/>
    </row>
    <row r="12450" spans="45:45" ht="14.4">
      <c r="AS12450" s="20"/>
    </row>
    <row r="12451" spans="45:45" ht="14.4">
      <c r="AS12451" s="20"/>
    </row>
    <row r="12452" spans="45:45" ht="14.4">
      <c r="AS12452" s="20"/>
    </row>
    <row r="12453" spans="45:45" ht="14.4">
      <c r="AS12453" s="20"/>
    </row>
    <row r="12454" spans="45:45" ht="14.4">
      <c r="AS12454" s="20"/>
    </row>
    <row r="12455" spans="45:45" ht="14.4">
      <c r="AS12455" s="20"/>
    </row>
    <row r="12456" spans="45:45" ht="14.4">
      <c r="AS12456" s="20"/>
    </row>
    <row r="12457" spans="45:45" ht="14.4">
      <c r="AS12457" s="20"/>
    </row>
    <row r="12458" spans="45:45" ht="14.4">
      <c r="AS12458" s="20"/>
    </row>
    <row r="12459" spans="45:45" ht="14.4">
      <c r="AS12459" s="20"/>
    </row>
    <row r="12460" spans="45:45" ht="14.4">
      <c r="AS12460" s="20"/>
    </row>
    <row r="12461" spans="45:45" ht="14.4">
      <c r="AS12461" s="20"/>
    </row>
    <row r="12462" spans="45:45" ht="14.4">
      <c r="AS12462" s="20"/>
    </row>
    <row r="12463" spans="45:45" ht="14.4">
      <c r="AS12463" s="20"/>
    </row>
    <row r="12464" spans="45:45" ht="14.4">
      <c r="AS12464" s="20"/>
    </row>
    <row r="12465" spans="45:45" ht="14.4">
      <c r="AS12465" s="20"/>
    </row>
    <row r="12466" spans="45:45" ht="14.4">
      <c r="AS12466" s="20"/>
    </row>
    <row r="12467" spans="45:45" ht="14.4">
      <c r="AS12467" s="20"/>
    </row>
    <row r="12468" spans="45:45" ht="14.4">
      <c r="AS12468" s="20"/>
    </row>
    <row r="12469" spans="45:45" ht="14.4">
      <c r="AS12469" s="20"/>
    </row>
    <row r="12470" spans="45:45" ht="14.4">
      <c r="AS12470" s="20"/>
    </row>
    <row r="12471" spans="45:45" ht="14.4">
      <c r="AS12471" s="20"/>
    </row>
    <row r="12472" spans="45:45" ht="14.4">
      <c r="AS12472" s="20"/>
    </row>
    <row r="12473" spans="45:45" ht="14.4">
      <c r="AS12473" s="20"/>
    </row>
    <row r="12474" spans="45:45" ht="14.4">
      <c r="AS12474" s="20"/>
    </row>
    <row r="12475" spans="45:45" ht="14.4">
      <c r="AS12475" s="20"/>
    </row>
    <row r="12476" spans="45:45" ht="14.4">
      <c r="AS12476" s="20"/>
    </row>
    <row r="12477" spans="45:45" ht="14.4">
      <c r="AS12477" s="20"/>
    </row>
    <row r="12478" spans="45:45" ht="14.4">
      <c r="AS12478" s="20"/>
    </row>
    <row r="12479" spans="45:45" ht="14.4">
      <c r="AS12479" s="20"/>
    </row>
    <row r="12480" spans="45:45" ht="14.4">
      <c r="AS12480" s="20"/>
    </row>
    <row r="12481" spans="45:45" ht="14.4">
      <c r="AS12481" s="20"/>
    </row>
    <row r="12482" spans="45:45" ht="14.4">
      <c r="AS12482" s="20"/>
    </row>
    <row r="12483" spans="45:45" ht="14.4">
      <c r="AS12483" s="20"/>
    </row>
    <row r="12484" spans="45:45" ht="14.4">
      <c r="AS12484" s="20"/>
    </row>
    <row r="12485" spans="45:45" ht="14.4">
      <c r="AS12485" s="20"/>
    </row>
    <row r="12486" spans="45:45" ht="14.4">
      <c r="AS12486" s="20"/>
    </row>
    <row r="12487" spans="45:45" ht="14.4">
      <c r="AS12487" s="20"/>
    </row>
    <row r="12488" spans="45:45" ht="14.4">
      <c r="AS12488" s="20"/>
    </row>
    <row r="12489" spans="45:45" ht="14.4">
      <c r="AS12489" s="20"/>
    </row>
    <row r="12490" spans="45:45" ht="14.4">
      <c r="AS12490" s="20"/>
    </row>
    <row r="12491" spans="45:45" ht="14.4">
      <c r="AS12491" s="20"/>
    </row>
    <row r="12492" spans="45:45" ht="14.4">
      <c r="AS12492" s="20"/>
    </row>
    <row r="12493" spans="45:45" ht="14.4">
      <c r="AS12493" s="20"/>
    </row>
    <row r="12494" spans="45:45" ht="14.4">
      <c r="AS12494" s="20"/>
    </row>
    <row r="12495" spans="45:45" ht="14.4">
      <c r="AS12495" s="20"/>
    </row>
    <row r="12496" spans="45:45" ht="14.4">
      <c r="AS12496" s="20"/>
    </row>
    <row r="12497" spans="45:45" ht="14.4">
      <c r="AS12497" s="20"/>
    </row>
    <row r="12498" spans="45:45" ht="14.4">
      <c r="AS12498" s="20"/>
    </row>
    <row r="12499" spans="45:45" ht="14.4">
      <c r="AS12499" s="20"/>
    </row>
    <row r="12500" spans="45:45" ht="14.4">
      <c r="AS12500" s="20"/>
    </row>
    <row r="12501" spans="45:45" ht="14.4">
      <c r="AS12501" s="20"/>
    </row>
    <row r="12502" spans="45:45" ht="14.4">
      <c r="AS12502" s="20"/>
    </row>
    <row r="12503" spans="45:45" ht="14.4">
      <c r="AS12503" s="20"/>
    </row>
    <row r="12504" spans="45:45" ht="14.4">
      <c r="AS12504" s="20"/>
    </row>
    <row r="12505" spans="45:45" ht="14.4">
      <c r="AS12505" s="20"/>
    </row>
    <row r="12506" spans="45:45" ht="14.4">
      <c r="AS12506" s="20"/>
    </row>
    <row r="12507" spans="45:45" ht="14.4">
      <c r="AS12507" s="20"/>
    </row>
    <row r="12508" spans="45:45" ht="14.4">
      <c r="AS12508" s="20"/>
    </row>
    <row r="12509" spans="45:45" ht="14.4">
      <c r="AS12509" s="20"/>
    </row>
    <row r="12510" spans="45:45" ht="14.4">
      <c r="AS12510" s="20"/>
    </row>
    <row r="12511" spans="45:45" ht="14.4">
      <c r="AS12511" s="20"/>
    </row>
    <row r="12512" spans="45:45" ht="14.4">
      <c r="AS12512" s="20"/>
    </row>
    <row r="12513" spans="45:45" ht="14.4">
      <c r="AS12513" s="20"/>
    </row>
    <row r="12514" spans="45:45" ht="14.4">
      <c r="AS12514" s="20"/>
    </row>
    <row r="12515" spans="45:45" ht="14.4">
      <c r="AS12515" s="20"/>
    </row>
    <row r="12516" spans="45:45" ht="14.4">
      <c r="AS12516" s="20"/>
    </row>
    <row r="12517" spans="45:45" ht="14.4">
      <c r="AS12517" s="20"/>
    </row>
    <row r="12518" spans="45:45" ht="14.4">
      <c r="AS12518" s="20"/>
    </row>
    <row r="12519" spans="45:45" ht="14.4">
      <c r="AS12519" s="20"/>
    </row>
    <row r="12520" spans="45:45" ht="14.4">
      <c r="AS12520" s="20"/>
    </row>
    <row r="12521" spans="45:45" ht="14.4">
      <c r="AS12521" s="20"/>
    </row>
    <row r="12522" spans="45:45" ht="14.4">
      <c r="AS12522" s="20"/>
    </row>
    <row r="12523" spans="45:45" ht="14.4">
      <c r="AS12523" s="20"/>
    </row>
    <row r="12524" spans="45:45" ht="14.4">
      <c r="AS12524" s="20"/>
    </row>
    <row r="12525" spans="45:45" ht="14.4">
      <c r="AS12525" s="20"/>
    </row>
    <row r="12526" spans="45:45" ht="14.4">
      <c r="AS12526" s="20"/>
    </row>
    <row r="12527" spans="45:45" ht="14.4">
      <c r="AS12527" s="20"/>
    </row>
    <row r="12528" spans="45:45" ht="14.4">
      <c r="AS12528" s="20"/>
    </row>
    <row r="12529" spans="45:45" ht="14.4">
      <c r="AS12529" s="20"/>
    </row>
    <row r="12530" spans="45:45" ht="14.4">
      <c r="AS12530" s="20"/>
    </row>
    <row r="12531" spans="45:45" ht="14.4">
      <c r="AS12531" s="20"/>
    </row>
    <row r="12532" spans="45:45" ht="14.4">
      <c r="AS12532" s="20"/>
    </row>
    <row r="12533" spans="45:45" ht="14.4">
      <c r="AS12533" s="20"/>
    </row>
    <row r="12534" spans="45:45" ht="14.4">
      <c r="AS12534" s="20"/>
    </row>
    <row r="12535" spans="45:45" ht="14.4">
      <c r="AS12535" s="20"/>
    </row>
    <row r="12536" spans="45:45" ht="14.4">
      <c r="AS12536" s="20"/>
    </row>
    <row r="12537" spans="45:45" ht="14.4">
      <c r="AS12537" s="20"/>
    </row>
    <row r="12538" spans="45:45" ht="14.4">
      <c r="AS12538" s="20"/>
    </row>
    <row r="12539" spans="45:45" ht="14.4">
      <c r="AS12539" s="20"/>
    </row>
    <row r="12540" spans="45:45" ht="14.4">
      <c r="AS12540" s="20"/>
    </row>
    <row r="12541" spans="45:45" ht="14.4">
      <c r="AS12541" s="20"/>
    </row>
    <row r="12542" spans="45:45" ht="14.4">
      <c r="AS12542" s="20"/>
    </row>
    <row r="12543" spans="45:45" ht="14.4">
      <c r="AS12543" s="20"/>
    </row>
    <row r="12544" spans="45:45" ht="14.4">
      <c r="AS12544" s="20"/>
    </row>
    <row r="12545" spans="45:45" ht="14.4">
      <c r="AS12545" s="20"/>
    </row>
    <row r="12546" spans="45:45" ht="14.4">
      <c r="AS12546" s="20"/>
    </row>
    <row r="12547" spans="45:45" ht="14.4">
      <c r="AS12547" s="20"/>
    </row>
    <row r="12548" spans="45:45" ht="14.4">
      <c r="AS12548" s="20"/>
    </row>
    <row r="12549" spans="45:45" ht="14.4">
      <c r="AS12549" s="20"/>
    </row>
    <row r="12550" spans="45:45" ht="14.4">
      <c r="AS12550" s="20"/>
    </row>
    <row r="12551" spans="45:45" ht="14.4">
      <c r="AS12551" s="20"/>
    </row>
    <row r="12552" spans="45:45" ht="14.4">
      <c r="AS12552" s="20"/>
    </row>
    <row r="12553" spans="45:45" ht="14.4">
      <c r="AS12553" s="20"/>
    </row>
    <row r="12554" spans="45:45" ht="14.4">
      <c r="AS12554" s="20"/>
    </row>
    <row r="12555" spans="45:45" ht="14.4">
      <c r="AS12555" s="20"/>
    </row>
    <row r="12556" spans="45:45" ht="14.4">
      <c r="AS12556" s="20"/>
    </row>
    <row r="12557" spans="45:45" ht="14.4">
      <c r="AS12557" s="20"/>
    </row>
    <row r="12558" spans="45:45" ht="14.4">
      <c r="AS12558" s="20"/>
    </row>
    <row r="12559" spans="45:45" ht="14.4">
      <c r="AS12559" s="20"/>
    </row>
    <row r="12560" spans="45:45" ht="14.4">
      <c r="AS12560" s="20"/>
    </row>
    <row r="12561" spans="45:45" ht="14.4">
      <c r="AS12561" s="20"/>
    </row>
    <row r="12562" spans="45:45" ht="14.4">
      <c r="AS12562" s="20"/>
    </row>
    <row r="12563" spans="45:45" ht="14.4">
      <c r="AS12563" s="20"/>
    </row>
    <row r="12564" spans="45:45" ht="14.4">
      <c r="AS12564" s="20"/>
    </row>
    <row r="12565" spans="45:45" ht="14.4">
      <c r="AS12565" s="20"/>
    </row>
    <row r="12566" spans="45:45" ht="14.4">
      <c r="AS12566" s="20"/>
    </row>
    <row r="12567" spans="45:45" ht="14.4">
      <c r="AS12567" s="20"/>
    </row>
    <row r="12568" spans="45:45" ht="14.4">
      <c r="AS12568" s="20"/>
    </row>
    <row r="12569" spans="45:45" ht="14.4">
      <c r="AS12569" s="20"/>
    </row>
    <row r="12570" spans="45:45" ht="14.4">
      <c r="AS12570" s="20"/>
    </row>
    <row r="12571" spans="45:45" ht="14.4">
      <c r="AS12571" s="20"/>
    </row>
    <row r="12572" spans="45:45" ht="14.4">
      <c r="AS12572" s="20"/>
    </row>
    <row r="12573" spans="45:45" ht="14.4">
      <c r="AS12573" s="20"/>
    </row>
    <row r="12574" spans="45:45" ht="14.4">
      <c r="AS12574" s="20"/>
    </row>
    <row r="12575" spans="45:45" ht="14.4">
      <c r="AS12575" s="20"/>
    </row>
    <row r="12576" spans="45:45" ht="14.4">
      <c r="AS12576" s="20"/>
    </row>
    <row r="12577" spans="45:45" ht="14.4">
      <c r="AS12577" s="20"/>
    </row>
    <row r="12578" spans="45:45" ht="14.4">
      <c r="AS12578" s="20"/>
    </row>
    <row r="12579" spans="45:45" ht="14.4">
      <c r="AS12579" s="20"/>
    </row>
    <row r="12580" spans="45:45" ht="14.4">
      <c r="AS12580" s="20"/>
    </row>
    <row r="12581" spans="45:45" ht="14.4">
      <c r="AS12581" s="20"/>
    </row>
    <row r="12582" spans="45:45" ht="14.4">
      <c r="AS12582" s="20"/>
    </row>
    <row r="12583" spans="45:45" ht="14.4">
      <c r="AS12583" s="20"/>
    </row>
    <row r="12584" spans="45:45" ht="14.4">
      <c r="AS12584" s="20"/>
    </row>
    <row r="12585" spans="45:45" ht="14.4">
      <c r="AS12585" s="20"/>
    </row>
    <row r="12586" spans="45:45" ht="14.4">
      <c r="AS12586" s="20"/>
    </row>
    <row r="12587" spans="45:45" ht="14.4">
      <c r="AS12587" s="20"/>
    </row>
    <row r="12588" spans="45:45" ht="14.4">
      <c r="AS12588" s="20"/>
    </row>
    <row r="12589" spans="45:45" ht="14.4">
      <c r="AS12589" s="20"/>
    </row>
    <row r="12590" spans="45:45" ht="14.4">
      <c r="AS12590" s="20"/>
    </row>
    <row r="12591" spans="45:45" ht="14.4">
      <c r="AS12591" s="20"/>
    </row>
    <row r="12592" spans="45:45" ht="14.4">
      <c r="AS12592" s="20"/>
    </row>
    <row r="12593" spans="45:45" ht="14.4">
      <c r="AS12593" s="20"/>
    </row>
    <row r="12594" spans="45:45" ht="14.4">
      <c r="AS12594" s="20"/>
    </row>
    <row r="12595" spans="45:45" ht="14.4">
      <c r="AS12595" s="20"/>
    </row>
    <row r="12596" spans="45:45" ht="14.4">
      <c r="AS12596" s="20"/>
    </row>
    <row r="12597" spans="45:45" ht="14.4">
      <c r="AS12597" s="20"/>
    </row>
    <row r="12598" spans="45:45" ht="14.4">
      <c r="AS12598" s="20"/>
    </row>
    <row r="12599" spans="45:45" ht="14.4">
      <c r="AS12599" s="20"/>
    </row>
    <row r="12600" spans="45:45" ht="14.4">
      <c r="AS12600" s="20"/>
    </row>
    <row r="12601" spans="45:45" ht="14.4">
      <c r="AS12601" s="20"/>
    </row>
    <row r="12602" spans="45:45" ht="14.4">
      <c r="AS12602" s="20"/>
    </row>
    <row r="12603" spans="45:45" ht="14.4">
      <c r="AS12603" s="20"/>
    </row>
    <row r="12604" spans="45:45" ht="14.4">
      <c r="AS12604" s="20"/>
    </row>
    <row r="12605" spans="45:45" ht="14.4">
      <c r="AS12605" s="20"/>
    </row>
    <row r="12606" spans="45:45" ht="14.4">
      <c r="AS12606" s="20"/>
    </row>
    <row r="12607" spans="45:45" ht="14.4">
      <c r="AS12607" s="20"/>
    </row>
    <row r="12608" spans="45:45" ht="14.4">
      <c r="AS12608" s="20"/>
    </row>
    <row r="12609" spans="45:45" ht="14.4">
      <c r="AS12609" s="20"/>
    </row>
    <row r="12610" spans="45:45" ht="14.4">
      <c r="AS12610" s="20"/>
    </row>
    <row r="12611" spans="45:45" ht="14.4">
      <c r="AS12611" s="20"/>
    </row>
    <row r="12612" spans="45:45" ht="14.4">
      <c r="AS12612" s="20"/>
    </row>
    <row r="12613" spans="45:45" ht="14.4">
      <c r="AS12613" s="20"/>
    </row>
    <row r="12614" spans="45:45" ht="14.4">
      <c r="AS12614" s="20"/>
    </row>
    <row r="12615" spans="45:45" ht="14.4">
      <c r="AS12615" s="20"/>
    </row>
    <row r="12616" spans="45:45" ht="14.4">
      <c r="AS12616" s="20"/>
    </row>
    <row r="12617" spans="45:45" ht="14.4">
      <c r="AS12617" s="20"/>
    </row>
    <row r="12618" spans="45:45" ht="14.4">
      <c r="AS12618" s="20"/>
    </row>
    <row r="12619" spans="45:45" ht="14.4">
      <c r="AS12619" s="20"/>
    </row>
    <row r="12620" spans="45:45" ht="14.4">
      <c r="AS12620" s="20"/>
    </row>
    <row r="12621" spans="45:45" ht="14.4">
      <c r="AS12621" s="20"/>
    </row>
    <row r="12622" spans="45:45" ht="14.4">
      <c r="AS12622" s="20"/>
    </row>
    <row r="12623" spans="45:45" ht="14.4">
      <c r="AS12623" s="20"/>
    </row>
    <row r="12624" spans="45:45" ht="14.4">
      <c r="AS12624" s="20"/>
    </row>
    <row r="12625" spans="45:45" ht="14.4">
      <c r="AS12625" s="20"/>
    </row>
    <row r="12626" spans="45:45" ht="14.4">
      <c r="AS12626" s="20"/>
    </row>
    <row r="12627" spans="45:45" ht="14.4">
      <c r="AS12627" s="20"/>
    </row>
    <row r="12628" spans="45:45" ht="14.4">
      <c r="AS12628" s="20"/>
    </row>
    <row r="12629" spans="45:45" ht="14.4">
      <c r="AS12629" s="20"/>
    </row>
    <row r="12630" spans="45:45" ht="14.4">
      <c r="AS12630" s="20"/>
    </row>
    <row r="12631" spans="45:45" ht="14.4">
      <c r="AS12631" s="20"/>
    </row>
    <row r="12632" spans="45:45" ht="14.4">
      <c r="AS12632" s="20"/>
    </row>
    <row r="12633" spans="45:45" ht="14.4">
      <c r="AS12633" s="20"/>
    </row>
    <row r="12634" spans="45:45" ht="14.4">
      <c r="AS12634" s="20"/>
    </row>
    <row r="12635" spans="45:45" ht="14.4">
      <c r="AS12635" s="20"/>
    </row>
    <row r="12636" spans="45:45" ht="14.4">
      <c r="AS12636" s="20"/>
    </row>
    <row r="12637" spans="45:45" ht="14.4">
      <c r="AS12637" s="20"/>
    </row>
    <row r="12638" spans="45:45" ht="14.4">
      <c r="AS12638" s="20"/>
    </row>
    <row r="12639" spans="45:45" ht="14.4">
      <c r="AS12639" s="20"/>
    </row>
    <row r="12640" spans="45:45" ht="14.4">
      <c r="AS12640" s="20"/>
    </row>
    <row r="12641" spans="45:45" ht="14.4">
      <c r="AS12641" s="20"/>
    </row>
    <row r="12642" spans="45:45" ht="14.4">
      <c r="AS12642" s="20"/>
    </row>
    <row r="12643" spans="45:45" ht="14.4">
      <c r="AS12643" s="20"/>
    </row>
    <row r="12644" spans="45:45" ht="14.4">
      <c r="AS12644" s="20"/>
    </row>
    <row r="12645" spans="45:45" ht="14.4">
      <c r="AS12645" s="20"/>
    </row>
    <row r="12646" spans="45:45" ht="14.4">
      <c r="AS12646" s="20"/>
    </row>
    <row r="12647" spans="45:45" ht="14.4">
      <c r="AS12647" s="20"/>
    </row>
    <row r="12648" spans="45:45" ht="14.4">
      <c r="AS12648" s="20"/>
    </row>
    <row r="12649" spans="45:45" ht="14.4">
      <c r="AS12649" s="20"/>
    </row>
    <row r="12650" spans="45:45" ht="14.4">
      <c r="AS12650" s="20"/>
    </row>
    <row r="12651" spans="45:45" ht="14.4">
      <c r="AS12651" s="20"/>
    </row>
    <row r="12652" spans="45:45" ht="14.4">
      <c r="AS12652" s="20"/>
    </row>
    <row r="12653" spans="45:45" ht="14.4">
      <c r="AS12653" s="20"/>
    </row>
    <row r="12654" spans="45:45" ht="14.4">
      <c r="AS12654" s="20"/>
    </row>
    <row r="12655" spans="45:45" ht="14.4">
      <c r="AS12655" s="20"/>
    </row>
    <row r="12656" spans="45:45" ht="14.4">
      <c r="AS12656" s="20"/>
    </row>
    <row r="12657" spans="45:45" ht="14.4">
      <c r="AS12657" s="20"/>
    </row>
    <row r="12658" spans="45:45" ht="14.4">
      <c r="AS12658" s="20"/>
    </row>
    <row r="12659" spans="45:45" ht="14.4">
      <c r="AS12659" s="20"/>
    </row>
    <row r="12660" spans="45:45" ht="14.4">
      <c r="AS12660" s="20"/>
    </row>
    <row r="12661" spans="45:45" ht="14.4">
      <c r="AS12661" s="20"/>
    </row>
    <row r="12662" spans="45:45" ht="14.4">
      <c r="AS12662" s="20"/>
    </row>
    <row r="12663" spans="45:45" ht="14.4">
      <c r="AS12663" s="20"/>
    </row>
    <row r="12664" spans="45:45" ht="14.4">
      <c r="AS12664" s="20"/>
    </row>
    <row r="12665" spans="45:45" ht="14.4">
      <c r="AS12665" s="20"/>
    </row>
    <row r="12666" spans="45:45" ht="14.4">
      <c r="AS12666" s="20"/>
    </row>
    <row r="12667" spans="45:45" ht="14.4">
      <c r="AS12667" s="20"/>
    </row>
    <row r="12668" spans="45:45" ht="14.4">
      <c r="AS12668" s="20"/>
    </row>
    <row r="12669" spans="45:45" ht="14.4">
      <c r="AS12669" s="20"/>
    </row>
    <row r="12670" spans="45:45" ht="14.4">
      <c r="AS12670" s="20"/>
    </row>
    <row r="12671" spans="45:45" ht="14.4">
      <c r="AS12671" s="20"/>
    </row>
    <row r="12672" spans="45:45" ht="14.4">
      <c r="AS12672" s="20"/>
    </row>
    <row r="12673" spans="45:45" ht="14.4">
      <c r="AS12673" s="20"/>
    </row>
    <row r="12674" spans="45:45" ht="14.4">
      <c r="AS12674" s="20"/>
    </row>
    <row r="12675" spans="45:45" ht="14.4">
      <c r="AS12675" s="20"/>
    </row>
    <row r="12676" spans="45:45" ht="14.4">
      <c r="AS12676" s="20"/>
    </row>
    <row r="12677" spans="45:45" ht="14.4">
      <c r="AS12677" s="20"/>
    </row>
    <row r="12678" spans="45:45" ht="14.4">
      <c r="AS12678" s="20"/>
    </row>
    <row r="12679" spans="45:45" ht="14.4">
      <c r="AS12679" s="20"/>
    </row>
    <row r="12680" spans="45:45" ht="14.4">
      <c r="AS12680" s="20"/>
    </row>
    <row r="12681" spans="45:45" ht="14.4">
      <c r="AS12681" s="20"/>
    </row>
    <row r="12682" spans="45:45" ht="14.4">
      <c r="AS12682" s="20"/>
    </row>
    <row r="12683" spans="45:45" ht="14.4">
      <c r="AS12683" s="20"/>
    </row>
    <row r="12684" spans="45:45" ht="14.4">
      <c r="AS12684" s="20"/>
    </row>
    <row r="12685" spans="45:45" ht="14.4">
      <c r="AS12685" s="20"/>
    </row>
    <row r="12686" spans="45:45" ht="14.4">
      <c r="AS12686" s="20"/>
    </row>
    <row r="12687" spans="45:45" ht="14.4">
      <c r="AS12687" s="20"/>
    </row>
    <row r="12688" spans="45:45" ht="14.4">
      <c r="AS12688" s="20"/>
    </row>
    <row r="12689" spans="45:45" ht="14.4">
      <c r="AS12689" s="20"/>
    </row>
    <row r="12690" spans="45:45" ht="14.4">
      <c r="AS12690" s="20"/>
    </row>
    <row r="12691" spans="45:45" ht="14.4">
      <c r="AS12691" s="20"/>
    </row>
    <row r="12692" spans="45:45" ht="14.4">
      <c r="AS12692" s="20"/>
    </row>
    <row r="12693" spans="45:45" ht="14.4">
      <c r="AS12693" s="20"/>
    </row>
    <row r="12694" spans="45:45" ht="14.4">
      <c r="AS12694" s="20"/>
    </row>
    <row r="12695" spans="45:45" ht="14.4">
      <c r="AS12695" s="20"/>
    </row>
    <row r="12696" spans="45:45" ht="14.4">
      <c r="AS12696" s="20"/>
    </row>
    <row r="12697" spans="45:45" ht="14.4">
      <c r="AS12697" s="20"/>
    </row>
    <row r="12698" spans="45:45" ht="14.4">
      <c r="AS12698" s="20"/>
    </row>
    <row r="12699" spans="45:45" ht="14.4">
      <c r="AS12699" s="20"/>
    </row>
    <row r="12700" spans="45:45" ht="14.4">
      <c r="AS12700" s="20"/>
    </row>
    <row r="12701" spans="45:45" ht="14.4">
      <c r="AS12701" s="20"/>
    </row>
    <row r="12702" spans="45:45" ht="14.4">
      <c r="AS12702" s="20"/>
    </row>
    <row r="12703" spans="45:45" ht="14.4">
      <c r="AS12703" s="20"/>
    </row>
    <row r="12704" spans="45:45" ht="14.4">
      <c r="AS12704" s="20"/>
    </row>
    <row r="12705" spans="45:45" ht="14.4">
      <c r="AS12705" s="20"/>
    </row>
    <row r="12706" spans="45:45" ht="14.4">
      <c r="AS12706" s="20"/>
    </row>
    <row r="12707" spans="45:45" ht="14.4">
      <c r="AS12707" s="20"/>
    </row>
    <row r="12708" spans="45:45" ht="14.4">
      <c r="AS12708" s="20"/>
    </row>
    <row r="12709" spans="45:45" ht="14.4">
      <c r="AS12709" s="20"/>
    </row>
    <row r="12710" spans="45:45" ht="14.4">
      <c r="AS12710" s="20"/>
    </row>
    <row r="12711" spans="45:45" ht="14.4">
      <c r="AS12711" s="20"/>
    </row>
    <row r="12712" spans="45:45" ht="14.4">
      <c r="AS12712" s="20"/>
    </row>
    <row r="12713" spans="45:45" ht="14.4">
      <c r="AS12713" s="20"/>
    </row>
    <row r="12714" spans="45:45" ht="14.4">
      <c r="AS12714" s="20"/>
    </row>
    <row r="12715" spans="45:45" ht="14.4">
      <c r="AS12715" s="20"/>
    </row>
    <row r="12716" spans="45:45" ht="14.4">
      <c r="AS12716" s="20"/>
    </row>
    <row r="12717" spans="45:45" ht="14.4">
      <c r="AS12717" s="20"/>
    </row>
    <row r="12718" spans="45:45" ht="14.4">
      <c r="AS12718" s="20"/>
    </row>
    <row r="12719" spans="45:45" ht="14.4">
      <c r="AS12719" s="20"/>
    </row>
    <row r="12720" spans="45:45" ht="14.4">
      <c r="AS12720" s="20"/>
    </row>
    <row r="12721" spans="45:45" ht="14.4">
      <c r="AS12721" s="20"/>
    </row>
    <row r="12722" spans="45:45" ht="14.4">
      <c r="AS12722" s="20"/>
    </row>
    <row r="12723" spans="45:45" ht="14.4">
      <c r="AS12723" s="20"/>
    </row>
    <row r="12724" spans="45:45" ht="14.4">
      <c r="AS12724" s="20"/>
    </row>
    <row r="12725" spans="45:45" ht="14.4">
      <c r="AS12725" s="20"/>
    </row>
    <row r="12726" spans="45:45" ht="14.4">
      <c r="AS12726" s="20"/>
    </row>
    <row r="12727" spans="45:45" ht="14.4">
      <c r="AS12727" s="20"/>
    </row>
    <row r="12728" spans="45:45" ht="14.4">
      <c r="AS12728" s="20"/>
    </row>
    <row r="12729" spans="45:45" ht="14.4">
      <c r="AS12729" s="20"/>
    </row>
    <row r="12730" spans="45:45" ht="14.4">
      <c r="AS12730" s="20"/>
    </row>
    <row r="12731" spans="45:45" ht="14.4">
      <c r="AS12731" s="20"/>
    </row>
    <row r="12732" spans="45:45" ht="14.4">
      <c r="AS12732" s="20"/>
    </row>
    <row r="12733" spans="45:45" ht="14.4">
      <c r="AS12733" s="20"/>
    </row>
    <row r="12734" spans="45:45" ht="14.4">
      <c r="AS12734" s="20"/>
    </row>
    <row r="12735" spans="45:45" ht="14.4">
      <c r="AS12735" s="20"/>
    </row>
    <row r="12736" spans="45:45" ht="14.4">
      <c r="AS12736" s="20"/>
    </row>
    <row r="12737" spans="45:45" ht="14.4">
      <c r="AS12737" s="20"/>
    </row>
    <row r="12738" spans="45:45" ht="14.4">
      <c r="AS12738" s="20"/>
    </row>
    <row r="12739" spans="45:45" ht="14.4">
      <c r="AS12739" s="20"/>
    </row>
    <row r="12740" spans="45:45" ht="14.4">
      <c r="AS12740" s="20"/>
    </row>
    <row r="12741" spans="45:45" ht="14.4">
      <c r="AS12741" s="20"/>
    </row>
    <row r="12742" spans="45:45" ht="14.4">
      <c r="AS12742" s="20"/>
    </row>
    <row r="12743" spans="45:45" ht="14.4">
      <c r="AS12743" s="20"/>
    </row>
    <row r="12744" spans="45:45" ht="14.4">
      <c r="AS12744" s="20"/>
    </row>
    <row r="12745" spans="45:45" ht="14.4">
      <c r="AS12745" s="20"/>
    </row>
    <row r="12746" spans="45:45" ht="14.4">
      <c r="AS12746" s="20"/>
    </row>
    <row r="12747" spans="45:45" ht="14.4">
      <c r="AS12747" s="20"/>
    </row>
    <row r="12748" spans="45:45" ht="14.4">
      <c r="AS12748" s="20"/>
    </row>
    <row r="12749" spans="45:45" ht="14.4">
      <c r="AS12749" s="20"/>
    </row>
    <row r="12750" spans="45:45" ht="14.4">
      <c r="AS12750" s="20"/>
    </row>
    <row r="12751" spans="45:45" ht="14.4">
      <c r="AS12751" s="20"/>
    </row>
    <row r="12752" spans="45:45" ht="14.4">
      <c r="AS12752" s="20"/>
    </row>
    <row r="12753" spans="45:45" ht="14.4">
      <c r="AS12753" s="20"/>
    </row>
    <row r="12754" spans="45:45" ht="14.4">
      <c r="AS12754" s="20"/>
    </row>
    <row r="12755" spans="45:45" ht="14.4">
      <c r="AS12755" s="20"/>
    </row>
    <row r="12756" spans="45:45" ht="14.4">
      <c r="AS12756" s="20"/>
    </row>
    <row r="12757" spans="45:45" ht="14.4">
      <c r="AS12757" s="20"/>
    </row>
    <row r="12758" spans="45:45" ht="14.4">
      <c r="AS12758" s="20"/>
    </row>
    <row r="12759" spans="45:45" ht="14.4">
      <c r="AS12759" s="20"/>
    </row>
    <row r="12760" spans="45:45" ht="14.4">
      <c r="AS12760" s="20"/>
    </row>
    <row r="12761" spans="45:45" ht="14.4">
      <c r="AS12761" s="20"/>
    </row>
    <row r="12762" spans="45:45" ht="14.4">
      <c r="AS12762" s="20"/>
    </row>
    <row r="12763" spans="45:45" ht="14.4">
      <c r="AS12763" s="20"/>
    </row>
    <row r="12764" spans="45:45" ht="14.4">
      <c r="AS12764" s="20"/>
    </row>
    <row r="12765" spans="45:45" ht="14.4">
      <c r="AS12765" s="20"/>
    </row>
    <row r="12766" spans="45:45" ht="14.4">
      <c r="AS12766" s="20"/>
    </row>
    <row r="12767" spans="45:45" ht="14.4">
      <c r="AS12767" s="20"/>
    </row>
    <row r="12768" spans="45:45" ht="14.4">
      <c r="AS12768" s="20"/>
    </row>
    <row r="12769" spans="45:45" ht="14.4">
      <c r="AS12769" s="20"/>
    </row>
    <row r="12770" spans="45:45" ht="14.4">
      <c r="AS12770" s="20"/>
    </row>
    <row r="12771" spans="45:45" ht="14.4">
      <c r="AS12771" s="20"/>
    </row>
    <row r="12772" spans="45:45" ht="14.4">
      <c r="AS12772" s="20"/>
    </row>
    <row r="12773" spans="45:45" ht="14.4">
      <c r="AS12773" s="20"/>
    </row>
    <row r="12774" spans="45:45" ht="14.4">
      <c r="AS12774" s="20"/>
    </row>
    <row r="12775" spans="45:45" ht="14.4">
      <c r="AS12775" s="20"/>
    </row>
    <row r="12776" spans="45:45" ht="14.4">
      <c r="AS12776" s="20"/>
    </row>
    <row r="12777" spans="45:45" ht="14.4">
      <c r="AS12777" s="20"/>
    </row>
    <row r="12778" spans="45:45" ht="14.4">
      <c r="AS12778" s="20"/>
    </row>
    <row r="12779" spans="45:45" ht="14.4">
      <c r="AS12779" s="20"/>
    </row>
    <row r="12780" spans="45:45" ht="14.4">
      <c r="AS12780" s="20"/>
    </row>
    <row r="12781" spans="45:45" ht="14.4">
      <c r="AS12781" s="20"/>
    </row>
    <row r="12782" spans="45:45" ht="14.4">
      <c r="AS12782" s="20"/>
    </row>
    <row r="12783" spans="45:45" ht="14.4">
      <c r="AS12783" s="20"/>
    </row>
    <row r="12784" spans="45:45" ht="14.4">
      <c r="AS12784" s="20"/>
    </row>
    <row r="12785" spans="45:45" ht="14.4">
      <c r="AS12785" s="20"/>
    </row>
    <row r="12786" spans="45:45" ht="14.4">
      <c r="AS12786" s="20"/>
    </row>
    <row r="12787" spans="45:45" ht="14.4">
      <c r="AS12787" s="20"/>
    </row>
    <row r="12788" spans="45:45" ht="14.4">
      <c r="AS12788" s="20"/>
    </row>
    <row r="12789" spans="45:45" ht="14.4">
      <c r="AS12789" s="20"/>
    </row>
    <row r="12790" spans="45:45" ht="14.4">
      <c r="AS12790" s="20"/>
    </row>
    <row r="12791" spans="45:45" ht="14.4">
      <c r="AS12791" s="20"/>
    </row>
    <row r="12792" spans="45:45" ht="14.4">
      <c r="AS12792" s="20"/>
    </row>
    <row r="12793" spans="45:45" ht="14.4">
      <c r="AS12793" s="20"/>
    </row>
    <row r="12794" spans="45:45" ht="14.4">
      <c r="AS12794" s="20"/>
    </row>
    <row r="12795" spans="45:45" ht="14.4">
      <c r="AS12795" s="20"/>
    </row>
    <row r="12796" spans="45:45" ht="14.4">
      <c r="AS12796" s="20"/>
    </row>
    <row r="12797" spans="45:45" ht="14.4">
      <c r="AS12797" s="20"/>
    </row>
    <row r="12798" spans="45:45" ht="14.4">
      <c r="AS12798" s="20"/>
    </row>
    <row r="12799" spans="45:45" ht="14.4">
      <c r="AS12799" s="20"/>
    </row>
    <row r="12800" spans="45:45" ht="14.4">
      <c r="AS12800" s="20"/>
    </row>
    <row r="12801" spans="45:45" ht="14.4">
      <c r="AS12801" s="20"/>
    </row>
    <row r="12802" spans="45:45" ht="14.4">
      <c r="AS12802" s="20"/>
    </row>
    <row r="12803" spans="45:45" ht="14.4">
      <c r="AS12803" s="20"/>
    </row>
    <row r="12804" spans="45:45" ht="14.4">
      <c r="AS12804" s="20"/>
    </row>
    <row r="12805" spans="45:45" ht="14.4">
      <c r="AS12805" s="20"/>
    </row>
    <row r="12806" spans="45:45" ht="14.4">
      <c r="AS12806" s="20"/>
    </row>
    <row r="12807" spans="45:45" ht="14.4">
      <c r="AS12807" s="20"/>
    </row>
    <row r="12808" spans="45:45" ht="14.4">
      <c r="AS12808" s="20"/>
    </row>
    <row r="12809" spans="45:45" ht="14.4">
      <c r="AS12809" s="20"/>
    </row>
    <row r="12810" spans="45:45" ht="14.4">
      <c r="AS12810" s="20"/>
    </row>
    <row r="12811" spans="45:45" ht="14.4">
      <c r="AS12811" s="20"/>
    </row>
    <row r="12812" spans="45:45" ht="14.4">
      <c r="AS12812" s="20"/>
    </row>
    <row r="12813" spans="45:45" ht="14.4">
      <c r="AS12813" s="20"/>
    </row>
    <row r="12814" spans="45:45" ht="14.4">
      <c r="AS12814" s="20"/>
    </row>
    <row r="12815" spans="45:45" ht="14.4">
      <c r="AS12815" s="20"/>
    </row>
    <row r="12816" spans="45:45" ht="14.4">
      <c r="AS12816" s="20"/>
    </row>
    <row r="12817" spans="45:45" ht="14.4">
      <c r="AS12817" s="20"/>
    </row>
    <row r="12818" spans="45:45" ht="14.4">
      <c r="AS12818" s="20"/>
    </row>
    <row r="12819" spans="45:45" ht="14.4">
      <c r="AS12819" s="20"/>
    </row>
    <row r="12820" spans="45:45" ht="14.4">
      <c r="AS12820" s="20"/>
    </row>
    <row r="12821" spans="45:45" ht="14.4">
      <c r="AS12821" s="20"/>
    </row>
    <row r="12822" spans="45:45" ht="14.4">
      <c r="AS12822" s="20"/>
    </row>
    <row r="12823" spans="45:45" ht="14.4">
      <c r="AS12823" s="20"/>
    </row>
    <row r="12824" spans="45:45" ht="14.4">
      <c r="AS12824" s="20"/>
    </row>
    <row r="12825" spans="45:45" ht="14.4">
      <c r="AS12825" s="20"/>
    </row>
    <row r="12826" spans="45:45" ht="14.4">
      <c r="AS12826" s="20"/>
    </row>
    <row r="12827" spans="45:45" ht="14.4">
      <c r="AS12827" s="20"/>
    </row>
    <row r="12828" spans="45:45" ht="14.4">
      <c r="AS12828" s="20"/>
    </row>
    <row r="12829" spans="45:45" ht="14.4">
      <c r="AS12829" s="20"/>
    </row>
    <row r="12830" spans="45:45" ht="14.4">
      <c r="AS12830" s="20"/>
    </row>
    <row r="12831" spans="45:45" ht="14.4">
      <c r="AS12831" s="20"/>
    </row>
    <row r="12832" spans="45:45" ht="14.4">
      <c r="AS12832" s="20"/>
    </row>
    <row r="12833" spans="45:45" ht="14.4">
      <c r="AS12833" s="20"/>
    </row>
    <row r="12834" spans="45:45" ht="14.4">
      <c r="AS12834" s="20"/>
    </row>
    <row r="12835" spans="45:45" ht="14.4">
      <c r="AS12835" s="20"/>
    </row>
    <row r="12836" spans="45:45" ht="14.4">
      <c r="AS12836" s="20"/>
    </row>
    <row r="12837" spans="45:45" ht="14.4">
      <c r="AS12837" s="20"/>
    </row>
    <row r="12838" spans="45:45" ht="14.4">
      <c r="AS12838" s="20"/>
    </row>
    <row r="12839" spans="45:45" ht="14.4">
      <c r="AS12839" s="20"/>
    </row>
    <row r="12840" spans="45:45" ht="14.4">
      <c r="AS12840" s="20"/>
    </row>
    <row r="12841" spans="45:45" ht="14.4">
      <c r="AS12841" s="20"/>
    </row>
    <row r="12842" spans="45:45" ht="14.4">
      <c r="AS12842" s="20"/>
    </row>
    <row r="12843" spans="45:45" ht="14.4">
      <c r="AS12843" s="20"/>
    </row>
    <row r="12844" spans="45:45" ht="14.4">
      <c r="AS12844" s="20"/>
    </row>
    <row r="12845" spans="45:45" ht="14.4">
      <c r="AS12845" s="20"/>
    </row>
    <row r="12846" spans="45:45" ht="14.4">
      <c r="AS12846" s="20"/>
    </row>
    <row r="12847" spans="45:45" ht="14.4">
      <c r="AS12847" s="20"/>
    </row>
    <row r="12848" spans="45:45" ht="14.4">
      <c r="AS12848" s="20"/>
    </row>
    <row r="12849" spans="45:45" ht="14.4">
      <c r="AS12849" s="20"/>
    </row>
    <row r="12850" spans="45:45" ht="14.4">
      <c r="AS12850" s="20"/>
    </row>
    <row r="12851" spans="45:45" ht="14.4">
      <c r="AS12851" s="20"/>
    </row>
    <row r="12852" spans="45:45" ht="14.4">
      <c r="AS12852" s="20"/>
    </row>
    <row r="12853" spans="45:45" ht="14.4">
      <c r="AS12853" s="20"/>
    </row>
    <row r="12854" spans="45:45" ht="14.4">
      <c r="AS12854" s="20"/>
    </row>
    <row r="12855" spans="45:45" ht="14.4">
      <c r="AS12855" s="20"/>
    </row>
    <row r="12856" spans="45:45" ht="14.4">
      <c r="AS12856" s="20"/>
    </row>
    <row r="12857" spans="45:45" ht="14.4">
      <c r="AS12857" s="20"/>
    </row>
    <row r="12858" spans="45:45" ht="14.4">
      <c r="AS12858" s="20"/>
    </row>
    <row r="12859" spans="45:45" ht="14.4">
      <c r="AS12859" s="20"/>
    </row>
    <row r="12860" spans="45:45" ht="14.4">
      <c r="AS12860" s="20"/>
    </row>
    <row r="12861" spans="45:45" ht="14.4">
      <c r="AS12861" s="20"/>
    </row>
    <row r="12862" spans="45:45" ht="14.4">
      <c r="AS12862" s="20"/>
    </row>
    <row r="12863" spans="45:45" ht="14.4">
      <c r="AS12863" s="20"/>
    </row>
    <row r="12864" spans="45:45" ht="14.4">
      <c r="AS12864" s="20"/>
    </row>
    <row r="12865" spans="45:45" ht="14.4">
      <c r="AS12865" s="20"/>
    </row>
    <row r="12866" spans="45:45" ht="14.4">
      <c r="AS12866" s="20"/>
    </row>
    <row r="12867" spans="45:45" ht="14.4">
      <c r="AS12867" s="20"/>
    </row>
    <row r="12868" spans="45:45" ht="14.4">
      <c r="AS12868" s="20"/>
    </row>
    <row r="12869" spans="45:45" ht="14.4">
      <c r="AS12869" s="20"/>
    </row>
    <row r="12870" spans="45:45" ht="14.4">
      <c r="AS12870" s="20"/>
    </row>
    <row r="12871" spans="45:45" ht="14.4">
      <c r="AS12871" s="20"/>
    </row>
    <row r="12872" spans="45:45" ht="14.4">
      <c r="AS12872" s="20"/>
    </row>
    <row r="12873" spans="45:45" ht="14.4">
      <c r="AS12873" s="20"/>
    </row>
    <row r="12874" spans="45:45" ht="14.4">
      <c r="AS12874" s="20"/>
    </row>
    <row r="12875" spans="45:45" ht="14.4">
      <c r="AS12875" s="20"/>
    </row>
    <row r="12876" spans="45:45" ht="14.4">
      <c r="AS12876" s="20"/>
    </row>
    <row r="12877" spans="45:45" ht="14.4">
      <c r="AS12877" s="20"/>
    </row>
    <row r="12878" spans="45:45" ht="14.4">
      <c r="AS12878" s="20"/>
    </row>
    <row r="12879" spans="45:45" ht="14.4">
      <c r="AS12879" s="20"/>
    </row>
    <row r="12880" spans="45:45" ht="14.4">
      <c r="AS12880" s="20"/>
    </row>
    <row r="12881" spans="45:45" ht="14.4">
      <c r="AS12881" s="20"/>
    </row>
    <row r="12882" spans="45:45" ht="14.4">
      <c r="AS12882" s="20"/>
    </row>
    <row r="12883" spans="45:45" ht="14.4">
      <c r="AS12883" s="20"/>
    </row>
    <row r="12884" spans="45:45" ht="14.4">
      <c r="AS12884" s="20"/>
    </row>
    <row r="12885" spans="45:45" ht="14.4">
      <c r="AS12885" s="20"/>
    </row>
    <row r="12886" spans="45:45" ht="14.4">
      <c r="AS12886" s="20"/>
    </row>
    <row r="12887" spans="45:45" ht="14.4">
      <c r="AS12887" s="20"/>
    </row>
    <row r="12888" spans="45:45" ht="14.4">
      <c r="AS12888" s="20"/>
    </row>
    <row r="12889" spans="45:45" ht="14.4">
      <c r="AS12889" s="20"/>
    </row>
    <row r="12890" spans="45:45" ht="14.4">
      <c r="AS12890" s="20"/>
    </row>
    <row r="12891" spans="45:45" ht="14.4">
      <c r="AS12891" s="20"/>
    </row>
    <row r="12892" spans="45:45" ht="14.4">
      <c r="AS12892" s="20"/>
    </row>
    <row r="12893" spans="45:45" ht="14.4">
      <c r="AS12893" s="20"/>
    </row>
    <row r="12894" spans="45:45" ht="14.4">
      <c r="AS12894" s="20"/>
    </row>
    <row r="12895" spans="45:45" ht="14.4">
      <c r="AS12895" s="20"/>
    </row>
    <row r="12896" spans="45:45" ht="14.4">
      <c r="AS12896" s="20"/>
    </row>
    <row r="12897" spans="45:45" ht="14.4">
      <c r="AS12897" s="20"/>
    </row>
    <row r="12898" spans="45:45" ht="14.4">
      <c r="AS12898" s="20"/>
    </row>
    <row r="12899" spans="45:45" ht="14.4">
      <c r="AS12899" s="20"/>
    </row>
    <row r="12900" spans="45:45" ht="14.4">
      <c r="AS12900" s="20"/>
    </row>
    <row r="12901" spans="45:45" ht="14.4">
      <c r="AS12901" s="20"/>
    </row>
    <row r="12902" spans="45:45" ht="14.4">
      <c r="AS12902" s="20"/>
    </row>
    <row r="12903" spans="45:45" ht="14.4">
      <c r="AS12903" s="20"/>
    </row>
    <row r="12904" spans="45:45" ht="14.4">
      <c r="AS12904" s="20"/>
    </row>
    <row r="12905" spans="45:45" ht="14.4">
      <c r="AS12905" s="20"/>
    </row>
    <row r="12906" spans="45:45" ht="14.4">
      <c r="AS12906" s="20"/>
    </row>
    <row r="12907" spans="45:45" ht="14.4">
      <c r="AS12907" s="20"/>
    </row>
    <row r="12908" spans="45:45" ht="14.4">
      <c r="AS12908" s="20"/>
    </row>
    <row r="12909" spans="45:45" ht="14.4">
      <c r="AS12909" s="20"/>
    </row>
    <row r="12910" spans="45:45" ht="14.4">
      <c r="AS12910" s="20"/>
    </row>
    <row r="12911" spans="45:45" ht="14.4">
      <c r="AS12911" s="20"/>
    </row>
    <row r="12912" spans="45:45" ht="14.4">
      <c r="AS12912" s="20"/>
    </row>
    <row r="12913" spans="45:45" ht="14.4">
      <c r="AS12913" s="20"/>
    </row>
    <row r="12914" spans="45:45" ht="14.4">
      <c r="AS12914" s="20"/>
    </row>
    <row r="12915" spans="45:45" ht="14.4">
      <c r="AS12915" s="20"/>
    </row>
    <row r="12916" spans="45:45" ht="14.4">
      <c r="AS12916" s="20"/>
    </row>
    <row r="12917" spans="45:45" ht="14.4">
      <c r="AS12917" s="20"/>
    </row>
    <row r="12918" spans="45:45" ht="14.4">
      <c r="AS12918" s="20"/>
    </row>
    <row r="12919" spans="45:45" ht="14.4">
      <c r="AS12919" s="20"/>
    </row>
    <row r="12920" spans="45:45" ht="14.4">
      <c r="AS12920" s="20"/>
    </row>
    <row r="12921" spans="45:45" ht="14.4">
      <c r="AS12921" s="20"/>
    </row>
    <row r="12922" spans="45:45" ht="14.4">
      <c r="AS12922" s="20"/>
    </row>
    <row r="12923" spans="45:45" ht="14.4">
      <c r="AS12923" s="20"/>
    </row>
    <row r="12924" spans="45:45" ht="14.4">
      <c r="AS12924" s="20"/>
    </row>
    <row r="12925" spans="45:45" ht="14.4">
      <c r="AS12925" s="20"/>
    </row>
    <row r="12926" spans="45:45" ht="14.4">
      <c r="AS12926" s="20"/>
    </row>
    <row r="12927" spans="45:45" ht="14.4">
      <c r="AS12927" s="20"/>
    </row>
    <row r="12928" spans="45:45" ht="14.4">
      <c r="AS12928" s="20"/>
    </row>
    <row r="12929" spans="45:45" ht="14.4">
      <c r="AS12929" s="20"/>
    </row>
    <row r="12930" spans="45:45" ht="14.4">
      <c r="AS12930" s="20"/>
    </row>
    <row r="12931" spans="45:45" ht="14.4">
      <c r="AS12931" s="20"/>
    </row>
    <row r="12932" spans="45:45" ht="14.4">
      <c r="AS12932" s="20"/>
    </row>
    <row r="12933" spans="45:45" ht="14.4">
      <c r="AS12933" s="20"/>
    </row>
    <row r="12934" spans="45:45" ht="14.4">
      <c r="AS12934" s="20"/>
    </row>
    <row r="12935" spans="45:45" ht="14.4">
      <c r="AS12935" s="20"/>
    </row>
    <row r="12936" spans="45:45" ht="14.4">
      <c r="AS12936" s="20"/>
    </row>
    <row r="12937" spans="45:45" ht="14.4">
      <c r="AS12937" s="20"/>
    </row>
    <row r="12938" spans="45:45" ht="14.4">
      <c r="AS12938" s="20"/>
    </row>
    <row r="12939" spans="45:45" ht="14.4">
      <c r="AS12939" s="20"/>
    </row>
    <row r="12940" spans="45:45" ht="14.4">
      <c r="AS12940" s="20"/>
    </row>
    <row r="12941" spans="45:45" ht="14.4">
      <c r="AS12941" s="20"/>
    </row>
    <row r="12942" spans="45:45" ht="14.4">
      <c r="AS12942" s="20"/>
    </row>
    <row r="12943" spans="45:45" ht="14.4">
      <c r="AS12943" s="20"/>
    </row>
    <row r="12944" spans="45:45" ht="14.4">
      <c r="AS12944" s="20"/>
    </row>
    <row r="12945" spans="45:45" ht="14.4">
      <c r="AS12945" s="20"/>
    </row>
    <row r="12946" spans="45:45" ht="14.4">
      <c r="AS12946" s="20"/>
    </row>
    <row r="12947" spans="45:45" ht="14.4">
      <c r="AS12947" s="20"/>
    </row>
    <row r="12948" spans="45:45" ht="14.4">
      <c r="AS12948" s="20"/>
    </row>
    <row r="12949" spans="45:45" ht="14.4">
      <c r="AS12949" s="20"/>
    </row>
    <row r="12950" spans="45:45" ht="14.4">
      <c r="AS12950" s="20"/>
    </row>
    <row r="12951" spans="45:45" ht="14.4">
      <c r="AS12951" s="20"/>
    </row>
    <row r="12952" spans="45:45" ht="14.4">
      <c r="AS12952" s="20"/>
    </row>
    <row r="12953" spans="45:45" ht="14.4">
      <c r="AS12953" s="20"/>
    </row>
    <row r="12954" spans="45:45" ht="14.4">
      <c r="AS12954" s="20"/>
    </row>
    <row r="12955" spans="45:45" ht="14.4">
      <c r="AS12955" s="20"/>
    </row>
    <row r="12956" spans="45:45" ht="14.4">
      <c r="AS12956" s="20"/>
    </row>
    <row r="12957" spans="45:45" ht="14.4">
      <c r="AS12957" s="20"/>
    </row>
    <row r="12958" spans="45:45" ht="14.4">
      <c r="AS12958" s="20"/>
    </row>
    <row r="12959" spans="45:45" ht="14.4">
      <c r="AS12959" s="20"/>
    </row>
    <row r="12960" spans="45:45" ht="14.4">
      <c r="AS12960" s="20"/>
    </row>
    <row r="12961" spans="45:45" ht="14.4">
      <c r="AS12961" s="20"/>
    </row>
    <row r="12962" spans="45:45" ht="14.4">
      <c r="AS12962" s="20"/>
    </row>
    <row r="12963" spans="45:45" ht="14.4">
      <c r="AS12963" s="20"/>
    </row>
    <row r="12964" spans="45:45" ht="14.4">
      <c r="AS12964" s="20"/>
    </row>
    <row r="12965" spans="45:45" ht="14.4">
      <c r="AS12965" s="20"/>
    </row>
    <row r="12966" spans="45:45" ht="14.4">
      <c r="AS12966" s="20"/>
    </row>
    <row r="12967" spans="45:45" ht="14.4">
      <c r="AS12967" s="20"/>
    </row>
    <row r="12968" spans="45:45" ht="14.4">
      <c r="AS12968" s="20"/>
    </row>
    <row r="12969" spans="45:45" ht="14.4">
      <c r="AS12969" s="20"/>
    </row>
    <row r="12970" spans="45:45" ht="14.4">
      <c r="AS12970" s="20"/>
    </row>
    <row r="12971" spans="45:45" ht="14.4">
      <c r="AS12971" s="20"/>
    </row>
    <row r="12972" spans="45:45" ht="14.4">
      <c r="AS12972" s="20"/>
    </row>
    <row r="12973" spans="45:45" ht="14.4">
      <c r="AS12973" s="20"/>
    </row>
    <row r="12974" spans="45:45" ht="14.4">
      <c r="AS12974" s="20"/>
    </row>
    <row r="12975" spans="45:45" ht="14.4">
      <c r="AS12975" s="20"/>
    </row>
    <row r="12976" spans="45:45" ht="14.4">
      <c r="AS12976" s="20"/>
    </row>
    <row r="12977" spans="45:45" ht="14.4">
      <c r="AS12977" s="20"/>
    </row>
    <row r="12978" spans="45:45" ht="14.4">
      <c r="AS12978" s="20"/>
    </row>
    <row r="12979" spans="45:45" ht="14.4">
      <c r="AS12979" s="20"/>
    </row>
    <row r="12980" spans="45:45" ht="14.4">
      <c r="AS12980" s="20"/>
    </row>
    <row r="12981" spans="45:45" ht="14.4">
      <c r="AS12981" s="20"/>
    </row>
    <row r="12982" spans="45:45" ht="14.4">
      <c r="AS12982" s="20"/>
    </row>
    <row r="12983" spans="45:45" ht="14.4">
      <c r="AS12983" s="20"/>
    </row>
    <row r="12984" spans="45:45" ht="14.4">
      <c r="AS12984" s="20"/>
    </row>
    <row r="12985" spans="45:45" ht="14.4">
      <c r="AS12985" s="20"/>
    </row>
    <row r="12986" spans="45:45" ht="14.4">
      <c r="AS12986" s="20"/>
    </row>
    <row r="12987" spans="45:45" ht="14.4">
      <c r="AS12987" s="20"/>
    </row>
    <row r="12988" spans="45:45" ht="14.4">
      <c r="AS12988" s="20"/>
    </row>
    <row r="12989" spans="45:45" ht="14.4">
      <c r="AS12989" s="20"/>
    </row>
    <row r="12990" spans="45:45" ht="14.4">
      <c r="AS12990" s="20"/>
    </row>
    <row r="12991" spans="45:45" ht="14.4">
      <c r="AS12991" s="20"/>
    </row>
    <row r="12992" spans="45:45" ht="14.4">
      <c r="AS12992" s="20"/>
    </row>
    <row r="12993" spans="45:45" ht="14.4">
      <c r="AS12993" s="20"/>
    </row>
    <row r="12994" spans="45:45" ht="14.4">
      <c r="AS12994" s="20"/>
    </row>
    <row r="12995" spans="45:45" ht="14.4">
      <c r="AS12995" s="20"/>
    </row>
    <row r="12996" spans="45:45" ht="14.4">
      <c r="AS12996" s="20"/>
    </row>
    <row r="12997" spans="45:45" ht="14.4">
      <c r="AS12997" s="20"/>
    </row>
    <row r="12998" spans="45:45" ht="14.4">
      <c r="AS12998" s="20"/>
    </row>
    <row r="12999" spans="45:45" ht="14.4">
      <c r="AS12999" s="20"/>
    </row>
    <row r="13000" spans="45:45" ht="14.4">
      <c r="AS13000" s="20"/>
    </row>
    <row r="13001" spans="45:45" ht="14.4">
      <c r="AS13001" s="20"/>
    </row>
    <row r="13002" spans="45:45" ht="14.4">
      <c r="AS13002" s="20"/>
    </row>
    <row r="13003" spans="45:45" ht="14.4">
      <c r="AS13003" s="20"/>
    </row>
    <row r="13004" spans="45:45" ht="14.4">
      <c r="AS13004" s="20"/>
    </row>
    <row r="13005" spans="45:45" ht="14.4">
      <c r="AS13005" s="20"/>
    </row>
    <row r="13006" spans="45:45" ht="14.4">
      <c r="AS13006" s="20"/>
    </row>
    <row r="13007" spans="45:45" ht="14.4">
      <c r="AS13007" s="20"/>
    </row>
    <row r="13008" spans="45:45" ht="14.4">
      <c r="AS13008" s="20"/>
    </row>
    <row r="13009" spans="45:45" ht="14.4">
      <c r="AS13009" s="20"/>
    </row>
    <row r="13010" spans="45:45" ht="14.4">
      <c r="AS13010" s="20"/>
    </row>
    <row r="13011" spans="45:45" ht="14.4">
      <c r="AS13011" s="20"/>
    </row>
    <row r="13012" spans="45:45" ht="14.4">
      <c r="AS13012" s="20"/>
    </row>
    <row r="13013" spans="45:45" ht="14.4">
      <c r="AS13013" s="20"/>
    </row>
    <row r="13014" spans="45:45" ht="14.4">
      <c r="AS13014" s="20"/>
    </row>
    <row r="13015" spans="45:45" ht="14.4">
      <c r="AS13015" s="20"/>
    </row>
    <row r="13016" spans="45:45" ht="14.4">
      <c r="AS13016" s="20"/>
    </row>
    <row r="13017" spans="45:45" ht="14.4">
      <c r="AS13017" s="20"/>
    </row>
    <row r="13018" spans="45:45" ht="14.4">
      <c r="AS13018" s="20"/>
    </row>
    <row r="13019" spans="45:45" ht="14.4">
      <c r="AS13019" s="20"/>
    </row>
    <row r="13020" spans="45:45" ht="14.4">
      <c r="AS13020" s="20"/>
    </row>
    <row r="13021" spans="45:45" ht="14.4">
      <c r="AS13021" s="20"/>
    </row>
    <row r="13022" spans="45:45" ht="14.4">
      <c r="AS13022" s="20"/>
    </row>
    <row r="13023" spans="45:45" ht="14.4">
      <c r="AS13023" s="20"/>
    </row>
    <row r="13024" spans="45:45" ht="14.4">
      <c r="AS13024" s="20"/>
    </row>
    <row r="13025" spans="45:45" ht="14.4">
      <c r="AS13025" s="20"/>
    </row>
    <row r="13026" spans="45:45" ht="14.4">
      <c r="AS13026" s="20"/>
    </row>
    <row r="13027" spans="45:45" ht="14.4">
      <c r="AS13027" s="20"/>
    </row>
    <row r="13028" spans="45:45" ht="14.4">
      <c r="AS13028" s="20"/>
    </row>
    <row r="13029" spans="45:45" ht="14.4">
      <c r="AS13029" s="20"/>
    </row>
    <row r="13030" spans="45:45" ht="14.4">
      <c r="AS13030" s="20"/>
    </row>
    <row r="13031" spans="45:45" ht="14.4">
      <c r="AS13031" s="20"/>
    </row>
    <row r="13032" spans="45:45" ht="14.4">
      <c r="AS13032" s="20"/>
    </row>
    <row r="13033" spans="45:45" ht="14.4">
      <c r="AS13033" s="20"/>
    </row>
    <row r="13034" spans="45:45" ht="14.4">
      <c r="AS13034" s="20"/>
    </row>
    <row r="13035" spans="45:45" ht="14.4">
      <c r="AS13035" s="20"/>
    </row>
    <row r="13036" spans="45:45" ht="14.4">
      <c r="AS13036" s="20"/>
    </row>
    <row r="13037" spans="45:45" ht="14.4">
      <c r="AS13037" s="20"/>
    </row>
    <row r="13038" spans="45:45" ht="14.4">
      <c r="AS13038" s="20"/>
    </row>
    <row r="13039" spans="45:45" ht="14.4">
      <c r="AS13039" s="20"/>
    </row>
    <row r="13040" spans="45:45" ht="14.4">
      <c r="AS13040" s="20"/>
    </row>
    <row r="13041" spans="45:45" ht="14.4">
      <c r="AS13041" s="20"/>
    </row>
    <row r="13042" spans="45:45" ht="14.4">
      <c r="AS13042" s="20"/>
    </row>
    <row r="13043" spans="45:45" ht="14.4">
      <c r="AS13043" s="20"/>
    </row>
    <row r="13044" spans="45:45" ht="14.4">
      <c r="AS13044" s="20"/>
    </row>
    <row r="13045" spans="45:45" ht="14.4">
      <c r="AS13045" s="20"/>
    </row>
    <row r="13046" spans="45:45" ht="14.4">
      <c r="AS13046" s="20"/>
    </row>
    <row r="13047" spans="45:45" ht="14.4">
      <c r="AS13047" s="20"/>
    </row>
    <row r="13048" spans="45:45" ht="14.4">
      <c r="AS13048" s="20"/>
    </row>
    <row r="13049" spans="45:45" ht="14.4">
      <c r="AS13049" s="20"/>
    </row>
    <row r="13050" spans="45:45" ht="14.4">
      <c r="AS13050" s="20"/>
    </row>
    <row r="13051" spans="45:45" ht="14.4">
      <c r="AS13051" s="20"/>
    </row>
    <row r="13052" spans="45:45" ht="14.4">
      <c r="AS13052" s="20"/>
    </row>
    <row r="13053" spans="45:45" ht="14.4">
      <c r="AS13053" s="20"/>
    </row>
    <row r="13054" spans="45:45" ht="14.4">
      <c r="AS13054" s="20"/>
    </row>
    <row r="13055" spans="45:45" ht="14.4">
      <c r="AS13055" s="20"/>
    </row>
    <row r="13056" spans="45:45" ht="14.4">
      <c r="AS13056" s="20"/>
    </row>
    <row r="13057" spans="45:45" ht="14.4">
      <c r="AS13057" s="20"/>
    </row>
    <row r="13058" spans="45:45" ht="14.4">
      <c r="AS13058" s="20"/>
    </row>
    <row r="13059" spans="45:45" ht="14.4">
      <c r="AS13059" s="20"/>
    </row>
    <row r="13060" spans="45:45" ht="14.4">
      <c r="AS13060" s="20"/>
    </row>
    <row r="13061" spans="45:45" ht="14.4">
      <c r="AS13061" s="20"/>
    </row>
    <row r="13062" spans="45:45" ht="14.4">
      <c r="AS13062" s="20"/>
    </row>
    <row r="13063" spans="45:45" ht="14.4">
      <c r="AS13063" s="20"/>
    </row>
    <row r="13064" spans="45:45" ht="14.4">
      <c r="AS13064" s="20"/>
    </row>
    <row r="13065" spans="45:45" ht="14.4">
      <c r="AS13065" s="20"/>
    </row>
    <row r="13066" spans="45:45" ht="14.4">
      <c r="AS13066" s="20"/>
    </row>
    <row r="13067" spans="45:45" ht="14.4">
      <c r="AS13067" s="20"/>
    </row>
    <row r="13068" spans="45:45" ht="14.4">
      <c r="AS13068" s="20"/>
    </row>
    <row r="13069" spans="45:45" ht="14.4">
      <c r="AS13069" s="20"/>
    </row>
    <row r="13070" spans="45:45" ht="14.4">
      <c r="AS13070" s="20"/>
    </row>
    <row r="13071" spans="45:45" ht="14.4">
      <c r="AS13071" s="20"/>
    </row>
    <row r="13072" spans="45:45" ht="14.4">
      <c r="AS13072" s="20"/>
    </row>
    <row r="13073" spans="45:45" ht="14.4">
      <c r="AS13073" s="20"/>
    </row>
    <row r="13074" spans="45:45" ht="14.4">
      <c r="AS13074" s="20"/>
    </row>
    <row r="13075" spans="45:45" ht="14.4">
      <c r="AS13075" s="20"/>
    </row>
    <row r="13076" spans="45:45" ht="14.4">
      <c r="AS13076" s="20"/>
    </row>
    <row r="13077" spans="45:45" ht="14.4">
      <c r="AS13077" s="20"/>
    </row>
    <row r="13078" spans="45:45" ht="14.4">
      <c r="AS13078" s="20"/>
    </row>
    <row r="13079" spans="45:45" ht="14.4">
      <c r="AS13079" s="20"/>
    </row>
    <row r="13080" spans="45:45" ht="14.4">
      <c r="AS13080" s="20"/>
    </row>
    <row r="13081" spans="45:45" ht="14.4">
      <c r="AS13081" s="20"/>
    </row>
    <row r="13082" spans="45:45" ht="14.4">
      <c r="AS13082" s="20"/>
    </row>
    <row r="13083" spans="45:45" ht="14.4">
      <c r="AS13083" s="20"/>
    </row>
    <row r="13084" spans="45:45" ht="14.4">
      <c r="AS13084" s="20"/>
    </row>
    <row r="13085" spans="45:45" ht="14.4">
      <c r="AS13085" s="20"/>
    </row>
    <row r="13086" spans="45:45" ht="14.4">
      <c r="AS13086" s="20"/>
    </row>
    <row r="13087" spans="45:45" ht="14.4">
      <c r="AS13087" s="20"/>
    </row>
    <row r="13088" spans="45:45" ht="14.4">
      <c r="AS13088" s="20"/>
    </row>
    <row r="13089" spans="45:45" ht="14.4">
      <c r="AS13089" s="20"/>
    </row>
    <row r="13090" spans="45:45" ht="14.4">
      <c r="AS13090" s="20"/>
    </row>
    <row r="13091" spans="45:45" ht="14.4">
      <c r="AS13091" s="20"/>
    </row>
    <row r="13092" spans="45:45" ht="14.4">
      <c r="AS13092" s="20"/>
    </row>
    <row r="13093" spans="45:45" ht="14.4">
      <c r="AS13093" s="20"/>
    </row>
    <row r="13094" spans="45:45" ht="14.4">
      <c r="AS13094" s="20"/>
    </row>
    <row r="13095" spans="45:45" ht="14.4">
      <c r="AS13095" s="20"/>
    </row>
    <row r="13096" spans="45:45" ht="14.4">
      <c r="AS13096" s="20"/>
    </row>
    <row r="13097" spans="45:45" ht="14.4">
      <c r="AS13097" s="20"/>
    </row>
    <row r="13098" spans="45:45" ht="14.4">
      <c r="AS13098" s="20"/>
    </row>
    <row r="13099" spans="45:45" ht="14.4">
      <c r="AS13099" s="20"/>
    </row>
    <row r="13100" spans="45:45" ht="14.4">
      <c r="AS13100" s="20"/>
    </row>
    <row r="13101" spans="45:45" ht="14.4">
      <c r="AS13101" s="20"/>
    </row>
    <row r="13102" spans="45:45" ht="14.4">
      <c r="AS13102" s="20"/>
    </row>
    <row r="13103" spans="45:45" ht="14.4">
      <c r="AS13103" s="20"/>
    </row>
    <row r="13104" spans="45:45" ht="14.4">
      <c r="AS13104" s="20"/>
    </row>
    <row r="13105" spans="45:45" ht="14.4">
      <c r="AS13105" s="20"/>
    </row>
    <row r="13106" spans="45:45" ht="14.4">
      <c r="AS13106" s="20"/>
    </row>
    <row r="13107" spans="45:45" ht="14.4">
      <c r="AS13107" s="20"/>
    </row>
    <row r="13108" spans="45:45" ht="14.4">
      <c r="AS13108" s="20"/>
    </row>
    <row r="13109" spans="45:45" ht="14.4">
      <c r="AS13109" s="20"/>
    </row>
    <row r="13110" spans="45:45" ht="14.4">
      <c r="AS13110" s="20"/>
    </row>
    <row r="13111" spans="45:45" ht="14.4">
      <c r="AS13111" s="20"/>
    </row>
    <row r="13112" spans="45:45" ht="14.4">
      <c r="AS13112" s="20"/>
    </row>
    <row r="13113" spans="45:45" ht="14.4">
      <c r="AS13113" s="20"/>
    </row>
    <row r="13114" spans="45:45" ht="14.4">
      <c r="AS13114" s="20"/>
    </row>
    <row r="13115" spans="45:45" ht="14.4">
      <c r="AS13115" s="20"/>
    </row>
    <row r="13116" spans="45:45" ht="14.4">
      <c r="AS13116" s="20"/>
    </row>
    <row r="13117" spans="45:45" ht="14.4">
      <c r="AS13117" s="20"/>
    </row>
    <row r="13118" spans="45:45" ht="14.4">
      <c r="AS13118" s="20"/>
    </row>
    <row r="13119" spans="45:45" ht="14.4">
      <c r="AS13119" s="20"/>
    </row>
    <row r="13120" spans="45:45" ht="14.4">
      <c r="AS13120" s="20"/>
    </row>
    <row r="13121" spans="45:45" ht="14.4">
      <c r="AS13121" s="20"/>
    </row>
    <row r="13122" spans="45:45" ht="14.4">
      <c r="AS13122" s="20"/>
    </row>
    <row r="13123" spans="45:45" ht="14.4">
      <c r="AS13123" s="20"/>
    </row>
    <row r="13124" spans="45:45" ht="14.4">
      <c r="AS13124" s="20"/>
    </row>
    <row r="13125" spans="45:45" ht="14.4">
      <c r="AS13125" s="20"/>
    </row>
    <row r="13126" spans="45:45" ht="14.4">
      <c r="AS13126" s="20"/>
    </row>
    <row r="13127" spans="45:45" ht="14.4">
      <c r="AS13127" s="20"/>
    </row>
    <row r="13128" spans="45:45" ht="14.4">
      <c r="AS13128" s="20"/>
    </row>
    <row r="13129" spans="45:45" ht="14.4">
      <c r="AS13129" s="20"/>
    </row>
    <row r="13130" spans="45:45" ht="14.4">
      <c r="AS13130" s="20"/>
    </row>
    <row r="13131" spans="45:45" ht="14.4">
      <c r="AS13131" s="20"/>
    </row>
    <row r="13132" spans="45:45" ht="14.4">
      <c r="AS13132" s="20"/>
    </row>
    <row r="13133" spans="45:45" ht="14.4">
      <c r="AS13133" s="20"/>
    </row>
    <row r="13134" spans="45:45" ht="14.4">
      <c r="AS13134" s="20"/>
    </row>
    <row r="13135" spans="45:45" ht="14.4">
      <c r="AS13135" s="20"/>
    </row>
    <row r="13136" spans="45:45" ht="14.4">
      <c r="AS13136" s="20"/>
    </row>
    <row r="13137" spans="45:45" ht="14.4">
      <c r="AS13137" s="20"/>
    </row>
    <row r="13138" spans="45:45" ht="14.4">
      <c r="AS13138" s="20"/>
    </row>
    <row r="13139" spans="45:45" ht="14.4">
      <c r="AS13139" s="20"/>
    </row>
    <row r="13140" spans="45:45" ht="14.4">
      <c r="AS13140" s="20"/>
    </row>
    <row r="13141" spans="45:45" ht="14.4">
      <c r="AS13141" s="20"/>
    </row>
    <row r="13142" spans="45:45" ht="14.4">
      <c r="AS13142" s="20"/>
    </row>
    <row r="13143" spans="45:45" ht="14.4">
      <c r="AS13143" s="20"/>
    </row>
    <row r="13144" spans="45:45" ht="14.4">
      <c r="AS13144" s="20"/>
    </row>
    <row r="13145" spans="45:45" ht="14.4">
      <c r="AS13145" s="20"/>
    </row>
    <row r="13146" spans="45:45" ht="14.4">
      <c r="AS13146" s="20"/>
    </row>
    <row r="13147" spans="45:45" ht="14.4">
      <c r="AS13147" s="20"/>
    </row>
    <row r="13148" spans="45:45" ht="14.4">
      <c r="AS13148" s="20"/>
    </row>
    <row r="13149" spans="45:45" ht="14.4">
      <c r="AS13149" s="20"/>
    </row>
    <row r="13150" spans="45:45" ht="14.4">
      <c r="AS13150" s="20"/>
    </row>
    <row r="13151" spans="45:45" ht="14.4">
      <c r="AS13151" s="20"/>
    </row>
    <row r="13152" spans="45:45" ht="14.4">
      <c r="AS13152" s="20"/>
    </row>
    <row r="13153" spans="45:45" ht="14.4">
      <c r="AS13153" s="20"/>
    </row>
    <row r="13154" spans="45:45" ht="14.4">
      <c r="AS13154" s="20"/>
    </row>
    <row r="13155" spans="45:45" ht="14.4">
      <c r="AS13155" s="20"/>
    </row>
    <row r="13156" spans="45:45" ht="14.4">
      <c r="AS13156" s="20"/>
    </row>
    <row r="13157" spans="45:45" ht="14.4">
      <c r="AS13157" s="20"/>
    </row>
    <row r="13158" spans="45:45" ht="14.4">
      <c r="AS13158" s="20"/>
    </row>
    <row r="13159" spans="45:45" ht="14.4">
      <c r="AS13159" s="20"/>
    </row>
    <row r="13160" spans="45:45" ht="14.4">
      <c r="AS13160" s="20"/>
    </row>
    <row r="13161" spans="45:45" ht="14.4">
      <c r="AS13161" s="20"/>
    </row>
    <row r="13162" spans="45:45" ht="14.4">
      <c r="AS13162" s="20"/>
    </row>
    <row r="13163" spans="45:45" ht="14.4">
      <c r="AS13163" s="20"/>
    </row>
    <row r="13164" spans="45:45" ht="14.4">
      <c r="AS13164" s="20"/>
    </row>
    <row r="13165" spans="45:45" ht="14.4">
      <c r="AS13165" s="20"/>
    </row>
    <row r="13166" spans="45:45" ht="14.4">
      <c r="AS13166" s="20"/>
    </row>
    <row r="13167" spans="45:45" ht="14.4">
      <c r="AS13167" s="20"/>
    </row>
    <row r="13168" spans="45:45" ht="14.4">
      <c r="AS13168" s="20"/>
    </row>
    <row r="13169" spans="45:45" ht="14.4">
      <c r="AS13169" s="20"/>
    </row>
    <row r="13170" spans="45:45" ht="14.4">
      <c r="AS13170" s="20"/>
    </row>
    <row r="13171" spans="45:45" ht="14.4">
      <c r="AS13171" s="20"/>
    </row>
    <row r="13172" spans="45:45" ht="14.4">
      <c r="AS13172" s="20"/>
    </row>
    <row r="13173" spans="45:45" ht="14.4">
      <c r="AS13173" s="20"/>
    </row>
    <row r="13174" spans="45:45" ht="14.4">
      <c r="AS13174" s="20"/>
    </row>
    <row r="13175" spans="45:45" ht="14.4">
      <c r="AS13175" s="20"/>
    </row>
    <row r="13176" spans="45:45" ht="14.4">
      <c r="AS13176" s="20"/>
    </row>
    <row r="13177" spans="45:45" ht="14.4">
      <c r="AS13177" s="20"/>
    </row>
    <row r="13178" spans="45:45" ht="14.4">
      <c r="AS13178" s="20"/>
    </row>
    <row r="13179" spans="45:45" ht="14.4">
      <c r="AS13179" s="20"/>
    </row>
    <row r="13180" spans="45:45" ht="14.4">
      <c r="AS13180" s="20"/>
    </row>
    <row r="13181" spans="45:45" ht="14.4">
      <c r="AS13181" s="20"/>
    </row>
    <row r="13182" spans="45:45" ht="14.4">
      <c r="AS13182" s="20"/>
    </row>
    <row r="13183" spans="45:45" ht="14.4">
      <c r="AS13183" s="20"/>
    </row>
    <row r="13184" spans="45:45" ht="14.4">
      <c r="AS13184" s="20"/>
    </row>
    <row r="13185" spans="45:45" ht="14.4">
      <c r="AS13185" s="20"/>
    </row>
    <row r="13186" spans="45:45" ht="14.4">
      <c r="AS13186" s="20"/>
    </row>
    <row r="13187" spans="45:45" ht="14.4">
      <c r="AS13187" s="20"/>
    </row>
    <row r="13188" spans="45:45" ht="14.4">
      <c r="AS13188" s="20"/>
    </row>
    <row r="13189" spans="45:45" ht="14.4">
      <c r="AS13189" s="20"/>
    </row>
    <row r="13190" spans="45:45" ht="14.4">
      <c r="AS13190" s="20"/>
    </row>
    <row r="13191" spans="45:45" ht="14.4">
      <c r="AS13191" s="20"/>
    </row>
    <row r="13192" spans="45:45" ht="14.4">
      <c r="AS13192" s="20"/>
    </row>
    <row r="13193" spans="45:45" ht="14.4">
      <c r="AS13193" s="20"/>
    </row>
    <row r="13194" spans="45:45" ht="14.4">
      <c r="AS13194" s="20"/>
    </row>
    <row r="13195" spans="45:45" ht="14.4">
      <c r="AS13195" s="20"/>
    </row>
    <row r="13196" spans="45:45" ht="14.4">
      <c r="AS13196" s="20"/>
    </row>
    <row r="13197" spans="45:45" ht="14.4">
      <c r="AS13197" s="20"/>
    </row>
    <row r="13198" spans="45:45" ht="14.4">
      <c r="AS13198" s="20"/>
    </row>
    <row r="13199" spans="45:45" ht="14.4">
      <c r="AS13199" s="20"/>
    </row>
    <row r="13200" spans="45:45" ht="14.4">
      <c r="AS13200" s="20"/>
    </row>
    <row r="13201" spans="45:45" ht="14.4">
      <c r="AS13201" s="20"/>
    </row>
    <row r="13202" spans="45:45" ht="14.4">
      <c r="AS13202" s="20"/>
    </row>
    <row r="13203" spans="45:45" ht="14.4">
      <c r="AS13203" s="20"/>
    </row>
    <row r="13204" spans="45:45" ht="14.4">
      <c r="AS13204" s="20"/>
    </row>
    <row r="13205" spans="45:45" ht="14.4">
      <c r="AS13205" s="20"/>
    </row>
    <row r="13206" spans="45:45" ht="14.4">
      <c r="AS13206" s="20"/>
    </row>
    <row r="13207" spans="45:45" ht="14.4">
      <c r="AS13207" s="20"/>
    </row>
    <row r="13208" spans="45:45" ht="14.4">
      <c r="AS13208" s="20"/>
    </row>
    <row r="13209" spans="45:45" ht="14.4">
      <c r="AS13209" s="20"/>
    </row>
    <row r="13210" spans="45:45" ht="14.4">
      <c r="AS13210" s="20"/>
    </row>
    <row r="13211" spans="45:45" ht="14.4">
      <c r="AS13211" s="20"/>
    </row>
    <row r="13212" spans="45:45" ht="14.4">
      <c r="AS13212" s="20"/>
    </row>
    <row r="13213" spans="45:45" ht="14.4">
      <c r="AS13213" s="20"/>
    </row>
    <row r="13214" spans="45:45" ht="14.4">
      <c r="AS13214" s="20"/>
    </row>
    <row r="13215" spans="45:45" ht="14.4">
      <c r="AS13215" s="20"/>
    </row>
    <row r="13216" spans="45:45" ht="14.4">
      <c r="AS13216" s="20"/>
    </row>
    <row r="13217" spans="45:45" ht="14.4">
      <c r="AS13217" s="20"/>
    </row>
    <row r="13218" spans="45:45" ht="14.4">
      <c r="AS13218" s="20"/>
    </row>
    <row r="13219" spans="45:45" ht="14.4">
      <c r="AS13219" s="20"/>
    </row>
    <row r="13220" spans="45:45" ht="14.4">
      <c r="AS13220" s="20"/>
    </row>
    <row r="13221" spans="45:45" ht="14.4">
      <c r="AS13221" s="20"/>
    </row>
    <row r="13222" spans="45:45" ht="14.4">
      <c r="AS13222" s="20"/>
    </row>
    <row r="13223" spans="45:45" ht="14.4">
      <c r="AS13223" s="20"/>
    </row>
    <row r="13224" spans="45:45" ht="14.4">
      <c r="AS13224" s="20"/>
    </row>
    <row r="13225" spans="45:45" ht="14.4">
      <c r="AS13225" s="20"/>
    </row>
    <row r="13226" spans="45:45" ht="14.4">
      <c r="AS13226" s="20"/>
    </row>
    <row r="13227" spans="45:45" ht="14.4">
      <c r="AS13227" s="20"/>
    </row>
    <row r="13228" spans="45:45" ht="14.4">
      <c r="AS13228" s="20"/>
    </row>
    <row r="13229" spans="45:45" ht="14.4">
      <c r="AS13229" s="20"/>
    </row>
    <row r="13230" spans="45:45" ht="14.4">
      <c r="AS13230" s="20"/>
    </row>
    <row r="13231" spans="45:45" ht="14.4">
      <c r="AS13231" s="20"/>
    </row>
    <row r="13232" spans="45:45" ht="14.4">
      <c r="AS13232" s="20"/>
    </row>
    <row r="13233" spans="45:45" ht="14.4">
      <c r="AS13233" s="20"/>
    </row>
    <row r="13234" spans="45:45" ht="14.4">
      <c r="AS13234" s="20"/>
    </row>
    <row r="13235" spans="45:45" ht="14.4">
      <c r="AS13235" s="20"/>
    </row>
    <row r="13236" spans="45:45" ht="14.4">
      <c r="AS13236" s="20"/>
    </row>
    <row r="13237" spans="45:45" ht="14.4">
      <c r="AS13237" s="20"/>
    </row>
    <row r="13238" spans="45:45" ht="14.4">
      <c r="AS13238" s="20"/>
    </row>
    <row r="13239" spans="45:45" ht="14.4">
      <c r="AS13239" s="20"/>
    </row>
    <row r="13240" spans="45:45" ht="14.4">
      <c r="AS13240" s="20"/>
    </row>
    <row r="13241" spans="45:45" ht="14.4">
      <c r="AS13241" s="20"/>
    </row>
    <row r="13242" spans="45:45" ht="14.4">
      <c r="AS13242" s="20"/>
    </row>
    <row r="13243" spans="45:45" ht="14.4">
      <c r="AS13243" s="20"/>
    </row>
    <row r="13244" spans="45:45" ht="14.4">
      <c r="AS13244" s="20"/>
    </row>
    <row r="13245" spans="45:45" ht="14.4">
      <c r="AS13245" s="20"/>
    </row>
    <row r="13246" spans="45:45" ht="14.4">
      <c r="AS13246" s="20"/>
    </row>
    <row r="13247" spans="45:45" ht="14.4">
      <c r="AS13247" s="20"/>
    </row>
    <row r="13248" spans="45:45" ht="14.4">
      <c r="AS13248" s="20"/>
    </row>
    <row r="13249" spans="45:45" ht="14.4">
      <c r="AS13249" s="20"/>
    </row>
    <row r="13250" spans="45:45" ht="14.4">
      <c r="AS13250" s="20"/>
    </row>
    <row r="13251" spans="45:45" ht="14.4">
      <c r="AS13251" s="20"/>
    </row>
    <row r="13252" spans="45:45" ht="14.4">
      <c r="AS13252" s="20"/>
    </row>
    <row r="13253" spans="45:45" ht="14.4">
      <c r="AS13253" s="20"/>
    </row>
    <row r="13254" spans="45:45" ht="14.4">
      <c r="AS13254" s="20"/>
    </row>
    <row r="13255" spans="45:45" ht="14.4">
      <c r="AS13255" s="20"/>
    </row>
    <row r="13256" spans="45:45" ht="14.4">
      <c r="AS13256" s="20"/>
    </row>
    <row r="13257" spans="45:45" ht="14.4">
      <c r="AS13257" s="20"/>
    </row>
    <row r="13258" spans="45:45" ht="14.4">
      <c r="AS13258" s="20"/>
    </row>
    <row r="13259" spans="45:45" ht="14.4">
      <c r="AS13259" s="20"/>
    </row>
    <row r="13260" spans="45:45" ht="14.4">
      <c r="AS13260" s="20"/>
    </row>
    <row r="13261" spans="45:45" ht="14.4">
      <c r="AS13261" s="20"/>
    </row>
    <row r="13262" spans="45:45" ht="14.4">
      <c r="AS13262" s="20"/>
    </row>
    <row r="13263" spans="45:45" ht="14.4">
      <c r="AS13263" s="20"/>
    </row>
    <row r="13264" spans="45:45" ht="14.4">
      <c r="AS13264" s="20"/>
    </row>
    <row r="13265" spans="45:45" ht="14.4">
      <c r="AS13265" s="20"/>
    </row>
    <row r="13266" spans="45:45" ht="14.4">
      <c r="AS13266" s="20"/>
    </row>
    <row r="13267" spans="45:45" ht="14.4">
      <c r="AS13267" s="20"/>
    </row>
    <row r="13268" spans="45:45" ht="14.4">
      <c r="AS13268" s="20"/>
    </row>
    <row r="13269" spans="45:45" ht="14.4">
      <c r="AS13269" s="20"/>
    </row>
    <row r="13270" spans="45:45" ht="14.4">
      <c r="AS13270" s="20"/>
    </row>
    <row r="13271" spans="45:45" ht="14.4">
      <c r="AS13271" s="20"/>
    </row>
    <row r="13272" spans="45:45" ht="14.4">
      <c r="AS13272" s="20"/>
    </row>
    <row r="13273" spans="45:45" ht="14.4">
      <c r="AS13273" s="20"/>
    </row>
    <row r="13274" spans="45:45" ht="14.4">
      <c r="AS13274" s="20"/>
    </row>
    <row r="13275" spans="45:45" ht="14.4">
      <c r="AS13275" s="20"/>
    </row>
    <row r="13276" spans="45:45" ht="14.4">
      <c r="AS13276" s="20"/>
    </row>
    <row r="13277" spans="45:45" ht="14.4">
      <c r="AS13277" s="20"/>
    </row>
    <row r="13278" spans="45:45" ht="14.4">
      <c r="AS13278" s="20"/>
    </row>
    <row r="13279" spans="45:45" ht="14.4">
      <c r="AS13279" s="20"/>
    </row>
    <row r="13280" spans="45:45" ht="14.4">
      <c r="AS13280" s="20"/>
    </row>
    <row r="13281" spans="45:45" ht="14.4">
      <c r="AS13281" s="20"/>
    </row>
    <row r="13282" spans="45:45" ht="14.4">
      <c r="AS13282" s="20"/>
    </row>
    <row r="13283" spans="45:45" ht="14.4">
      <c r="AS13283" s="20"/>
    </row>
    <row r="13284" spans="45:45" ht="14.4">
      <c r="AS13284" s="20"/>
    </row>
    <row r="13285" spans="45:45" ht="14.4">
      <c r="AS13285" s="20"/>
    </row>
    <row r="13286" spans="45:45" ht="14.4">
      <c r="AS13286" s="20"/>
    </row>
    <row r="13287" spans="45:45" ht="14.4">
      <c r="AS13287" s="20"/>
    </row>
    <row r="13288" spans="45:45" ht="14.4">
      <c r="AS13288" s="20"/>
    </row>
    <row r="13289" spans="45:45" ht="14.4">
      <c r="AS13289" s="20"/>
    </row>
    <row r="13290" spans="45:45" ht="14.4">
      <c r="AS13290" s="20"/>
    </row>
    <row r="13291" spans="45:45" ht="14.4">
      <c r="AS13291" s="20"/>
    </row>
    <row r="13292" spans="45:45" ht="14.4">
      <c r="AS13292" s="20"/>
    </row>
    <row r="13293" spans="45:45" ht="14.4">
      <c r="AS13293" s="20"/>
    </row>
    <row r="13294" spans="45:45" ht="14.4">
      <c r="AS13294" s="20"/>
    </row>
    <row r="13295" spans="45:45" ht="14.4">
      <c r="AS13295" s="20"/>
    </row>
    <row r="13296" spans="45:45" ht="14.4">
      <c r="AS13296" s="20"/>
    </row>
    <row r="13297" spans="45:45" ht="14.4">
      <c r="AS13297" s="20"/>
    </row>
    <row r="13298" spans="45:45" ht="14.4">
      <c r="AS13298" s="20"/>
    </row>
    <row r="13299" spans="45:45" ht="14.4">
      <c r="AS13299" s="20"/>
    </row>
    <row r="13300" spans="45:45" ht="14.4">
      <c r="AS13300" s="20"/>
    </row>
    <row r="13301" spans="45:45" ht="14.4">
      <c r="AS13301" s="20"/>
    </row>
    <row r="13302" spans="45:45" ht="14.4">
      <c r="AS13302" s="20"/>
    </row>
    <row r="13303" spans="45:45" ht="14.4">
      <c r="AS13303" s="20"/>
    </row>
    <row r="13304" spans="45:45" ht="14.4">
      <c r="AS13304" s="20"/>
    </row>
    <row r="13305" spans="45:45" ht="14.4">
      <c r="AS13305" s="20"/>
    </row>
    <row r="13306" spans="45:45" ht="14.4">
      <c r="AS13306" s="20"/>
    </row>
    <row r="13307" spans="45:45" ht="14.4">
      <c r="AS13307" s="20"/>
    </row>
    <row r="13308" spans="45:45" ht="14.4">
      <c r="AS13308" s="20"/>
    </row>
    <row r="13309" spans="45:45" ht="14.4">
      <c r="AS13309" s="20"/>
    </row>
    <row r="13310" spans="45:45" ht="14.4">
      <c r="AS13310" s="20"/>
    </row>
    <row r="13311" spans="45:45" ht="14.4">
      <c r="AS13311" s="20"/>
    </row>
    <row r="13312" spans="45:45" ht="14.4">
      <c r="AS13312" s="20"/>
    </row>
    <row r="13313" spans="45:45" ht="14.4">
      <c r="AS13313" s="20"/>
    </row>
    <row r="13314" spans="45:45" ht="14.4">
      <c r="AS13314" s="20"/>
    </row>
    <row r="13315" spans="45:45" ht="14.4">
      <c r="AS13315" s="20"/>
    </row>
    <row r="13316" spans="45:45" ht="14.4">
      <c r="AS13316" s="20"/>
    </row>
    <row r="13317" spans="45:45" ht="14.4">
      <c r="AS13317" s="20"/>
    </row>
    <row r="13318" spans="45:45" ht="14.4">
      <c r="AS13318" s="20"/>
    </row>
    <row r="13319" spans="45:45" ht="14.4">
      <c r="AS13319" s="20"/>
    </row>
    <row r="13320" spans="45:45" ht="14.4">
      <c r="AS13320" s="20"/>
    </row>
    <row r="13321" spans="45:45" ht="14.4">
      <c r="AS13321" s="20"/>
    </row>
    <row r="13322" spans="45:45" ht="14.4">
      <c r="AS13322" s="20"/>
    </row>
    <row r="13323" spans="45:45" ht="14.4">
      <c r="AS13323" s="20"/>
    </row>
    <row r="13324" spans="45:45" ht="14.4">
      <c r="AS13324" s="20"/>
    </row>
    <row r="13325" spans="45:45" ht="14.4">
      <c r="AS13325" s="20"/>
    </row>
    <row r="13326" spans="45:45" ht="14.4">
      <c r="AS13326" s="20"/>
    </row>
    <row r="13327" spans="45:45" ht="14.4">
      <c r="AS13327" s="20"/>
    </row>
    <row r="13328" spans="45:45" ht="14.4">
      <c r="AS13328" s="20"/>
    </row>
    <row r="13329" spans="45:45" ht="14.4">
      <c r="AS13329" s="20"/>
    </row>
    <row r="13330" spans="45:45" ht="14.4">
      <c r="AS13330" s="20"/>
    </row>
    <row r="13331" spans="45:45" ht="14.4">
      <c r="AS13331" s="20"/>
    </row>
    <row r="13332" spans="45:45" ht="14.4">
      <c r="AS13332" s="20"/>
    </row>
    <row r="13333" spans="45:45" ht="14.4">
      <c r="AS13333" s="20"/>
    </row>
    <row r="13334" spans="45:45" ht="14.4">
      <c r="AS13334" s="20"/>
    </row>
    <row r="13335" spans="45:45" ht="14.4">
      <c r="AS13335" s="20"/>
    </row>
    <row r="13336" spans="45:45" ht="14.4">
      <c r="AS13336" s="20"/>
    </row>
    <row r="13337" spans="45:45" ht="14.4">
      <c r="AS13337" s="20"/>
    </row>
    <row r="13338" spans="45:45" ht="14.4">
      <c r="AS13338" s="20"/>
    </row>
    <row r="13339" spans="45:45" ht="14.4">
      <c r="AS13339" s="20"/>
    </row>
    <row r="13340" spans="45:45" ht="14.4">
      <c r="AS13340" s="20"/>
    </row>
    <row r="13341" spans="45:45" ht="14.4">
      <c r="AS13341" s="20"/>
    </row>
    <row r="13342" spans="45:45" ht="14.4">
      <c r="AS13342" s="20"/>
    </row>
    <row r="13343" spans="45:45" ht="14.4">
      <c r="AS13343" s="20"/>
    </row>
    <row r="13344" spans="45:45" ht="14.4">
      <c r="AS13344" s="20"/>
    </row>
    <row r="13345" spans="45:45" ht="14.4">
      <c r="AS13345" s="20"/>
    </row>
    <row r="13346" spans="45:45" ht="14.4">
      <c r="AS13346" s="20"/>
    </row>
    <row r="13347" spans="45:45" ht="14.4">
      <c r="AS13347" s="20"/>
    </row>
    <row r="13348" spans="45:45" ht="14.4">
      <c r="AS13348" s="20"/>
    </row>
    <row r="13349" spans="45:45" ht="14.4">
      <c r="AS13349" s="20"/>
    </row>
    <row r="13350" spans="45:45" ht="14.4">
      <c r="AS13350" s="20"/>
    </row>
    <row r="13351" spans="45:45" ht="14.4">
      <c r="AS13351" s="20"/>
    </row>
    <row r="13352" spans="45:45" ht="14.4">
      <c r="AS13352" s="20"/>
    </row>
    <row r="13353" spans="45:45" ht="14.4">
      <c r="AS13353" s="20"/>
    </row>
    <row r="13354" spans="45:45" ht="14.4">
      <c r="AS13354" s="20"/>
    </row>
    <row r="13355" spans="45:45" ht="14.4">
      <c r="AS13355" s="20"/>
    </row>
    <row r="13356" spans="45:45" ht="14.4">
      <c r="AS13356" s="20"/>
    </row>
    <row r="13357" spans="45:45" ht="14.4">
      <c r="AS13357" s="20"/>
    </row>
    <row r="13358" spans="45:45" ht="14.4">
      <c r="AS13358" s="20"/>
    </row>
    <row r="13359" spans="45:45" ht="14.4">
      <c r="AS13359" s="20"/>
    </row>
    <row r="13360" spans="45:45" ht="14.4">
      <c r="AS13360" s="20"/>
    </row>
    <row r="13361" spans="45:45" ht="14.4">
      <c r="AS13361" s="20"/>
    </row>
    <row r="13362" spans="45:45" ht="14.4">
      <c r="AS13362" s="20"/>
    </row>
    <row r="13363" spans="45:45" ht="14.4">
      <c r="AS13363" s="20"/>
    </row>
    <row r="13364" spans="45:45" ht="14.4">
      <c r="AS13364" s="20"/>
    </row>
    <row r="13365" spans="45:45" ht="14.4">
      <c r="AS13365" s="20"/>
    </row>
    <row r="13366" spans="45:45" ht="14.4">
      <c r="AS13366" s="20"/>
    </row>
    <row r="13367" spans="45:45" ht="14.4">
      <c r="AS13367" s="20"/>
    </row>
    <row r="13368" spans="45:45" ht="14.4">
      <c r="AS13368" s="20"/>
    </row>
    <row r="13369" spans="45:45" ht="14.4">
      <c r="AS13369" s="20"/>
    </row>
    <row r="13370" spans="45:45" ht="14.4">
      <c r="AS13370" s="20"/>
    </row>
    <row r="13371" spans="45:45" ht="14.4">
      <c r="AS13371" s="20"/>
    </row>
    <row r="13372" spans="45:45" ht="14.4">
      <c r="AS13372" s="20"/>
    </row>
    <row r="13373" spans="45:45" ht="14.4">
      <c r="AS13373" s="20"/>
    </row>
    <row r="13374" spans="45:45" ht="14.4">
      <c r="AS13374" s="20"/>
    </row>
    <row r="13375" spans="45:45" ht="14.4">
      <c r="AS13375" s="20"/>
    </row>
    <row r="13376" spans="45:45" ht="14.4">
      <c r="AS13376" s="20"/>
    </row>
    <row r="13377" spans="45:45" ht="14.4">
      <c r="AS13377" s="20"/>
    </row>
    <row r="13378" spans="45:45" ht="14.4">
      <c r="AS13378" s="20"/>
    </row>
    <row r="13379" spans="45:45" ht="14.4">
      <c r="AS13379" s="20"/>
    </row>
    <row r="13380" spans="45:45" ht="14.4">
      <c r="AS13380" s="20"/>
    </row>
    <row r="13381" spans="45:45" ht="14.4">
      <c r="AS13381" s="20"/>
    </row>
    <row r="13382" spans="45:45" ht="14.4">
      <c r="AS13382" s="20"/>
    </row>
    <row r="13383" spans="45:45" ht="14.4">
      <c r="AS13383" s="20"/>
    </row>
    <row r="13384" spans="45:45" ht="14.4">
      <c r="AS13384" s="20"/>
    </row>
    <row r="13385" spans="45:45" ht="14.4">
      <c r="AS13385" s="20"/>
    </row>
    <row r="13386" spans="45:45" ht="14.4">
      <c r="AS13386" s="20"/>
    </row>
    <row r="13387" spans="45:45" ht="14.4">
      <c r="AS13387" s="20"/>
    </row>
    <row r="13388" spans="45:45" ht="14.4">
      <c r="AS13388" s="20"/>
    </row>
    <row r="13389" spans="45:45" ht="14.4">
      <c r="AS13389" s="20"/>
    </row>
    <row r="13390" spans="45:45" ht="14.4">
      <c r="AS13390" s="20"/>
    </row>
    <row r="13391" spans="45:45" ht="14.4">
      <c r="AS13391" s="20"/>
    </row>
    <row r="13392" spans="45:45" ht="14.4">
      <c r="AS13392" s="20"/>
    </row>
    <row r="13393" spans="45:45" ht="14.4">
      <c r="AS13393" s="20"/>
    </row>
    <row r="13394" spans="45:45" ht="14.4">
      <c r="AS13394" s="20"/>
    </row>
    <row r="13395" spans="45:45" ht="14.4">
      <c r="AS13395" s="20"/>
    </row>
    <row r="13396" spans="45:45" ht="14.4">
      <c r="AS13396" s="20"/>
    </row>
    <row r="13397" spans="45:45" ht="14.4">
      <c r="AS13397" s="20"/>
    </row>
    <row r="13398" spans="45:45" ht="14.4">
      <c r="AS13398" s="20"/>
    </row>
    <row r="13399" spans="45:45" ht="14.4">
      <c r="AS13399" s="20"/>
    </row>
    <row r="13400" spans="45:45" ht="14.4">
      <c r="AS13400" s="20"/>
    </row>
    <row r="13401" spans="45:45" ht="14.4">
      <c r="AS13401" s="20"/>
    </row>
    <row r="13402" spans="45:45" ht="14.4">
      <c r="AS13402" s="20"/>
    </row>
    <row r="13403" spans="45:45" ht="14.4">
      <c r="AS13403" s="20"/>
    </row>
    <row r="13404" spans="45:45" ht="14.4">
      <c r="AS13404" s="20"/>
    </row>
    <row r="13405" spans="45:45" ht="14.4">
      <c r="AS13405" s="20"/>
    </row>
    <row r="13406" spans="45:45" ht="14.4">
      <c r="AS13406" s="20"/>
    </row>
    <row r="13407" spans="45:45" ht="14.4">
      <c r="AS13407" s="20"/>
    </row>
    <row r="13408" spans="45:45" ht="14.4">
      <c r="AS13408" s="20"/>
    </row>
    <row r="13409" spans="45:45" ht="14.4">
      <c r="AS13409" s="20"/>
    </row>
    <row r="13410" spans="45:45" ht="14.4">
      <c r="AS13410" s="20"/>
    </row>
    <row r="13411" spans="45:45" ht="14.4">
      <c r="AS13411" s="20"/>
    </row>
    <row r="13412" spans="45:45" ht="14.4">
      <c r="AS13412" s="20"/>
    </row>
    <row r="13413" spans="45:45" ht="14.4">
      <c r="AS13413" s="20"/>
    </row>
    <row r="13414" spans="45:45" ht="14.4">
      <c r="AS13414" s="20"/>
    </row>
    <row r="13415" spans="45:45" ht="14.4">
      <c r="AS13415" s="20"/>
    </row>
    <row r="13416" spans="45:45" ht="14.4">
      <c r="AS13416" s="20"/>
    </row>
    <row r="13417" spans="45:45" ht="14.4">
      <c r="AS13417" s="20"/>
    </row>
    <row r="13418" spans="45:45" ht="14.4">
      <c r="AS13418" s="20"/>
    </row>
    <row r="13419" spans="45:45" ht="14.4">
      <c r="AS13419" s="20"/>
    </row>
    <row r="13420" spans="45:45" ht="14.4">
      <c r="AS13420" s="20"/>
    </row>
    <row r="13421" spans="45:45" ht="14.4">
      <c r="AS13421" s="20"/>
    </row>
    <row r="13422" spans="45:45" ht="14.4">
      <c r="AS13422" s="20"/>
    </row>
    <row r="13423" spans="45:45" ht="14.4">
      <c r="AS13423" s="20"/>
    </row>
    <row r="13424" spans="45:45" ht="14.4">
      <c r="AS13424" s="20"/>
    </row>
    <row r="13425" spans="45:45" ht="14.4">
      <c r="AS13425" s="20"/>
    </row>
    <row r="13426" spans="45:45" ht="14.4">
      <c r="AS13426" s="20"/>
    </row>
    <row r="13427" spans="45:45" ht="14.4">
      <c r="AS13427" s="20"/>
    </row>
    <row r="13428" spans="45:45" ht="14.4">
      <c r="AS13428" s="20"/>
    </row>
    <row r="13429" spans="45:45" ht="14.4">
      <c r="AS13429" s="20"/>
    </row>
    <row r="13430" spans="45:45" ht="14.4">
      <c r="AS13430" s="20"/>
    </row>
    <row r="13431" spans="45:45" ht="14.4">
      <c r="AS13431" s="20"/>
    </row>
    <row r="13432" spans="45:45" ht="14.4">
      <c r="AS13432" s="20"/>
    </row>
    <row r="13433" spans="45:45" ht="14.4">
      <c r="AS13433" s="20"/>
    </row>
    <row r="13434" spans="45:45" ht="14.4">
      <c r="AS13434" s="20"/>
    </row>
    <row r="13435" spans="45:45" ht="14.4">
      <c r="AS13435" s="20"/>
    </row>
    <row r="13436" spans="45:45" ht="14.4">
      <c r="AS13436" s="20"/>
    </row>
    <row r="13437" spans="45:45" ht="14.4">
      <c r="AS13437" s="20"/>
    </row>
    <row r="13438" spans="45:45" ht="14.4">
      <c r="AS13438" s="20"/>
    </row>
    <row r="13439" spans="45:45" ht="14.4">
      <c r="AS13439" s="20"/>
    </row>
    <row r="13440" spans="45:45" ht="14.4">
      <c r="AS13440" s="20"/>
    </row>
    <row r="13441" spans="45:45" ht="14.4">
      <c r="AS13441" s="20"/>
    </row>
    <row r="13442" spans="45:45" ht="14.4">
      <c r="AS13442" s="20"/>
    </row>
    <row r="13443" spans="45:45" ht="14.4">
      <c r="AS13443" s="20"/>
    </row>
    <row r="13444" spans="45:45" ht="14.4">
      <c r="AS13444" s="20"/>
    </row>
    <row r="13445" spans="45:45" ht="14.4">
      <c r="AS13445" s="20"/>
    </row>
    <row r="13446" spans="45:45" ht="14.4">
      <c r="AS13446" s="20"/>
    </row>
    <row r="13447" spans="45:45" ht="14.4">
      <c r="AS13447" s="20"/>
    </row>
    <row r="13448" spans="45:45" ht="14.4">
      <c r="AS13448" s="20"/>
    </row>
    <row r="13449" spans="45:45" ht="14.4">
      <c r="AS13449" s="20"/>
    </row>
    <row r="13450" spans="45:45" ht="14.4">
      <c r="AS13450" s="20"/>
    </row>
    <row r="13451" spans="45:45" ht="14.4">
      <c r="AS13451" s="20"/>
    </row>
    <row r="13452" spans="45:45" ht="14.4">
      <c r="AS13452" s="20"/>
    </row>
    <row r="13453" spans="45:45" ht="14.4">
      <c r="AS13453" s="20"/>
    </row>
    <row r="13454" spans="45:45" ht="14.4">
      <c r="AS13454" s="20"/>
    </row>
    <row r="13455" spans="45:45" ht="14.4">
      <c r="AS13455" s="20"/>
    </row>
    <row r="13456" spans="45:45" ht="14.4">
      <c r="AS13456" s="20"/>
    </row>
    <row r="13457" spans="45:45" ht="14.4">
      <c r="AS13457" s="20"/>
    </row>
    <row r="13458" spans="45:45" ht="14.4">
      <c r="AS13458" s="20"/>
    </row>
    <row r="13459" spans="45:45" ht="14.4">
      <c r="AS13459" s="20"/>
    </row>
    <row r="13460" spans="45:45" ht="14.4">
      <c r="AS13460" s="20"/>
    </row>
    <row r="13461" spans="45:45" ht="14.4">
      <c r="AS13461" s="20"/>
    </row>
    <row r="13462" spans="45:45" ht="14.4">
      <c r="AS13462" s="20"/>
    </row>
    <row r="13463" spans="45:45" ht="14.4">
      <c r="AS13463" s="20"/>
    </row>
    <row r="13464" spans="45:45" ht="14.4">
      <c r="AS13464" s="20"/>
    </row>
    <row r="13465" spans="45:45" ht="14.4">
      <c r="AS13465" s="20"/>
    </row>
    <row r="13466" spans="45:45" ht="14.4">
      <c r="AS13466" s="20"/>
    </row>
    <row r="13467" spans="45:45" ht="14.4">
      <c r="AS13467" s="20"/>
    </row>
    <row r="13468" spans="45:45" ht="14.4">
      <c r="AS13468" s="20"/>
    </row>
    <row r="13469" spans="45:45" ht="14.4">
      <c r="AS13469" s="20"/>
    </row>
    <row r="13470" spans="45:45" ht="14.4">
      <c r="AS13470" s="20"/>
    </row>
    <row r="13471" spans="45:45" ht="14.4">
      <c r="AS13471" s="20"/>
    </row>
    <row r="13472" spans="45:45" ht="14.4">
      <c r="AS13472" s="20"/>
    </row>
    <row r="13473" spans="45:45" ht="14.4">
      <c r="AS13473" s="20"/>
    </row>
    <row r="13474" spans="45:45" ht="14.4">
      <c r="AS13474" s="20"/>
    </row>
    <row r="13475" spans="45:45" ht="14.4">
      <c r="AS13475" s="20"/>
    </row>
    <row r="13476" spans="45:45" ht="14.4">
      <c r="AS13476" s="20"/>
    </row>
    <row r="13477" spans="45:45" ht="14.4">
      <c r="AS13477" s="20"/>
    </row>
    <row r="13478" spans="45:45" ht="14.4">
      <c r="AS13478" s="20"/>
    </row>
    <row r="13479" spans="45:45" ht="14.4">
      <c r="AS13479" s="20"/>
    </row>
    <row r="13480" spans="45:45" ht="14.4">
      <c r="AS13480" s="20"/>
    </row>
    <row r="13481" spans="45:45" ht="14.4">
      <c r="AS13481" s="20"/>
    </row>
    <row r="13482" spans="45:45" ht="14.4">
      <c r="AS13482" s="20"/>
    </row>
    <row r="13483" spans="45:45" ht="14.4">
      <c r="AS13483" s="20"/>
    </row>
    <row r="13484" spans="45:45" ht="14.4">
      <c r="AS13484" s="20"/>
    </row>
    <row r="13485" spans="45:45" ht="14.4">
      <c r="AS13485" s="20"/>
    </row>
    <row r="13486" spans="45:45" ht="14.4">
      <c r="AS13486" s="20"/>
    </row>
    <row r="13487" spans="45:45" ht="14.4">
      <c r="AS13487" s="20"/>
    </row>
    <row r="13488" spans="45:45" ht="14.4">
      <c r="AS13488" s="20"/>
    </row>
    <row r="13489" spans="45:45" ht="14.4">
      <c r="AS13489" s="20"/>
    </row>
    <row r="13490" spans="45:45" ht="14.4">
      <c r="AS13490" s="20"/>
    </row>
    <row r="13491" spans="45:45" ht="14.4">
      <c r="AS13491" s="20"/>
    </row>
    <row r="13492" spans="45:45" ht="14.4">
      <c r="AS13492" s="20"/>
    </row>
    <row r="13493" spans="45:45" ht="14.4">
      <c r="AS13493" s="20"/>
    </row>
    <row r="13494" spans="45:45" ht="14.4">
      <c r="AS13494" s="20"/>
    </row>
    <row r="13495" spans="45:45" ht="14.4">
      <c r="AS13495" s="20"/>
    </row>
    <row r="13496" spans="45:45" ht="14.4">
      <c r="AS13496" s="20"/>
    </row>
    <row r="13497" spans="45:45" ht="14.4">
      <c r="AS13497" s="20"/>
    </row>
    <row r="13498" spans="45:45" ht="14.4">
      <c r="AS13498" s="20"/>
    </row>
    <row r="13499" spans="45:45" ht="14.4">
      <c r="AS13499" s="20"/>
    </row>
    <row r="13500" spans="45:45" ht="14.4">
      <c r="AS13500" s="20"/>
    </row>
    <row r="13501" spans="45:45" ht="14.4">
      <c r="AS13501" s="20"/>
    </row>
    <row r="13502" spans="45:45" ht="14.4">
      <c r="AS13502" s="20"/>
    </row>
    <row r="13503" spans="45:45" ht="14.4">
      <c r="AS13503" s="20"/>
    </row>
    <row r="13504" spans="45:45" ht="14.4">
      <c r="AS13504" s="20"/>
    </row>
    <row r="13505" spans="45:45" ht="14.4">
      <c r="AS13505" s="20"/>
    </row>
    <row r="13506" spans="45:45" ht="14.4">
      <c r="AS13506" s="20"/>
    </row>
    <row r="13507" spans="45:45" ht="14.4">
      <c r="AS13507" s="20"/>
    </row>
    <row r="13508" spans="45:45" ht="14.4">
      <c r="AS13508" s="20"/>
    </row>
    <row r="13509" spans="45:45" ht="14.4">
      <c r="AS13509" s="20"/>
    </row>
    <row r="13510" spans="45:45" ht="14.4">
      <c r="AS13510" s="20"/>
    </row>
    <row r="13511" spans="45:45" ht="14.4">
      <c r="AS13511" s="20"/>
    </row>
    <row r="13512" spans="45:45" ht="14.4">
      <c r="AS13512" s="20"/>
    </row>
    <row r="13513" spans="45:45" ht="14.4">
      <c r="AS13513" s="20"/>
    </row>
    <row r="13514" spans="45:45" ht="14.4">
      <c r="AS13514" s="20"/>
    </row>
    <row r="13515" spans="45:45" ht="14.4">
      <c r="AS13515" s="20"/>
    </row>
    <row r="13516" spans="45:45" ht="14.4">
      <c r="AS13516" s="20"/>
    </row>
    <row r="13517" spans="45:45" ht="14.4">
      <c r="AS13517" s="20"/>
    </row>
    <row r="13518" spans="45:45" ht="14.4">
      <c r="AS13518" s="20"/>
    </row>
    <row r="13519" spans="45:45" ht="14.4">
      <c r="AS13519" s="20"/>
    </row>
    <row r="13520" spans="45:45" ht="14.4">
      <c r="AS13520" s="20"/>
    </row>
    <row r="13521" spans="45:45" ht="14.4">
      <c r="AS13521" s="20"/>
    </row>
    <row r="13522" spans="45:45" ht="14.4">
      <c r="AS13522" s="20"/>
    </row>
    <row r="13523" spans="45:45" ht="14.4">
      <c r="AS13523" s="20"/>
    </row>
    <row r="13524" spans="45:45" ht="14.4">
      <c r="AS13524" s="20"/>
    </row>
    <row r="13525" spans="45:45" ht="14.4">
      <c r="AS13525" s="20"/>
    </row>
    <row r="13526" spans="45:45" ht="14.4">
      <c r="AS13526" s="20"/>
    </row>
    <row r="13527" spans="45:45" ht="14.4">
      <c r="AS13527" s="20"/>
    </row>
    <row r="13528" spans="45:45" ht="14.4">
      <c r="AS13528" s="20"/>
    </row>
    <row r="13529" spans="45:45" ht="14.4">
      <c r="AS13529" s="20"/>
    </row>
    <row r="13530" spans="45:45" ht="14.4">
      <c r="AS13530" s="20"/>
    </row>
    <row r="13531" spans="45:45" ht="14.4">
      <c r="AS13531" s="20"/>
    </row>
    <row r="13532" spans="45:45" ht="14.4">
      <c r="AS13532" s="20"/>
    </row>
    <row r="13533" spans="45:45" ht="14.4">
      <c r="AS13533" s="20"/>
    </row>
    <row r="13534" spans="45:45" ht="14.4">
      <c r="AS13534" s="20"/>
    </row>
    <row r="13535" spans="45:45" ht="14.4">
      <c r="AS13535" s="20"/>
    </row>
    <row r="13536" spans="45:45" ht="14.4">
      <c r="AS13536" s="20"/>
    </row>
    <row r="13537" spans="45:45" ht="14.4">
      <c r="AS13537" s="20"/>
    </row>
    <row r="13538" spans="45:45" ht="14.4">
      <c r="AS13538" s="20"/>
    </row>
    <row r="13539" spans="45:45" ht="14.4">
      <c r="AS13539" s="20"/>
    </row>
    <row r="13540" spans="45:45" ht="14.4">
      <c r="AS13540" s="20"/>
    </row>
    <row r="13541" spans="45:45" ht="14.4">
      <c r="AS13541" s="20"/>
    </row>
    <row r="13542" spans="45:45" ht="14.4">
      <c r="AS13542" s="20"/>
    </row>
    <row r="13543" spans="45:45" ht="14.4">
      <c r="AS13543" s="20"/>
    </row>
    <row r="13544" spans="45:45" ht="14.4">
      <c r="AS13544" s="20"/>
    </row>
    <row r="13545" spans="45:45" ht="14.4">
      <c r="AS13545" s="20"/>
    </row>
    <row r="13546" spans="45:45" ht="14.4">
      <c r="AS13546" s="20"/>
    </row>
    <row r="13547" spans="45:45" ht="14.4">
      <c r="AS13547" s="20"/>
    </row>
    <row r="13548" spans="45:45" ht="14.4">
      <c r="AS13548" s="20"/>
    </row>
    <row r="13549" spans="45:45" ht="14.4">
      <c r="AS13549" s="20"/>
    </row>
    <row r="13550" spans="45:45" ht="14.4">
      <c r="AS13550" s="20"/>
    </row>
    <row r="13551" spans="45:45" ht="14.4">
      <c r="AS13551" s="20"/>
    </row>
    <row r="13552" spans="45:45" ht="14.4">
      <c r="AS13552" s="20"/>
    </row>
    <row r="13553" spans="45:45" ht="14.4">
      <c r="AS13553" s="20"/>
    </row>
    <row r="13554" spans="45:45" ht="14.4">
      <c r="AS13554" s="20"/>
    </row>
    <row r="13555" spans="45:45" ht="14.4">
      <c r="AS13555" s="20"/>
    </row>
    <row r="13556" spans="45:45" ht="14.4">
      <c r="AS13556" s="20"/>
    </row>
    <row r="13557" spans="45:45" ht="14.4">
      <c r="AS13557" s="20"/>
    </row>
    <row r="13558" spans="45:45" ht="14.4">
      <c r="AS13558" s="20"/>
    </row>
    <row r="13559" spans="45:45" ht="14.4">
      <c r="AS13559" s="20"/>
    </row>
    <row r="13560" spans="45:45" ht="14.4">
      <c r="AS13560" s="20"/>
    </row>
    <row r="13561" spans="45:45" ht="14.4">
      <c r="AS13561" s="20"/>
    </row>
    <row r="13562" spans="45:45" ht="14.4">
      <c r="AS13562" s="20"/>
    </row>
    <row r="13563" spans="45:45" ht="14.4">
      <c r="AS13563" s="20"/>
    </row>
    <row r="13564" spans="45:45" ht="14.4">
      <c r="AS13564" s="20"/>
    </row>
    <row r="13565" spans="45:45" ht="14.4">
      <c r="AS13565" s="20"/>
    </row>
    <row r="13566" spans="45:45" ht="14.4">
      <c r="AS13566" s="20"/>
    </row>
    <row r="13567" spans="45:45" ht="14.4">
      <c r="AS13567" s="20"/>
    </row>
    <row r="13568" spans="45:45" ht="14.4">
      <c r="AS13568" s="20"/>
    </row>
    <row r="13569" spans="45:45" ht="14.4">
      <c r="AS13569" s="20"/>
    </row>
    <row r="13570" spans="45:45" ht="14.4">
      <c r="AS13570" s="20"/>
    </row>
    <row r="13571" spans="45:45" ht="14.4">
      <c r="AS13571" s="20"/>
    </row>
    <row r="13572" spans="45:45" ht="14.4">
      <c r="AS13572" s="20"/>
    </row>
    <row r="13573" spans="45:45" ht="14.4">
      <c r="AS13573" s="20"/>
    </row>
    <row r="13574" spans="45:45" ht="14.4">
      <c r="AS13574" s="20"/>
    </row>
    <row r="13575" spans="45:45" ht="14.4">
      <c r="AS13575" s="20"/>
    </row>
    <row r="13576" spans="45:45" ht="14.4">
      <c r="AS13576" s="20"/>
    </row>
    <row r="13577" spans="45:45" ht="14.4">
      <c r="AS13577" s="20"/>
    </row>
    <row r="13578" spans="45:45" ht="14.4">
      <c r="AS13578" s="20"/>
    </row>
    <row r="13579" spans="45:45" ht="14.4">
      <c r="AS13579" s="20"/>
    </row>
    <row r="13580" spans="45:45" ht="14.4">
      <c r="AS13580" s="20"/>
    </row>
    <row r="13581" spans="45:45" ht="14.4">
      <c r="AS13581" s="20"/>
    </row>
    <row r="13582" spans="45:45" ht="14.4">
      <c r="AS13582" s="20"/>
    </row>
    <row r="13583" spans="45:45" ht="14.4">
      <c r="AS13583" s="20"/>
    </row>
    <row r="13584" spans="45:45" ht="14.4">
      <c r="AS13584" s="20"/>
    </row>
    <row r="13585" spans="45:45" ht="14.4">
      <c r="AS13585" s="20"/>
    </row>
    <row r="13586" spans="45:45" ht="14.4">
      <c r="AS13586" s="20"/>
    </row>
    <row r="13587" spans="45:45" ht="14.4">
      <c r="AS13587" s="20"/>
    </row>
    <row r="13588" spans="45:45" ht="14.4">
      <c r="AS13588" s="20"/>
    </row>
    <row r="13589" spans="45:45" ht="14.4">
      <c r="AS13589" s="20"/>
    </row>
    <row r="13590" spans="45:45" ht="14.4">
      <c r="AS13590" s="20"/>
    </row>
    <row r="13591" spans="45:45" ht="14.4">
      <c r="AS13591" s="20"/>
    </row>
    <row r="13592" spans="45:45" ht="14.4">
      <c r="AS13592" s="20"/>
    </row>
    <row r="13593" spans="45:45" ht="14.4">
      <c r="AS13593" s="20"/>
    </row>
    <row r="13594" spans="45:45" ht="14.4">
      <c r="AS13594" s="20"/>
    </row>
    <row r="13595" spans="45:45" ht="14.4">
      <c r="AS13595" s="20"/>
    </row>
    <row r="13596" spans="45:45" ht="14.4">
      <c r="AS13596" s="20"/>
    </row>
    <row r="13597" spans="45:45" ht="14.4">
      <c r="AS13597" s="20"/>
    </row>
    <row r="13598" spans="45:45" ht="14.4">
      <c r="AS13598" s="20"/>
    </row>
    <row r="13599" spans="45:45" ht="14.4">
      <c r="AS13599" s="20"/>
    </row>
    <row r="13600" spans="45:45" ht="14.4">
      <c r="AS13600" s="20"/>
    </row>
    <row r="13601" spans="45:45" ht="14.4">
      <c r="AS13601" s="20"/>
    </row>
    <row r="13602" spans="45:45" ht="14.4">
      <c r="AS13602" s="20"/>
    </row>
    <row r="13603" spans="45:45" ht="14.4">
      <c r="AS13603" s="20"/>
    </row>
    <row r="13604" spans="45:45" ht="14.4">
      <c r="AS13604" s="20"/>
    </row>
    <row r="13605" spans="45:45" ht="14.4">
      <c r="AS13605" s="20"/>
    </row>
    <row r="13606" spans="45:45" ht="14.4">
      <c r="AS13606" s="20"/>
    </row>
    <row r="13607" spans="45:45" ht="14.4">
      <c r="AS13607" s="20"/>
    </row>
    <row r="13608" spans="45:45" ht="14.4">
      <c r="AS13608" s="20"/>
    </row>
    <row r="13609" spans="45:45" ht="14.4">
      <c r="AS13609" s="20"/>
    </row>
    <row r="13610" spans="45:45" ht="14.4">
      <c r="AS13610" s="20"/>
    </row>
    <row r="13611" spans="45:45" ht="14.4">
      <c r="AS13611" s="20"/>
    </row>
    <row r="13612" spans="45:45" ht="14.4">
      <c r="AS13612" s="20"/>
    </row>
    <row r="13613" spans="45:45" ht="14.4">
      <c r="AS13613" s="20"/>
    </row>
    <row r="13614" spans="45:45" ht="14.4">
      <c r="AS13614" s="20"/>
    </row>
    <row r="13615" spans="45:45" ht="14.4">
      <c r="AS13615" s="20"/>
    </row>
    <row r="13616" spans="45:45" ht="14.4">
      <c r="AS13616" s="20"/>
    </row>
    <row r="13617" spans="45:45" ht="14.4">
      <c r="AS13617" s="20"/>
    </row>
    <row r="13618" spans="45:45" ht="14.4">
      <c r="AS13618" s="20"/>
    </row>
    <row r="13619" spans="45:45" ht="14.4">
      <c r="AS13619" s="20"/>
    </row>
    <row r="13620" spans="45:45" ht="14.4">
      <c r="AS13620" s="20"/>
    </row>
    <row r="13621" spans="45:45" ht="14.4">
      <c r="AS13621" s="20"/>
    </row>
    <row r="13622" spans="45:45" ht="14.4">
      <c r="AS13622" s="20"/>
    </row>
    <row r="13623" spans="45:45" ht="14.4">
      <c r="AS13623" s="20"/>
    </row>
    <row r="13624" spans="45:45" ht="14.4">
      <c r="AS13624" s="20"/>
    </row>
    <row r="13625" spans="45:45" ht="14.4">
      <c r="AS13625" s="20"/>
    </row>
    <row r="13626" spans="45:45" ht="14.4">
      <c r="AS13626" s="20"/>
    </row>
    <row r="13627" spans="45:45" ht="14.4">
      <c r="AS13627" s="20"/>
    </row>
    <row r="13628" spans="45:45" ht="14.4">
      <c r="AS13628" s="20"/>
    </row>
    <row r="13629" spans="45:45" ht="14.4">
      <c r="AS13629" s="20"/>
    </row>
    <row r="13630" spans="45:45" ht="14.4">
      <c r="AS13630" s="20"/>
    </row>
    <row r="13631" spans="45:45" ht="14.4">
      <c r="AS13631" s="20"/>
    </row>
    <row r="13632" spans="45:45" ht="14.4">
      <c r="AS13632" s="20"/>
    </row>
    <row r="13633" spans="45:45" ht="14.4">
      <c r="AS13633" s="20"/>
    </row>
    <row r="13634" spans="45:45" ht="14.4">
      <c r="AS13634" s="20"/>
    </row>
    <row r="13635" spans="45:45" ht="14.4">
      <c r="AS13635" s="20"/>
    </row>
    <row r="13636" spans="45:45" ht="14.4">
      <c r="AS13636" s="20"/>
    </row>
    <row r="13637" spans="45:45" ht="14.4">
      <c r="AS13637" s="20"/>
    </row>
    <row r="13638" spans="45:45" ht="14.4">
      <c r="AS13638" s="20"/>
    </row>
    <row r="13639" spans="45:45" ht="14.4">
      <c r="AS13639" s="20"/>
    </row>
    <row r="13640" spans="45:45" ht="14.4">
      <c r="AS13640" s="20"/>
    </row>
    <row r="13641" spans="45:45" ht="14.4">
      <c r="AS13641" s="20"/>
    </row>
    <row r="13642" spans="45:45" ht="14.4">
      <c r="AS13642" s="20"/>
    </row>
    <row r="13643" spans="45:45" ht="14.4">
      <c r="AS13643" s="20"/>
    </row>
    <row r="13644" spans="45:45" ht="14.4">
      <c r="AS13644" s="20"/>
    </row>
    <row r="13645" spans="45:45" ht="14.4">
      <c r="AS13645" s="20"/>
    </row>
    <row r="13646" spans="45:45" ht="14.4">
      <c r="AS13646" s="20"/>
    </row>
    <row r="13647" spans="45:45" ht="14.4">
      <c r="AS13647" s="20"/>
    </row>
    <row r="13648" spans="45:45" ht="14.4">
      <c r="AS13648" s="20"/>
    </row>
    <row r="13649" spans="45:45" ht="14.4">
      <c r="AS13649" s="20"/>
    </row>
    <row r="13650" spans="45:45" ht="14.4">
      <c r="AS13650" s="20"/>
    </row>
    <row r="13651" spans="45:45" ht="14.4">
      <c r="AS13651" s="20"/>
    </row>
    <row r="13652" spans="45:45" ht="14.4">
      <c r="AS13652" s="20"/>
    </row>
    <row r="13653" spans="45:45" ht="14.4">
      <c r="AS13653" s="20"/>
    </row>
    <row r="13654" spans="45:45" ht="14.4">
      <c r="AS13654" s="20"/>
    </row>
    <row r="13655" spans="45:45" ht="14.4">
      <c r="AS13655" s="20"/>
    </row>
    <row r="13656" spans="45:45" ht="14.4">
      <c r="AS13656" s="20"/>
    </row>
    <row r="13657" spans="45:45" ht="14.4">
      <c r="AS13657" s="20"/>
    </row>
    <row r="13658" spans="45:45" ht="14.4">
      <c r="AS13658" s="20"/>
    </row>
    <row r="13659" spans="45:45" ht="14.4">
      <c r="AS13659" s="20"/>
    </row>
    <row r="13660" spans="45:45" ht="14.4">
      <c r="AS13660" s="20"/>
    </row>
    <row r="13661" spans="45:45" ht="14.4">
      <c r="AS13661" s="20"/>
    </row>
    <row r="13662" spans="45:45" ht="14.4">
      <c r="AS13662" s="20"/>
    </row>
    <row r="13663" spans="45:45" ht="14.4">
      <c r="AS13663" s="20"/>
    </row>
    <row r="13664" spans="45:45" ht="14.4">
      <c r="AS13664" s="20"/>
    </row>
    <row r="13665" spans="45:45" ht="14.4">
      <c r="AS13665" s="20"/>
    </row>
    <row r="13666" spans="45:45" ht="14.4">
      <c r="AS13666" s="20"/>
    </row>
    <row r="13667" spans="45:45" ht="14.4">
      <c r="AS13667" s="20"/>
    </row>
    <row r="13668" spans="45:45" ht="14.4">
      <c r="AS13668" s="20"/>
    </row>
    <row r="13669" spans="45:45" ht="14.4">
      <c r="AS13669" s="20"/>
    </row>
    <row r="13670" spans="45:45" ht="14.4">
      <c r="AS13670" s="20"/>
    </row>
    <row r="13671" spans="45:45" ht="14.4">
      <c r="AS13671" s="20"/>
    </row>
    <row r="13672" spans="45:45" ht="14.4">
      <c r="AS13672" s="20"/>
    </row>
    <row r="13673" spans="45:45" ht="14.4">
      <c r="AS13673" s="20"/>
    </row>
    <row r="13674" spans="45:45" ht="14.4">
      <c r="AS13674" s="20"/>
    </row>
    <row r="13675" spans="45:45" ht="14.4">
      <c r="AS13675" s="20"/>
    </row>
    <row r="13676" spans="45:45" ht="14.4">
      <c r="AS13676" s="20"/>
    </row>
    <row r="13677" spans="45:45" ht="14.4">
      <c r="AS13677" s="20"/>
    </row>
    <row r="13678" spans="45:45" ht="14.4">
      <c r="AS13678" s="20"/>
    </row>
    <row r="13679" spans="45:45" ht="14.4">
      <c r="AS13679" s="20"/>
    </row>
    <row r="13680" spans="45:45" ht="14.4">
      <c r="AS13680" s="20"/>
    </row>
    <row r="13681" spans="45:45" ht="14.4">
      <c r="AS13681" s="20"/>
    </row>
    <row r="13682" spans="45:45" ht="14.4">
      <c r="AS13682" s="20"/>
    </row>
    <row r="13683" spans="45:45" ht="14.4">
      <c r="AS13683" s="20"/>
    </row>
    <row r="13684" spans="45:45" ht="14.4">
      <c r="AS13684" s="20"/>
    </row>
    <row r="13685" spans="45:45" ht="14.4">
      <c r="AS13685" s="20"/>
    </row>
    <row r="13686" spans="45:45" ht="14.4">
      <c r="AS13686" s="20"/>
    </row>
    <row r="13687" spans="45:45" ht="14.4">
      <c r="AS13687" s="20"/>
    </row>
    <row r="13688" spans="45:45" ht="14.4">
      <c r="AS13688" s="20"/>
    </row>
    <row r="13689" spans="45:45" ht="14.4">
      <c r="AS13689" s="20"/>
    </row>
    <row r="13690" spans="45:45" ht="14.4">
      <c r="AS13690" s="20"/>
    </row>
    <row r="13691" spans="45:45" ht="14.4">
      <c r="AS13691" s="20"/>
    </row>
    <row r="13692" spans="45:45" ht="14.4">
      <c r="AS13692" s="20"/>
    </row>
    <row r="13693" spans="45:45" ht="14.4">
      <c r="AS13693" s="20"/>
    </row>
    <row r="13694" spans="45:45" ht="14.4">
      <c r="AS13694" s="20"/>
    </row>
    <row r="13695" spans="45:45" ht="14.4">
      <c r="AS13695" s="20"/>
    </row>
    <row r="13696" spans="45:45" ht="14.4">
      <c r="AS13696" s="20"/>
    </row>
    <row r="13697" spans="45:45" ht="14.4">
      <c r="AS13697" s="20"/>
    </row>
    <row r="13698" spans="45:45" ht="14.4">
      <c r="AS13698" s="20"/>
    </row>
    <row r="13699" spans="45:45" ht="14.4">
      <c r="AS13699" s="20"/>
    </row>
    <row r="13700" spans="45:45" ht="14.4">
      <c r="AS13700" s="20"/>
    </row>
    <row r="13701" spans="45:45" ht="14.4">
      <c r="AS13701" s="20"/>
    </row>
    <row r="13702" spans="45:45" ht="14.4">
      <c r="AS13702" s="20"/>
    </row>
    <row r="13703" spans="45:45" ht="14.4">
      <c r="AS13703" s="20"/>
    </row>
    <row r="13704" spans="45:45" ht="14.4">
      <c r="AS13704" s="20"/>
    </row>
    <row r="13705" spans="45:45" ht="14.4">
      <c r="AS13705" s="20"/>
    </row>
    <row r="13706" spans="45:45" ht="14.4">
      <c r="AS13706" s="20"/>
    </row>
    <row r="13707" spans="45:45" ht="14.4">
      <c r="AS13707" s="20"/>
    </row>
    <row r="13708" spans="45:45" ht="14.4">
      <c r="AS13708" s="20"/>
    </row>
    <row r="13709" spans="45:45" ht="14.4">
      <c r="AS13709" s="20"/>
    </row>
    <row r="13710" spans="45:45" ht="14.4">
      <c r="AS13710" s="20"/>
    </row>
    <row r="13711" spans="45:45" ht="14.4">
      <c r="AS13711" s="20"/>
    </row>
    <row r="13712" spans="45:45" ht="14.4">
      <c r="AS13712" s="20"/>
    </row>
    <row r="13713" spans="45:45" ht="14.4">
      <c r="AS13713" s="20"/>
    </row>
    <row r="13714" spans="45:45" ht="14.4">
      <c r="AS13714" s="20"/>
    </row>
    <row r="13715" spans="45:45" ht="14.4">
      <c r="AS13715" s="20"/>
    </row>
    <row r="13716" spans="45:45" ht="14.4">
      <c r="AS13716" s="20"/>
    </row>
    <row r="13717" spans="45:45" ht="14.4">
      <c r="AS13717" s="20"/>
    </row>
    <row r="13718" spans="45:45" ht="14.4">
      <c r="AS13718" s="20"/>
    </row>
    <row r="13719" spans="45:45" ht="14.4">
      <c r="AS13719" s="20"/>
    </row>
    <row r="13720" spans="45:45" ht="14.4">
      <c r="AS13720" s="20"/>
    </row>
    <row r="13721" spans="45:45" ht="14.4">
      <c r="AS13721" s="20"/>
    </row>
    <row r="13722" spans="45:45" ht="14.4">
      <c r="AS13722" s="20"/>
    </row>
    <row r="13723" spans="45:45" ht="14.4">
      <c r="AS13723" s="20"/>
    </row>
    <row r="13724" spans="45:45" ht="14.4">
      <c r="AS13724" s="20"/>
    </row>
    <row r="13725" spans="45:45" ht="14.4">
      <c r="AS13725" s="20"/>
    </row>
    <row r="13726" spans="45:45" ht="14.4">
      <c r="AS13726" s="20"/>
    </row>
    <row r="13727" spans="45:45" ht="14.4">
      <c r="AS13727" s="20"/>
    </row>
    <row r="13728" spans="45:45" ht="14.4">
      <c r="AS13728" s="20"/>
    </row>
    <row r="13729" spans="45:45" ht="14.4">
      <c r="AS13729" s="20"/>
    </row>
    <row r="13730" spans="45:45" ht="14.4">
      <c r="AS13730" s="20"/>
    </row>
    <row r="13731" spans="45:45" ht="14.4">
      <c r="AS13731" s="20"/>
    </row>
    <row r="13732" spans="45:45" ht="14.4">
      <c r="AS13732" s="20"/>
    </row>
    <row r="13733" spans="45:45" ht="14.4">
      <c r="AS13733" s="20"/>
    </row>
    <row r="13734" spans="45:45" ht="14.4">
      <c r="AS13734" s="20"/>
    </row>
    <row r="13735" spans="45:45" ht="14.4">
      <c r="AS13735" s="20"/>
    </row>
    <row r="13736" spans="45:45" ht="14.4">
      <c r="AS13736" s="20"/>
    </row>
    <row r="13737" spans="45:45" ht="14.4">
      <c r="AS13737" s="20"/>
    </row>
    <row r="13738" spans="45:45" ht="14.4">
      <c r="AS13738" s="20"/>
    </row>
    <row r="13739" spans="45:45" ht="14.4">
      <c r="AS13739" s="20"/>
    </row>
    <row r="13740" spans="45:45" ht="14.4">
      <c r="AS13740" s="20"/>
    </row>
    <row r="13741" spans="45:45" ht="14.4">
      <c r="AS13741" s="20"/>
    </row>
    <row r="13742" spans="45:45" ht="14.4">
      <c r="AS13742" s="20"/>
    </row>
    <row r="13743" spans="45:45" ht="14.4">
      <c r="AS13743" s="20"/>
    </row>
    <row r="13744" spans="45:45" ht="14.4">
      <c r="AS13744" s="20"/>
    </row>
    <row r="13745" spans="45:45" ht="14.4">
      <c r="AS13745" s="20"/>
    </row>
    <row r="13746" spans="45:45" ht="14.4">
      <c r="AS13746" s="20"/>
    </row>
    <row r="13747" spans="45:45" ht="14.4">
      <c r="AS13747" s="20"/>
    </row>
    <row r="13748" spans="45:45" ht="14.4">
      <c r="AS13748" s="20"/>
    </row>
    <row r="13749" spans="45:45" ht="14.4">
      <c r="AS13749" s="20"/>
    </row>
    <row r="13750" spans="45:45" ht="14.4">
      <c r="AS13750" s="20"/>
    </row>
    <row r="13751" spans="45:45" ht="14.4">
      <c r="AS13751" s="20"/>
    </row>
    <row r="13752" spans="45:45" ht="14.4">
      <c r="AS13752" s="20"/>
    </row>
    <row r="13753" spans="45:45" ht="14.4">
      <c r="AS13753" s="20"/>
    </row>
    <row r="13754" spans="45:45" ht="14.4">
      <c r="AS13754" s="20"/>
    </row>
    <row r="13755" spans="45:45" ht="14.4">
      <c r="AS13755" s="20"/>
    </row>
    <row r="13756" spans="45:45" ht="14.4">
      <c r="AS13756" s="20"/>
    </row>
    <row r="13757" spans="45:45" ht="14.4">
      <c r="AS13757" s="20"/>
    </row>
    <row r="13758" spans="45:45" ht="14.4">
      <c r="AS13758" s="20"/>
    </row>
    <row r="13759" spans="45:45" ht="14.4">
      <c r="AS13759" s="20"/>
    </row>
    <row r="13760" spans="45:45" ht="14.4">
      <c r="AS13760" s="20"/>
    </row>
    <row r="13761" spans="45:45" ht="14.4">
      <c r="AS13761" s="20"/>
    </row>
    <row r="13762" spans="45:45" ht="14.4">
      <c r="AS13762" s="20"/>
    </row>
    <row r="13763" spans="45:45" ht="14.4">
      <c r="AS13763" s="20"/>
    </row>
    <row r="13764" spans="45:45" ht="14.4">
      <c r="AS13764" s="20"/>
    </row>
    <row r="13765" spans="45:45" ht="14.4">
      <c r="AS13765" s="20"/>
    </row>
    <row r="13766" spans="45:45" ht="14.4">
      <c r="AS13766" s="20"/>
    </row>
    <row r="13767" spans="45:45" ht="14.4">
      <c r="AS13767" s="20"/>
    </row>
    <row r="13768" spans="45:45" ht="14.4">
      <c r="AS13768" s="20"/>
    </row>
    <row r="13769" spans="45:45" ht="14.4">
      <c r="AS13769" s="20"/>
    </row>
    <row r="13770" spans="45:45" ht="14.4">
      <c r="AS13770" s="20"/>
    </row>
    <row r="13771" spans="45:45" ht="14.4">
      <c r="AS13771" s="20"/>
    </row>
    <row r="13772" spans="45:45" ht="14.4">
      <c r="AS13772" s="20"/>
    </row>
    <row r="13773" spans="45:45" ht="14.4">
      <c r="AS13773" s="20"/>
    </row>
    <row r="13774" spans="45:45" ht="14.4">
      <c r="AS13774" s="20"/>
    </row>
    <row r="13775" spans="45:45" ht="14.4">
      <c r="AS13775" s="20"/>
    </row>
    <row r="13776" spans="45:45" ht="14.4">
      <c r="AS13776" s="20"/>
    </row>
    <row r="13777" spans="45:45" ht="14.4">
      <c r="AS13777" s="20"/>
    </row>
    <row r="13778" spans="45:45" ht="14.4">
      <c r="AS13778" s="20"/>
    </row>
    <row r="13779" spans="45:45" ht="14.4">
      <c r="AS13779" s="20"/>
    </row>
    <row r="13780" spans="45:45" ht="14.4">
      <c r="AS13780" s="20"/>
    </row>
    <row r="13781" spans="45:45" ht="14.4">
      <c r="AS13781" s="20"/>
    </row>
    <row r="13782" spans="45:45" ht="14.4">
      <c r="AS13782" s="20"/>
    </row>
    <row r="13783" spans="45:45" ht="14.4">
      <c r="AS13783" s="20"/>
    </row>
    <row r="13784" spans="45:45" ht="14.4">
      <c r="AS13784" s="20"/>
    </row>
    <row r="13785" spans="45:45" ht="14.4">
      <c r="AS13785" s="20"/>
    </row>
    <row r="13786" spans="45:45" ht="14.4">
      <c r="AS13786" s="20"/>
    </row>
    <row r="13787" spans="45:45" ht="14.4">
      <c r="AS13787" s="20"/>
    </row>
    <row r="13788" spans="45:45" ht="14.4">
      <c r="AS13788" s="20"/>
    </row>
    <row r="13789" spans="45:45" ht="14.4">
      <c r="AS13789" s="20"/>
    </row>
    <row r="13790" spans="45:45" ht="14.4">
      <c r="AS13790" s="20"/>
    </row>
    <row r="13791" spans="45:45" ht="14.4">
      <c r="AS13791" s="20"/>
    </row>
    <row r="13792" spans="45:45" ht="14.4">
      <c r="AS13792" s="20"/>
    </row>
    <row r="13793" spans="45:45" ht="14.4">
      <c r="AS13793" s="20"/>
    </row>
    <row r="13794" spans="45:45" ht="14.4">
      <c r="AS13794" s="20"/>
    </row>
    <row r="13795" spans="45:45" ht="14.4">
      <c r="AS13795" s="20"/>
    </row>
    <row r="13796" spans="45:45" ht="14.4">
      <c r="AS13796" s="20"/>
    </row>
    <row r="13797" spans="45:45" ht="14.4">
      <c r="AS13797" s="20"/>
    </row>
    <row r="13798" spans="45:45" ht="14.4">
      <c r="AS13798" s="20"/>
    </row>
    <row r="13799" spans="45:45" ht="14.4">
      <c r="AS13799" s="20"/>
    </row>
    <row r="13800" spans="45:45" ht="14.4">
      <c r="AS13800" s="20"/>
    </row>
    <row r="13801" spans="45:45" ht="14.4">
      <c r="AS13801" s="20"/>
    </row>
    <row r="13802" spans="45:45" ht="14.4">
      <c r="AS13802" s="20"/>
    </row>
    <row r="13803" spans="45:45" ht="14.4">
      <c r="AS13803" s="20"/>
    </row>
    <row r="13804" spans="45:45" ht="14.4">
      <c r="AS13804" s="20"/>
    </row>
    <row r="13805" spans="45:45" ht="14.4">
      <c r="AS13805" s="20"/>
    </row>
    <row r="13806" spans="45:45" ht="14.4">
      <c r="AS13806" s="20"/>
    </row>
    <row r="13807" spans="45:45" ht="14.4">
      <c r="AS13807" s="20"/>
    </row>
    <row r="13808" spans="45:45" ht="14.4">
      <c r="AS13808" s="20"/>
    </row>
    <row r="13809" spans="45:45" ht="14.4">
      <c r="AS13809" s="20"/>
    </row>
    <row r="13810" spans="45:45" ht="14.4">
      <c r="AS13810" s="20"/>
    </row>
    <row r="13811" spans="45:45" ht="14.4">
      <c r="AS13811" s="20"/>
    </row>
    <row r="13812" spans="45:45" ht="14.4">
      <c r="AS13812" s="20"/>
    </row>
    <row r="13813" spans="45:45" ht="14.4">
      <c r="AS13813" s="20"/>
    </row>
    <row r="13814" spans="45:45" ht="14.4">
      <c r="AS13814" s="20"/>
    </row>
    <row r="13815" spans="45:45" ht="14.4">
      <c r="AS13815" s="20"/>
    </row>
    <row r="13816" spans="45:45" ht="14.4">
      <c r="AS13816" s="20"/>
    </row>
    <row r="13817" spans="45:45" ht="14.4">
      <c r="AS13817" s="20"/>
    </row>
    <row r="13818" spans="45:45" ht="14.4">
      <c r="AS13818" s="20"/>
    </row>
    <row r="13819" spans="45:45" ht="14.4">
      <c r="AS13819" s="20"/>
    </row>
    <row r="13820" spans="45:45" ht="14.4">
      <c r="AS13820" s="20"/>
    </row>
    <row r="13821" spans="45:45" ht="14.4">
      <c r="AS13821" s="20"/>
    </row>
    <row r="13822" spans="45:45" ht="14.4">
      <c r="AS13822" s="20"/>
    </row>
    <row r="13823" spans="45:45" ht="14.4">
      <c r="AS13823" s="20"/>
    </row>
    <row r="13824" spans="45:45" ht="14.4">
      <c r="AS13824" s="20"/>
    </row>
    <row r="13825" spans="45:45" ht="14.4">
      <c r="AS13825" s="20"/>
    </row>
    <row r="13826" spans="45:45" ht="14.4">
      <c r="AS13826" s="20"/>
    </row>
    <row r="13827" spans="45:45" ht="14.4">
      <c r="AS13827" s="20"/>
    </row>
    <row r="13828" spans="45:45" ht="14.4">
      <c r="AS13828" s="20"/>
    </row>
    <row r="13829" spans="45:45" ht="14.4">
      <c r="AS13829" s="20"/>
    </row>
    <row r="13830" spans="45:45" ht="14.4">
      <c r="AS13830" s="20"/>
    </row>
    <row r="13831" spans="45:45" ht="14.4">
      <c r="AS13831" s="20"/>
    </row>
    <row r="13832" spans="45:45" ht="14.4">
      <c r="AS13832" s="20"/>
    </row>
    <row r="13833" spans="45:45" ht="14.4">
      <c r="AS13833" s="20"/>
    </row>
    <row r="13834" spans="45:45" ht="14.4">
      <c r="AS13834" s="20"/>
    </row>
    <row r="13835" spans="45:45" ht="14.4">
      <c r="AS13835" s="20"/>
    </row>
    <row r="13836" spans="45:45" ht="14.4">
      <c r="AS13836" s="20"/>
    </row>
    <row r="13837" spans="45:45" ht="14.4">
      <c r="AS13837" s="20"/>
    </row>
    <row r="13838" spans="45:45" ht="14.4">
      <c r="AS13838" s="20"/>
    </row>
    <row r="13839" spans="45:45" ht="14.4">
      <c r="AS13839" s="20"/>
    </row>
    <row r="13840" spans="45:45" ht="14.4">
      <c r="AS13840" s="20"/>
    </row>
    <row r="13841" spans="45:45" ht="14.4">
      <c r="AS13841" s="20"/>
    </row>
    <row r="13842" spans="45:45" ht="14.4">
      <c r="AS13842" s="20"/>
    </row>
    <row r="13843" spans="45:45" ht="14.4">
      <c r="AS13843" s="20"/>
    </row>
    <row r="13844" spans="45:45" ht="14.4">
      <c r="AS13844" s="20"/>
    </row>
    <row r="13845" spans="45:45" ht="14.4">
      <c r="AS13845" s="20"/>
    </row>
    <row r="13846" spans="45:45" ht="14.4">
      <c r="AS13846" s="20"/>
    </row>
    <row r="13847" spans="45:45" ht="14.4">
      <c r="AS13847" s="20"/>
    </row>
    <row r="13848" spans="45:45" ht="14.4">
      <c r="AS13848" s="20"/>
    </row>
    <row r="13849" spans="45:45" ht="14.4">
      <c r="AS13849" s="20"/>
    </row>
    <row r="13850" spans="45:45" ht="14.4">
      <c r="AS13850" s="20"/>
    </row>
    <row r="13851" spans="45:45" ht="14.4">
      <c r="AS13851" s="20"/>
    </row>
    <row r="13852" spans="45:45" ht="14.4">
      <c r="AS13852" s="20"/>
    </row>
    <row r="13853" spans="45:45" ht="14.4">
      <c r="AS13853" s="20"/>
    </row>
    <row r="13854" spans="45:45" ht="14.4">
      <c r="AS13854" s="20"/>
    </row>
    <row r="13855" spans="45:45" ht="14.4">
      <c r="AS13855" s="20"/>
    </row>
    <row r="13856" spans="45:45" ht="14.4">
      <c r="AS13856" s="20"/>
    </row>
    <row r="13857" spans="45:45" ht="14.4">
      <c r="AS13857" s="20"/>
    </row>
    <row r="13858" spans="45:45" ht="14.4">
      <c r="AS13858" s="20"/>
    </row>
    <row r="13859" spans="45:45" ht="14.4">
      <c r="AS13859" s="20"/>
    </row>
    <row r="13860" spans="45:45" ht="14.4">
      <c r="AS13860" s="20"/>
    </row>
    <row r="13861" spans="45:45" ht="14.4">
      <c r="AS13861" s="20"/>
    </row>
    <row r="13862" spans="45:45" ht="14.4">
      <c r="AS13862" s="20"/>
    </row>
    <row r="13863" spans="45:45" ht="14.4">
      <c r="AS13863" s="20"/>
    </row>
    <row r="13864" spans="45:45" ht="14.4">
      <c r="AS13864" s="20"/>
    </row>
    <row r="13865" spans="45:45" ht="14.4">
      <c r="AS13865" s="20"/>
    </row>
    <row r="13866" spans="45:45" ht="14.4">
      <c r="AS13866" s="20"/>
    </row>
    <row r="13867" spans="45:45" ht="14.4">
      <c r="AS13867" s="20"/>
    </row>
    <row r="13868" spans="45:45" ht="14.4">
      <c r="AS13868" s="20"/>
    </row>
    <row r="13869" spans="45:45" ht="14.4">
      <c r="AS13869" s="20"/>
    </row>
    <row r="13870" spans="45:45" ht="14.4">
      <c r="AS13870" s="20"/>
    </row>
    <row r="13871" spans="45:45" ht="14.4">
      <c r="AS13871" s="20"/>
    </row>
    <row r="13872" spans="45:45" ht="14.4">
      <c r="AS13872" s="20"/>
    </row>
    <row r="13873" spans="45:45" ht="14.4">
      <c r="AS13873" s="20"/>
    </row>
    <row r="13874" spans="45:45" ht="14.4">
      <c r="AS13874" s="20"/>
    </row>
    <row r="13875" spans="45:45" ht="14.4">
      <c r="AS13875" s="20"/>
    </row>
    <row r="13876" spans="45:45" ht="14.4">
      <c r="AS13876" s="20"/>
    </row>
    <row r="13877" spans="45:45" ht="14.4">
      <c r="AS13877" s="20"/>
    </row>
    <row r="13878" spans="45:45" ht="14.4">
      <c r="AS13878" s="20"/>
    </row>
    <row r="13879" spans="45:45" ht="14.4">
      <c r="AS13879" s="20"/>
    </row>
    <row r="13880" spans="45:45" ht="14.4">
      <c r="AS13880" s="20"/>
    </row>
    <row r="13881" spans="45:45" ht="14.4">
      <c r="AS13881" s="20"/>
    </row>
    <row r="13882" spans="45:45" ht="14.4">
      <c r="AS13882" s="20"/>
    </row>
    <row r="13883" spans="45:45" ht="14.4">
      <c r="AS13883" s="20"/>
    </row>
    <row r="13884" spans="45:45" ht="14.4">
      <c r="AS13884" s="20"/>
    </row>
    <row r="13885" spans="45:45" ht="14.4">
      <c r="AS13885" s="20"/>
    </row>
    <row r="13886" spans="45:45" ht="14.4">
      <c r="AS13886" s="20"/>
    </row>
    <row r="13887" spans="45:45" ht="14.4">
      <c r="AS13887" s="20"/>
    </row>
    <row r="13888" spans="45:45" ht="14.4">
      <c r="AS13888" s="20"/>
    </row>
    <row r="13889" spans="45:45" ht="14.4">
      <c r="AS13889" s="20"/>
    </row>
    <row r="13890" spans="45:45" ht="14.4">
      <c r="AS13890" s="20"/>
    </row>
    <row r="13891" spans="45:45" ht="14.4">
      <c r="AS13891" s="20"/>
    </row>
    <row r="13892" spans="45:45" ht="14.4">
      <c r="AS13892" s="20"/>
    </row>
    <row r="13893" spans="45:45" ht="14.4">
      <c r="AS13893" s="20"/>
    </row>
    <row r="13894" spans="45:45" ht="14.4">
      <c r="AS13894" s="20"/>
    </row>
    <row r="13895" spans="45:45" ht="14.4">
      <c r="AS13895" s="20"/>
    </row>
    <row r="13896" spans="45:45" ht="14.4">
      <c r="AS13896" s="20"/>
    </row>
    <row r="13897" spans="45:45" ht="14.4">
      <c r="AS13897" s="20"/>
    </row>
    <row r="13898" spans="45:45" ht="14.4">
      <c r="AS13898" s="20"/>
    </row>
    <row r="13899" spans="45:45" ht="14.4">
      <c r="AS13899" s="20"/>
    </row>
    <row r="13900" spans="45:45" ht="14.4">
      <c r="AS13900" s="20"/>
    </row>
    <row r="13901" spans="45:45" ht="14.4">
      <c r="AS13901" s="20"/>
    </row>
    <row r="13902" spans="45:45" ht="14.4">
      <c r="AS13902" s="20"/>
    </row>
    <row r="13903" spans="45:45" ht="14.4">
      <c r="AS13903" s="20"/>
    </row>
    <row r="13904" spans="45:45" ht="14.4">
      <c r="AS13904" s="20"/>
    </row>
    <row r="13905" spans="45:45" ht="14.4">
      <c r="AS13905" s="20"/>
    </row>
    <row r="13906" spans="45:45" ht="14.4">
      <c r="AS13906" s="20"/>
    </row>
    <row r="13907" spans="45:45" ht="14.4">
      <c r="AS13907" s="20"/>
    </row>
    <row r="13908" spans="45:45" ht="14.4">
      <c r="AS13908" s="20"/>
    </row>
    <row r="13909" spans="45:45" ht="14.4">
      <c r="AS13909" s="20"/>
    </row>
    <row r="13910" spans="45:45" ht="14.4">
      <c r="AS13910" s="20"/>
    </row>
    <row r="13911" spans="45:45" ht="14.4">
      <c r="AS13911" s="20"/>
    </row>
    <row r="13912" spans="45:45" ht="14.4">
      <c r="AS13912" s="20"/>
    </row>
    <row r="13913" spans="45:45" ht="14.4">
      <c r="AS13913" s="20"/>
    </row>
    <row r="13914" spans="45:45" ht="14.4">
      <c r="AS13914" s="20"/>
    </row>
    <row r="13915" spans="45:45" ht="14.4">
      <c r="AS13915" s="20"/>
    </row>
    <row r="13916" spans="45:45" ht="14.4">
      <c r="AS13916" s="20"/>
    </row>
    <row r="13917" spans="45:45" ht="14.4">
      <c r="AS13917" s="20"/>
    </row>
    <row r="13918" spans="45:45" ht="14.4">
      <c r="AS13918" s="20"/>
    </row>
    <row r="13919" spans="45:45" ht="14.4">
      <c r="AS13919" s="20"/>
    </row>
    <row r="13920" spans="45:45" ht="14.4">
      <c r="AS13920" s="20"/>
    </row>
    <row r="13921" spans="45:45" ht="14.4">
      <c r="AS13921" s="20"/>
    </row>
    <row r="13922" spans="45:45" ht="14.4">
      <c r="AS13922" s="20"/>
    </row>
    <row r="13923" spans="45:45" ht="14.4">
      <c r="AS13923" s="20"/>
    </row>
    <row r="13924" spans="45:45" ht="14.4">
      <c r="AS13924" s="20"/>
    </row>
    <row r="13925" spans="45:45" ht="14.4">
      <c r="AS13925" s="20"/>
    </row>
    <row r="13926" spans="45:45" ht="14.4">
      <c r="AS13926" s="20"/>
    </row>
    <row r="13927" spans="45:45" ht="14.4">
      <c r="AS13927" s="20"/>
    </row>
    <row r="13928" spans="45:45" ht="14.4">
      <c r="AS13928" s="20"/>
    </row>
    <row r="13929" spans="45:45" ht="14.4">
      <c r="AS13929" s="20"/>
    </row>
    <row r="13930" spans="45:45" ht="14.4">
      <c r="AS13930" s="20"/>
    </row>
    <row r="13931" spans="45:45" ht="14.4">
      <c r="AS13931" s="20"/>
    </row>
    <row r="13932" spans="45:45" ht="14.4">
      <c r="AS13932" s="20"/>
    </row>
    <row r="13933" spans="45:45" ht="14.4">
      <c r="AS13933" s="20"/>
    </row>
    <row r="13934" spans="45:45" ht="14.4">
      <c r="AS13934" s="20"/>
    </row>
    <row r="13935" spans="45:45" ht="14.4">
      <c r="AS13935" s="20"/>
    </row>
    <row r="13936" spans="45:45" ht="14.4">
      <c r="AS13936" s="20"/>
    </row>
    <row r="13937" spans="45:45" ht="14.4">
      <c r="AS13937" s="20"/>
    </row>
    <row r="13938" spans="45:45" ht="14.4">
      <c r="AS13938" s="20"/>
    </row>
    <row r="13939" spans="45:45" ht="14.4">
      <c r="AS13939" s="20"/>
    </row>
    <row r="13940" spans="45:45" ht="14.4">
      <c r="AS13940" s="20"/>
    </row>
    <row r="13941" spans="45:45" ht="14.4">
      <c r="AS13941" s="20"/>
    </row>
    <row r="13942" spans="45:45" ht="14.4">
      <c r="AS13942" s="20"/>
    </row>
    <row r="13943" spans="45:45" ht="14.4">
      <c r="AS13943" s="20"/>
    </row>
    <row r="13944" spans="45:45" ht="14.4">
      <c r="AS13944" s="20"/>
    </row>
    <row r="13945" spans="45:45" ht="14.4">
      <c r="AS13945" s="20"/>
    </row>
    <row r="13946" spans="45:45" ht="14.4">
      <c r="AS13946" s="20"/>
    </row>
    <row r="13947" spans="45:45" ht="14.4">
      <c r="AS13947" s="20"/>
    </row>
    <row r="13948" spans="45:45" ht="14.4">
      <c r="AS13948" s="20"/>
    </row>
    <row r="13949" spans="45:45" ht="14.4">
      <c r="AS13949" s="20"/>
    </row>
    <row r="13950" spans="45:45" ht="14.4">
      <c r="AS13950" s="20"/>
    </row>
    <row r="13951" spans="45:45" ht="14.4">
      <c r="AS13951" s="20"/>
    </row>
    <row r="13952" spans="45:45" ht="14.4">
      <c r="AS13952" s="20"/>
    </row>
    <row r="13953" spans="45:45" ht="14.4">
      <c r="AS13953" s="20"/>
    </row>
    <row r="13954" spans="45:45" ht="14.4">
      <c r="AS13954" s="20"/>
    </row>
    <row r="13955" spans="45:45" ht="14.4">
      <c r="AS13955" s="20"/>
    </row>
    <row r="13956" spans="45:45" ht="14.4">
      <c r="AS13956" s="20"/>
    </row>
    <row r="13957" spans="45:45" ht="14.4">
      <c r="AS13957" s="20"/>
    </row>
    <row r="13958" spans="45:45" ht="14.4">
      <c r="AS13958" s="20"/>
    </row>
    <row r="13959" spans="45:45" ht="14.4">
      <c r="AS13959" s="20"/>
    </row>
    <row r="13960" spans="45:45" ht="14.4">
      <c r="AS13960" s="20"/>
    </row>
    <row r="13961" spans="45:45" ht="14.4">
      <c r="AS13961" s="20"/>
    </row>
    <row r="13962" spans="45:45" ht="14.4">
      <c r="AS13962" s="20"/>
    </row>
    <row r="13963" spans="45:45" ht="14.4">
      <c r="AS13963" s="20"/>
    </row>
    <row r="13964" spans="45:45" ht="14.4">
      <c r="AS13964" s="20"/>
    </row>
    <row r="13965" spans="45:45" ht="14.4">
      <c r="AS13965" s="20"/>
    </row>
    <row r="13966" spans="45:45" ht="14.4">
      <c r="AS13966" s="20"/>
    </row>
    <row r="13967" spans="45:45" ht="14.4">
      <c r="AS13967" s="20"/>
    </row>
    <row r="13968" spans="45:45" ht="14.4">
      <c r="AS13968" s="20"/>
    </row>
    <row r="13969" spans="45:45" ht="14.4">
      <c r="AS13969" s="20"/>
    </row>
    <row r="13970" spans="45:45" ht="14.4">
      <c r="AS13970" s="20"/>
    </row>
    <row r="13971" spans="45:45" ht="14.4">
      <c r="AS13971" s="20"/>
    </row>
    <row r="13972" spans="45:45" ht="14.4">
      <c r="AS13972" s="20"/>
    </row>
    <row r="13973" spans="45:45" ht="14.4">
      <c r="AS13973" s="20"/>
    </row>
    <row r="13974" spans="45:45" ht="14.4">
      <c r="AS13974" s="20"/>
    </row>
    <row r="13975" spans="45:45" ht="14.4">
      <c r="AS13975" s="20"/>
    </row>
    <row r="13976" spans="45:45" ht="14.4">
      <c r="AS13976" s="20"/>
    </row>
    <row r="13977" spans="45:45" ht="14.4">
      <c r="AS13977" s="20"/>
    </row>
    <row r="13978" spans="45:45" ht="14.4">
      <c r="AS13978" s="20"/>
    </row>
    <row r="13979" spans="45:45" ht="14.4">
      <c r="AS13979" s="20"/>
    </row>
    <row r="13980" spans="45:45" ht="14.4">
      <c r="AS13980" s="20"/>
    </row>
    <row r="13981" spans="45:45" ht="14.4">
      <c r="AS13981" s="20"/>
    </row>
    <row r="13982" spans="45:45" ht="14.4">
      <c r="AS13982" s="20"/>
    </row>
    <row r="13983" spans="45:45" ht="14.4">
      <c r="AS13983" s="20"/>
    </row>
    <row r="13984" spans="45:45" ht="14.4">
      <c r="AS13984" s="20"/>
    </row>
    <row r="13985" spans="45:45" ht="14.4">
      <c r="AS13985" s="20"/>
    </row>
    <row r="13986" spans="45:45" ht="14.4">
      <c r="AS13986" s="20"/>
    </row>
    <row r="13987" spans="45:45" ht="14.4">
      <c r="AS13987" s="20"/>
    </row>
    <row r="13988" spans="45:45" ht="14.4">
      <c r="AS13988" s="20"/>
    </row>
    <row r="13989" spans="45:45" ht="14.4">
      <c r="AS13989" s="20"/>
    </row>
    <row r="13990" spans="45:45" ht="14.4">
      <c r="AS13990" s="20"/>
    </row>
    <row r="13991" spans="45:45" ht="14.4">
      <c r="AS13991" s="20"/>
    </row>
    <row r="13992" spans="45:45" ht="14.4">
      <c r="AS13992" s="20"/>
    </row>
    <row r="13993" spans="45:45" ht="14.4">
      <c r="AS13993" s="20"/>
    </row>
    <row r="13994" spans="45:45" ht="14.4">
      <c r="AS13994" s="20"/>
    </row>
    <row r="13995" spans="45:45" ht="14.4">
      <c r="AS13995" s="20"/>
    </row>
    <row r="13996" spans="45:45" ht="14.4">
      <c r="AS13996" s="20"/>
    </row>
    <row r="13997" spans="45:45" ht="14.4">
      <c r="AS13997" s="20"/>
    </row>
    <row r="13998" spans="45:45" ht="14.4">
      <c r="AS13998" s="20"/>
    </row>
    <row r="13999" spans="45:45" ht="14.4">
      <c r="AS13999" s="20"/>
    </row>
    <row r="14000" spans="45:45" ht="14.4">
      <c r="AS14000" s="20"/>
    </row>
    <row r="14001" spans="45:45" ht="14.4">
      <c r="AS14001" s="20"/>
    </row>
    <row r="14002" spans="45:45" ht="14.4">
      <c r="AS14002" s="20"/>
    </row>
    <row r="14003" spans="45:45" ht="14.4">
      <c r="AS14003" s="20"/>
    </row>
    <row r="14004" spans="45:45" ht="14.4">
      <c r="AS14004" s="20"/>
    </row>
    <row r="14005" spans="45:45" ht="14.4">
      <c r="AS14005" s="20"/>
    </row>
    <row r="14006" spans="45:45" ht="14.4">
      <c r="AS14006" s="20"/>
    </row>
    <row r="14007" spans="45:45" ht="14.4">
      <c r="AS14007" s="20"/>
    </row>
    <row r="14008" spans="45:45" ht="14.4">
      <c r="AS14008" s="20"/>
    </row>
    <row r="14009" spans="45:45" ht="14.4">
      <c r="AS14009" s="20"/>
    </row>
    <row r="14010" spans="45:45" ht="14.4">
      <c r="AS14010" s="20"/>
    </row>
    <row r="14011" spans="45:45" ht="14.4">
      <c r="AS14011" s="20"/>
    </row>
    <row r="14012" spans="45:45" ht="14.4">
      <c r="AS14012" s="20"/>
    </row>
    <row r="14013" spans="45:45" ht="14.4">
      <c r="AS14013" s="20"/>
    </row>
    <row r="14014" spans="45:45" ht="14.4">
      <c r="AS14014" s="20"/>
    </row>
    <row r="14015" spans="45:45" ht="14.4">
      <c r="AS14015" s="20"/>
    </row>
    <row r="14016" spans="45:45" ht="14.4">
      <c r="AS14016" s="20"/>
    </row>
    <row r="14017" spans="45:45" ht="14.4">
      <c r="AS14017" s="20"/>
    </row>
    <row r="14018" spans="45:45" ht="14.4">
      <c r="AS14018" s="20"/>
    </row>
    <row r="14019" spans="45:45" ht="14.4">
      <c r="AS14019" s="20"/>
    </row>
    <row r="14020" spans="45:45" ht="14.4">
      <c r="AS14020" s="20"/>
    </row>
    <row r="14021" spans="45:45" ht="14.4">
      <c r="AS14021" s="20"/>
    </row>
    <row r="14022" spans="45:45" ht="14.4">
      <c r="AS14022" s="20"/>
    </row>
    <row r="14023" spans="45:45" ht="14.4">
      <c r="AS14023" s="20"/>
    </row>
    <row r="14024" spans="45:45" ht="14.4">
      <c r="AS14024" s="20"/>
    </row>
    <row r="14025" spans="45:45" ht="14.4">
      <c r="AS14025" s="20"/>
    </row>
    <row r="14026" spans="45:45" ht="14.4">
      <c r="AS14026" s="20"/>
    </row>
    <row r="14027" spans="45:45" ht="14.4">
      <c r="AS14027" s="20"/>
    </row>
    <row r="14028" spans="45:45" ht="14.4">
      <c r="AS14028" s="20"/>
    </row>
    <row r="14029" spans="45:45" ht="14.4">
      <c r="AS14029" s="20"/>
    </row>
    <row r="14030" spans="45:45" ht="14.4">
      <c r="AS14030" s="20"/>
    </row>
    <row r="14031" spans="45:45" ht="14.4">
      <c r="AS14031" s="20"/>
    </row>
    <row r="14032" spans="45:45" ht="14.4">
      <c r="AS14032" s="20"/>
    </row>
    <row r="14033" spans="45:45" ht="14.4">
      <c r="AS14033" s="20"/>
    </row>
    <row r="14034" spans="45:45" ht="14.4">
      <c r="AS14034" s="20"/>
    </row>
    <row r="14035" spans="45:45" ht="14.4">
      <c r="AS14035" s="20"/>
    </row>
    <row r="14036" spans="45:45" ht="14.4">
      <c r="AS14036" s="20"/>
    </row>
    <row r="14037" spans="45:45" ht="14.4">
      <c r="AS14037" s="20"/>
    </row>
    <row r="14038" spans="45:45" ht="14.4">
      <c r="AS14038" s="20"/>
    </row>
    <row r="14039" spans="45:45" ht="14.4">
      <c r="AS14039" s="20"/>
    </row>
    <row r="14040" spans="45:45" ht="14.4">
      <c r="AS14040" s="20"/>
    </row>
    <row r="14041" spans="45:45" ht="14.4">
      <c r="AS14041" s="20"/>
    </row>
    <row r="14042" spans="45:45" ht="14.4">
      <c r="AS14042" s="20"/>
    </row>
    <row r="14043" spans="45:45" ht="14.4">
      <c r="AS14043" s="20"/>
    </row>
    <row r="14044" spans="45:45" ht="14.4">
      <c r="AS14044" s="20"/>
    </row>
    <row r="14045" spans="45:45" ht="14.4">
      <c r="AS14045" s="20"/>
    </row>
    <row r="14046" spans="45:45" ht="14.4">
      <c r="AS14046" s="20"/>
    </row>
    <row r="14047" spans="45:45" ht="14.4">
      <c r="AS14047" s="20"/>
    </row>
    <row r="14048" spans="45:45" ht="14.4">
      <c r="AS14048" s="20"/>
    </row>
    <row r="14049" spans="45:45" ht="14.4">
      <c r="AS14049" s="20"/>
    </row>
    <row r="14050" spans="45:45" ht="14.4">
      <c r="AS14050" s="20"/>
    </row>
    <row r="14051" spans="45:45" ht="14.4">
      <c r="AS14051" s="20"/>
    </row>
    <row r="14052" spans="45:45" ht="14.4">
      <c r="AS14052" s="20"/>
    </row>
    <row r="14053" spans="45:45" ht="14.4">
      <c r="AS14053" s="20"/>
    </row>
    <row r="14054" spans="45:45" ht="14.4">
      <c r="AS14054" s="20"/>
    </row>
    <row r="14055" spans="45:45" ht="14.4">
      <c r="AS14055" s="20"/>
    </row>
    <row r="14056" spans="45:45" ht="14.4">
      <c r="AS14056" s="20"/>
    </row>
    <row r="14057" spans="45:45" ht="14.4">
      <c r="AS14057" s="20"/>
    </row>
    <row r="14058" spans="45:45" ht="14.4">
      <c r="AS14058" s="20"/>
    </row>
    <row r="14059" spans="45:45" ht="14.4">
      <c r="AS14059" s="20"/>
    </row>
    <row r="14060" spans="45:45" ht="14.4">
      <c r="AS14060" s="20"/>
    </row>
    <row r="14061" spans="45:45" ht="14.4">
      <c r="AS14061" s="20"/>
    </row>
    <row r="14062" spans="45:45" ht="14.4">
      <c r="AS14062" s="20"/>
    </row>
    <row r="14063" spans="45:45" ht="14.4">
      <c r="AS14063" s="20"/>
    </row>
    <row r="14064" spans="45:45" ht="14.4">
      <c r="AS14064" s="20"/>
    </row>
    <row r="14065" spans="45:45" ht="14.4">
      <c r="AS14065" s="20"/>
    </row>
    <row r="14066" spans="45:45" ht="14.4">
      <c r="AS14066" s="20"/>
    </row>
    <row r="14067" spans="45:45" ht="14.4">
      <c r="AS14067" s="20"/>
    </row>
    <row r="14068" spans="45:45" ht="14.4">
      <c r="AS14068" s="20"/>
    </row>
    <row r="14069" spans="45:45" ht="14.4">
      <c r="AS14069" s="20"/>
    </row>
    <row r="14070" spans="45:45" ht="14.4">
      <c r="AS14070" s="20"/>
    </row>
    <row r="14071" spans="45:45" ht="14.4">
      <c r="AS14071" s="20"/>
    </row>
    <row r="14072" spans="45:45" ht="14.4">
      <c r="AS14072" s="20"/>
    </row>
    <row r="14073" spans="45:45" ht="14.4">
      <c r="AS14073" s="20"/>
    </row>
    <row r="14074" spans="45:45" ht="14.4">
      <c r="AS14074" s="20"/>
    </row>
    <row r="14075" spans="45:45" ht="14.4">
      <c r="AS14075" s="20"/>
    </row>
    <row r="14076" spans="45:45" ht="14.4">
      <c r="AS14076" s="20"/>
    </row>
    <row r="14077" spans="45:45" ht="14.4">
      <c r="AS14077" s="20"/>
    </row>
    <row r="14078" spans="45:45" ht="14.4">
      <c r="AS14078" s="20"/>
    </row>
    <row r="14079" spans="45:45" ht="14.4">
      <c r="AS14079" s="20"/>
    </row>
    <row r="14080" spans="45:45" ht="14.4">
      <c r="AS14080" s="20"/>
    </row>
    <row r="14081" spans="45:45" ht="14.4">
      <c r="AS14081" s="20"/>
    </row>
    <row r="14082" spans="45:45" ht="14.4">
      <c r="AS14082" s="20"/>
    </row>
    <row r="14083" spans="45:45" ht="14.4">
      <c r="AS14083" s="20"/>
    </row>
    <row r="14084" spans="45:45" ht="14.4">
      <c r="AS14084" s="20"/>
    </row>
    <row r="14085" spans="45:45" ht="14.4">
      <c r="AS14085" s="20"/>
    </row>
    <row r="14086" spans="45:45" ht="14.4">
      <c r="AS14086" s="20"/>
    </row>
    <row r="14087" spans="45:45" ht="14.4">
      <c r="AS14087" s="20"/>
    </row>
    <row r="14088" spans="45:45" ht="14.4">
      <c r="AS14088" s="20"/>
    </row>
    <row r="14089" spans="45:45" ht="14.4">
      <c r="AS14089" s="20"/>
    </row>
    <row r="14090" spans="45:45" ht="14.4">
      <c r="AS14090" s="20"/>
    </row>
    <row r="14091" spans="45:45" ht="14.4">
      <c r="AS14091" s="20"/>
    </row>
    <row r="14092" spans="45:45" ht="14.4">
      <c r="AS14092" s="20"/>
    </row>
    <row r="14093" spans="45:45" ht="14.4">
      <c r="AS14093" s="20"/>
    </row>
    <row r="14094" spans="45:45" ht="14.4">
      <c r="AS14094" s="20"/>
    </row>
    <row r="14095" spans="45:45" ht="14.4">
      <c r="AS14095" s="20"/>
    </row>
    <row r="14096" spans="45:45" ht="14.4">
      <c r="AS14096" s="20"/>
    </row>
    <row r="14097" spans="45:45" ht="14.4">
      <c r="AS14097" s="20"/>
    </row>
    <row r="14098" spans="45:45" ht="14.4">
      <c r="AS14098" s="20"/>
    </row>
    <row r="14099" spans="45:45" ht="14.4">
      <c r="AS14099" s="20"/>
    </row>
    <row r="14100" spans="45:45" ht="14.4">
      <c r="AS14100" s="20"/>
    </row>
    <row r="14101" spans="45:45" ht="14.4">
      <c r="AS14101" s="20"/>
    </row>
    <row r="14102" spans="45:45" ht="14.4">
      <c r="AS14102" s="20"/>
    </row>
    <row r="14103" spans="45:45" ht="14.4">
      <c r="AS14103" s="20"/>
    </row>
    <row r="14104" spans="45:45" ht="14.4">
      <c r="AS14104" s="20"/>
    </row>
    <row r="14105" spans="45:45" ht="14.4">
      <c r="AS14105" s="20"/>
    </row>
    <row r="14106" spans="45:45" ht="14.4">
      <c r="AS14106" s="20"/>
    </row>
    <row r="14107" spans="45:45" ht="14.4">
      <c r="AS14107" s="20"/>
    </row>
    <row r="14108" spans="45:45" ht="14.4">
      <c r="AS14108" s="20"/>
    </row>
    <row r="14109" spans="45:45" ht="14.4">
      <c r="AS14109" s="20"/>
    </row>
    <row r="14110" spans="45:45" ht="14.4">
      <c r="AS14110" s="20"/>
    </row>
    <row r="14111" spans="45:45" ht="14.4">
      <c r="AS14111" s="20"/>
    </row>
    <row r="14112" spans="45:45" ht="14.4">
      <c r="AS14112" s="20"/>
    </row>
    <row r="14113" spans="45:45" ht="14.4">
      <c r="AS14113" s="20"/>
    </row>
    <row r="14114" spans="45:45" ht="14.4">
      <c r="AS14114" s="20"/>
    </row>
    <row r="14115" spans="45:45" ht="14.4">
      <c r="AS14115" s="20"/>
    </row>
    <row r="14116" spans="45:45" ht="14.4">
      <c r="AS14116" s="20"/>
    </row>
    <row r="14117" spans="45:45" ht="14.4">
      <c r="AS14117" s="20"/>
    </row>
    <row r="14118" spans="45:45" ht="14.4">
      <c r="AS14118" s="20"/>
    </row>
    <row r="14119" spans="45:45" ht="14.4">
      <c r="AS14119" s="20"/>
    </row>
    <row r="14120" spans="45:45" ht="14.4">
      <c r="AS14120" s="20"/>
    </row>
    <row r="14121" spans="45:45" ht="14.4">
      <c r="AS14121" s="20"/>
    </row>
    <row r="14122" spans="45:45" ht="14.4">
      <c r="AS14122" s="20"/>
    </row>
    <row r="14123" spans="45:45" ht="14.4">
      <c r="AS14123" s="20"/>
    </row>
    <row r="14124" spans="45:45" ht="14.4">
      <c r="AS14124" s="20"/>
    </row>
    <row r="14125" spans="45:45" ht="14.4">
      <c r="AS14125" s="20"/>
    </row>
    <row r="14126" spans="45:45" ht="14.4">
      <c r="AS14126" s="20"/>
    </row>
    <row r="14127" spans="45:45" ht="14.4">
      <c r="AS14127" s="20"/>
    </row>
    <row r="14128" spans="45:45" ht="14.4">
      <c r="AS14128" s="20"/>
    </row>
    <row r="14129" spans="45:45" ht="14.4">
      <c r="AS14129" s="20"/>
    </row>
    <row r="14130" spans="45:45" ht="14.4">
      <c r="AS14130" s="20"/>
    </row>
    <row r="14131" spans="45:45" ht="14.4">
      <c r="AS14131" s="20"/>
    </row>
    <row r="14132" spans="45:45" ht="14.4">
      <c r="AS14132" s="20"/>
    </row>
    <row r="14133" spans="45:45" ht="14.4">
      <c r="AS14133" s="20"/>
    </row>
    <row r="14134" spans="45:45" ht="14.4">
      <c r="AS14134" s="20"/>
    </row>
    <row r="14135" spans="45:45" ht="14.4">
      <c r="AS14135" s="20"/>
    </row>
    <row r="14136" spans="45:45" ht="14.4">
      <c r="AS14136" s="20"/>
    </row>
    <row r="14137" spans="45:45" ht="14.4">
      <c r="AS14137" s="20"/>
    </row>
    <row r="14138" spans="45:45" ht="14.4">
      <c r="AS14138" s="20"/>
    </row>
    <row r="14139" spans="45:45" ht="14.4">
      <c r="AS14139" s="20"/>
    </row>
    <row r="14140" spans="45:45" ht="14.4">
      <c r="AS14140" s="20"/>
    </row>
    <row r="14141" spans="45:45" ht="14.4">
      <c r="AS14141" s="20"/>
    </row>
    <row r="14142" spans="45:45" ht="14.4">
      <c r="AS14142" s="20"/>
    </row>
    <row r="14143" spans="45:45" ht="14.4">
      <c r="AS14143" s="20"/>
    </row>
    <row r="14144" spans="45:45" ht="14.4">
      <c r="AS14144" s="20"/>
    </row>
    <row r="14145" spans="45:45" ht="14.4">
      <c r="AS14145" s="20"/>
    </row>
    <row r="14146" spans="45:45" ht="14.4">
      <c r="AS14146" s="20"/>
    </row>
    <row r="14147" spans="45:45" ht="14.4">
      <c r="AS14147" s="20"/>
    </row>
    <row r="14148" spans="45:45" ht="14.4">
      <c r="AS14148" s="20"/>
    </row>
    <row r="14149" spans="45:45" ht="14.4">
      <c r="AS14149" s="20"/>
    </row>
    <row r="14150" spans="45:45" ht="14.4">
      <c r="AS14150" s="20"/>
    </row>
    <row r="14151" spans="45:45" ht="14.4">
      <c r="AS14151" s="20"/>
    </row>
    <row r="14152" spans="45:45" ht="14.4">
      <c r="AS14152" s="20"/>
    </row>
    <row r="14153" spans="45:45" ht="14.4">
      <c r="AS14153" s="20"/>
    </row>
    <row r="14154" spans="45:45" ht="14.4">
      <c r="AS14154" s="20"/>
    </row>
    <row r="14155" spans="45:45" ht="14.4">
      <c r="AS14155" s="20"/>
    </row>
    <row r="14156" spans="45:45" ht="14.4">
      <c r="AS14156" s="20"/>
    </row>
    <row r="14157" spans="45:45" ht="14.4">
      <c r="AS14157" s="20"/>
    </row>
    <row r="14158" spans="45:45" ht="14.4">
      <c r="AS14158" s="20"/>
    </row>
    <row r="14159" spans="45:45" ht="14.4">
      <c r="AS14159" s="20"/>
    </row>
    <row r="14160" spans="45:45" ht="14.4">
      <c r="AS14160" s="20"/>
    </row>
    <row r="14161" spans="45:45" ht="14.4">
      <c r="AS14161" s="20"/>
    </row>
    <row r="14162" spans="45:45" ht="14.4">
      <c r="AS14162" s="20"/>
    </row>
    <row r="14163" spans="45:45" ht="14.4">
      <c r="AS14163" s="20"/>
    </row>
    <row r="14164" spans="45:45" ht="14.4">
      <c r="AS14164" s="20"/>
    </row>
    <row r="14165" spans="45:45" ht="14.4">
      <c r="AS14165" s="20"/>
    </row>
    <row r="14166" spans="45:45" ht="14.4">
      <c r="AS14166" s="20"/>
    </row>
    <row r="14167" spans="45:45" ht="14.4">
      <c r="AS14167" s="20"/>
    </row>
    <row r="14168" spans="45:45" ht="14.4">
      <c r="AS14168" s="20"/>
    </row>
    <row r="14169" spans="45:45" ht="14.4">
      <c r="AS14169" s="20"/>
    </row>
    <row r="14170" spans="45:45" ht="14.4">
      <c r="AS14170" s="20"/>
    </row>
    <row r="14171" spans="45:45" ht="14.4">
      <c r="AS14171" s="20"/>
    </row>
    <row r="14172" spans="45:45" ht="14.4">
      <c r="AS14172" s="20"/>
    </row>
    <row r="14173" spans="45:45" ht="14.4">
      <c r="AS14173" s="20"/>
    </row>
    <row r="14174" spans="45:45" ht="14.4">
      <c r="AS14174" s="20"/>
    </row>
    <row r="14175" spans="45:45" ht="14.4">
      <c r="AS14175" s="20"/>
    </row>
    <row r="14176" spans="45:45" ht="14.4">
      <c r="AS14176" s="20"/>
    </row>
    <row r="14177" spans="45:45" ht="14.4">
      <c r="AS14177" s="20"/>
    </row>
    <row r="14178" spans="45:45" ht="14.4">
      <c r="AS14178" s="20"/>
    </row>
    <row r="14179" spans="45:45" ht="14.4">
      <c r="AS14179" s="20"/>
    </row>
    <row r="14180" spans="45:45" ht="14.4">
      <c r="AS14180" s="20"/>
    </row>
    <row r="14181" spans="45:45" ht="14.4">
      <c r="AS14181" s="20"/>
    </row>
    <row r="14182" spans="45:45" ht="14.4">
      <c r="AS14182" s="20"/>
    </row>
    <row r="14183" spans="45:45" ht="14.4">
      <c r="AS14183" s="20"/>
    </row>
    <row r="14184" spans="45:45" ht="14.4">
      <c r="AS14184" s="20"/>
    </row>
    <row r="14185" spans="45:45" ht="14.4">
      <c r="AS14185" s="20"/>
    </row>
    <row r="14186" spans="45:45" ht="14.4">
      <c r="AS14186" s="20"/>
    </row>
    <row r="14187" spans="45:45" ht="14.4">
      <c r="AS14187" s="20"/>
    </row>
    <row r="14188" spans="45:45" ht="14.4">
      <c r="AS14188" s="20"/>
    </row>
    <row r="14189" spans="45:45" ht="14.4">
      <c r="AS14189" s="20"/>
    </row>
    <row r="14190" spans="45:45" ht="14.4">
      <c r="AS14190" s="20"/>
    </row>
    <row r="14191" spans="45:45" ht="14.4">
      <c r="AS14191" s="20"/>
    </row>
    <row r="14192" spans="45:45" ht="14.4">
      <c r="AS14192" s="20"/>
    </row>
    <row r="14193" spans="45:45" ht="14.4">
      <c r="AS14193" s="20"/>
    </row>
    <row r="14194" spans="45:45" ht="14.4">
      <c r="AS14194" s="20"/>
    </row>
    <row r="14195" spans="45:45" ht="14.4">
      <c r="AS14195" s="20"/>
    </row>
    <row r="14196" spans="45:45" ht="14.4">
      <c r="AS14196" s="20"/>
    </row>
    <row r="14197" spans="45:45" ht="14.4">
      <c r="AS14197" s="20"/>
    </row>
    <row r="14198" spans="45:45" ht="14.4">
      <c r="AS14198" s="20"/>
    </row>
    <row r="14199" spans="45:45" ht="14.4">
      <c r="AS14199" s="20"/>
    </row>
    <row r="14200" spans="45:45" ht="14.4">
      <c r="AS14200" s="20"/>
    </row>
    <row r="14201" spans="45:45" ht="14.4">
      <c r="AS14201" s="20"/>
    </row>
    <row r="14202" spans="45:45" ht="14.4">
      <c r="AS14202" s="20"/>
    </row>
    <row r="14203" spans="45:45" ht="14.4">
      <c r="AS14203" s="20"/>
    </row>
    <row r="14204" spans="45:45" ht="14.4">
      <c r="AS14204" s="20"/>
    </row>
    <row r="14205" spans="45:45" ht="14.4">
      <c r="AS14205" s="20"/>
    </row>
    <row r="14206" spans="45:45" ht="14.4">
      <c r="AS14206" s="20"/>
    </row>
    <row r="14207" spans="45:45" ht="14.4">
      <c r="AS14207" s="20"/>
    </row>
    <row r="14208" spans="45:45" ht="14.4">
      <c r="AS14208" s="20"/>
    </row>
    <row r="14209" spans="45:45" ht="14.4">
      <c r="AS14209" s="20"/>
    </row>
    <row r="14210" spans="45:45" ht="14.4">
      <c r="AS14210" s="20"/>
    </row>
    <row r="14211" spans="45:45" ht="14.4">
      <c r="AS14211" s="20"/>
    </row>
    <row r="14212" spans="45:45" ht="14.4">
      <c r="AS14212" s="20"/>
    </row>
    <row r="14213" spans="45:45" ht="14.4">
      <c r="AS14213" s="20"/>
    </row>
    <row r="14214" spans="45:45" ht="14.4">
      <c r="AS14214" s="20"/>
    </row>
    <row r="14215" spans="45:45" ht="14.4">
      <c r="AS14215" s="20"/>
    </row>
    <row r="14216" spans="45:45" ht="14.4">
      <c r="AS14216" s="20"/>
    </row>
    <row r="14217" spans="45:45" ht="14.4">
      <c r="AS14217" s="20"/>
    </row>
    <row r="14218" spans="45:45" ht="14.4">
      <c r="AS14218" s="20"/>
    </row>
    <row r="14219" spans="45:45" ht="14.4">
      <c r="AS14219" s="20"/>
    </row>
    <row r="14220" spans="45:45" ht="14.4">
      <c r="AS14220" s="20"/>
    </row>
    <row r="14221" spans="45:45" ht="14.4">
      <c r="AS14221" s="20"/>
    </row>
    <row r="14222" spans="45:45" ht="14.4">
      <c r="AS14222" s="20"/>
    </row>
    <row r="14223" spans="45:45" ht="14.4">
      <c r="AS14223" s="20"/>
    </row>
    <row r="14224" spans="45:45" ht="14.4">
      <c r="AS14224" s="20"/>
    </row>
    <row r="14225" spans="45:45" ht="14.4">
      <c r="AS14225" s="20"/>
    </row>
    <row r="14226" spans="45:45" ht="14.4">
      <c r="AS14226" s="20"/>
    </row>
    <row r="14227" spans="45:45" ht="14.4">
      <c r="AS14227" s="20"/>
    </row>
    <row r="14228" spans="45:45" ht="14.4">
      <c r="AS14228" s="20"/>
    </row>
    <row r="14229" spans="45:45" ht="14.4">
      <c r="AS14229" s="20"/>
    </row>
    <row r="14230" spans="45:45" ht="14.4">
      <c r="AS14230" s="20"/>
    </row>
    <row r="14231" spans="45:45" ht="14.4">
      <c r="AS14231" s="20"/>
    </row>
    <row r="14232" spans="45:45" ht="14.4">
      <c r="AS14232" s="20"/>
    </row>
    <row r="14233" spans="45:45" ht="14.4">
      <c r="AS14233" s="20"/>
    </row>
    <row r="14234" spans="45:45" ht="14.4">
      <c r="AS14234" s="20"/>
    </row>
    <row r="14235" spans="45:45" ht="14.4">
      <c r="AS14235" s="20"/>
    </row>
    <row r="14236" spans="45:45" ht="14.4">
      <c r="AS14236" s="20"/>
    </row>
    <row r="14237" spans="45:45" ht="14.4">
      <c r="AS14237" s="20"/>
    </row>
    <row r="14238" spans="45:45" ht="14.4">
      <c r="AS14238" s="20"/>
    </row>
    <row r="14239" spans="45:45" ht="14.4">
      <c r="AS14239" s="20"/>
    </row>
    <row r="14240" spans="45:45" ht="14.4">
      <c r="AS14240" s="20"/>
    </row>
    <row r="14241" spans="45:45" ht="14.4">
      <c r="AS14241" s="20"/>
    </row>
    <row r="14242" spans="45:45" ht="14.4">
      <c r="AS14242" s="20"/>
    </row>
    <row r="14243" spans="45:45" ht="14.4">
      <c r="AS14243" s="20"/>
    </row>
    <row r="14244" spans="45:45" ht="14.4">
      <c r="AS14244" s="20"/>
    </row>
    <row r="14245" spans="45:45" ht="14.4">
      <c r="AS14245" s="20"/>
    </row>
    <row r="14246" spans="45:45" ht="14.4">
      <c r="AS14246" s="20"/>
    </row>
    <row r="14247" spans="45:45" ht="14.4">
      <c r="AS14247" s="20"/>
    </row>
    <row r="14248" spans="45:45" ht="14.4">
      <c r="AS14248" s="20"/>
    </row>
    <row r="14249" spans="45:45" ht="14.4">
      <c r="AS14249" s="20"/>
    </row>
    <row r="14250" spans="45:45" ht="14.4">
      <c r="AS14250" s="20"/>
    </row>
    <row r="14251" spans="45:45" ht="14.4">
      <c r="AS14251" s="20"/>
    </row>
    <row r="14252" spans="45:45" ht="14.4">
      <c r="AS14252" s="20"/>
    </row>
    <row r="14253" spans="45:45" ht="14.4">
      <c r="AS14253" s="20"/>
    </row>
    <row r="14254" spans="45:45" ht="14.4">
      <c r="AS14254" s="20"/>
    </row>
    <row r="14255" spans="45:45" ht="14.4">
      <c r="AS14255" s="20"/>
    </row>
    <row r="14256" spans="45:45" ht="14.4">
      <c r="AS14256" s="20"/>
    </row>
    <row r="14257" spans="45:45" ht="14.4">
      <c r="AS14257" s="20"/>
    </row>
    <row r="14258" spans="45:45" ht="14.4">
      <c r="AS14258" s="20"/>
    </row>
    <row r="14259" spans="45:45" ht="14.4">
      <c r="AS14259" s="20"/>
    </row>
    <row r="14260" spans="45:45" ht="14.4">
      <c r="AS14260" s="20"/>
    </row>
    <row r="14261" spans="45:45" ht="14.4">
      <c r="AS14261" s="20"/>
    </row>
    <row r="14262" spans="45:45" ht="14.4">
      <c r="AS14262" s="20"/>
    </row>
    <row r="14263" spans="45:45" ht="14.4">
      <c r="AS14263" s="20"/>
    </row>
    <row r="14264" spans="45:45" ht="14.4">
      <c r="AS14264" s="20"/>
    </row>
    <row r="14265" spans="45:45" ht="14.4">
      <c r="AS14265" s="20"/>
    </row>
    <row r="14266" spans="45:45" ht="14.4">
      <c r="AS14266" s="20"/>
    </row>
    <row r="14267" spans="45:45" ht="14.4">
      <c r="AS14267" s="20"/>
    </row>
    <row r="14268" spans="45:45" ht="14.4">
      <c r="AS14268" s="20"/>
    </row>
    <row r="14269" spans="45:45" ht="14.4">
      <c r="AS14269" s="20"/>
    </row>
    <row r="14270" spans="45:45" ht="14.4">
      <c r="AS14270" s="20"/>
    </row>
    <row r="14271" spans="45:45" ht="14.4">
      <c r="AS14271" s="20"/>
    </row>
    <row r="14272" spans="45:45" ht="14.4">
      <c r="AS14272" s="20"/>
    </row>
    <row r="14273" spans="45:45" ht="14.4">
      <c r="AS14273" s="20"/>
    </row>
    <row r="14274" spans="45:45" ht="14.4">
      <c r="AS14274" s="20"/>
    </row>
    <row r="14275" spans="45:45" ht="14.4">
      <c r="AS14275" s="20"/>
    </row>
    <row r="14276" spans="45:45" ht="14.4">
      <c r="AS14276" s="20"/>
    </row>
    <row r="14277" spans="45:45" ht="14.4">
      <c r="AS14277" s="20"/>
    </row>
    <row r="14278" spans="45:45" ht="14.4">
      <c r="AS14278" s="20"/>
    </row>
    <row r="14279" spans="45:45" ht="14.4">
      <c r="AS14279" s="20"/>
    </row>
    <row r="14280" spans="45:45" ht="14.4">
      <c r="AS14280" s="20"/>
    </row>
    <row r="14281" spans="45:45" ht="14.4">
      <c r="AS14281" s="20"/>
    </row>
    <row r="14282" spans="45:45" ht="14.4">
      <c r="AS14282" s="20"/>
    </row>
    <row r="14283" spans="45:45" ht="14.4">
      <c r="AS14283" s="20"/>
    </row>
    <row r="14284" spans="45:45" ht="14.4">
      <c r="AS14284" s="20"/>
    </row>
    <row r="14285" spans="45:45" ht="14.4">
      <c r="AS14285" s="20"/>
    </row>
    <row r="14286" spans="45:45" ht="14.4">
      <c r="AS14286" s="20"/>
    </row>
    <row r="14287" spans="45:45" ht="14.4">
      <c r="AS14287" s="20"/>
    </row>
    <row r="14288" spans="45:45" ht="14.4">
      <c r="AS14288" s="20"/>
    </row>
    <row r="14289" spans="45:45" ht="14.4">
      <c r="AS14289" s="20"/>
    </row>
    <row r="14290" spans="45:45" ht="14.4">
      <c r="AS14290" s="20"/>
    </row>
    <row r="14291" spans="45:45" ht="14.4">
      <c r="AS14291" s="20"/>
    </row>
    <row r="14292" spans="45:45" ht="14.4">
      <c r="AS14292" s="20"/>
    </row>
    <row r="14293" spans="45:45" ht="14.4">
      <c r="AS14293" s="20"/>
    </row>
    <row r="14294" spans="45:45" ht="14.4">
      <c r="AS14294" s="20"/>
    </row>
    <row r="14295" spans="45:45" ht="14.4">
      <c r="AS14295" s="20"/>
    </row>
    <row r="14296" spans="45:45" ht="14.4">
      <c r="AS14296" s="20"/>
    </row>
    <row r="14297" spans="45:45" ht="14.4">
      <c r="AS14297" s="20"/>
    </row>
    <row r="14298" spans="45:45" ht="14.4">
      <c r="AS14298" s="20"/>
    </row>
    <row r="14299" spans="45:45" ht="14.4">
      <c r="AS14299" s="20"/>
    </row>
    <row r="14300" spans="45:45" ht="14.4">
      <c r="AS14300" s="20"/>
    </row>
    <row r="14301" spans="45:45" ht="14.4">
      <c r="AS14301" s="20"/>
    </row>
    <row r="14302" spans="45:45" ht="14.4">
      <c r="AS14302" s="20"/>
    </row>
    <row r="14303" spans="45:45" ht="14.4">
      <c r="AS14303" s="20"/>
    </row>
    <row r="14304" spans="45:45" ht="14.4">
      <c r="AS14304" s="20"/>
    </row>
    <row r="14305" spans="45:45" ht="14.4">
      <c r="AS14305" s="20"/>
    </row>
    <row r="14306" spans="45:45" ht="14.4">
      <c r="AS14306" s="20"/>
    </row>
    <row r="14307" spans="45:45" ht="14.4">
      <c r="AS14307" s="20"/>
    </row>
    <row r="14308" spans="45:45" ht="14.4">
      <c r="AS14308" s="20"/>
    </row>
    <row r="14309" spans="45:45" ht="14.4">
      <c r="AS14309" s="20"/>
    </row>
    <row r="14310" spans="45:45" ht="14.4">
      <c r="AS14310" s="20"/>
    </row>
    <row r="14311" spans="45:45" ht="14.4">
      <c r="AS14311" s="20"/>
    </row>
    <row r="14312" spans="45:45" ht="14.4">
      <c r="AS14312" s="20"/>
    </row>
    <row r="14313" spans="45:45" ht="14.4">
      <c r="AS14313" s="20"/>
    </row>
    <row r="14314" spans="45:45" ht="14.4">
      <c r="AS14314" s="20"/>
    </row>
    <row r="14315" spans="45:45" ht="14.4">
      <c r="AS14315" s="20"/>
    </row>
    <row r="14316" spans="45:45" ht="14.4">
      <c r="AS14316" s="20"/>
    </row>
    <row r="14317" spans="45:45" ht="14.4">
      <c r="AS14317" s="20"/>
    </row>
    <row r="14318" spans="45:45" ht="14.4">
      <c r="AS14318" s="20"/>
    </row>
    <row r="14319" spans="45:45" ht="14.4">
      <c r="AS14319" s="20"/>
    </row>
    <row r="14320" spans="45:45" ht="14.4">
      <c r="AS14320" s="20"/>
    </row>
    <row r="14321" spans="45:45" ht="14.4">
      <c r="AS14321" s="20"/>
    </row>
    <row r="14322" spans="45:45" ht="14.4">
      <c r="AS14322" s="20"/>
    </row>
    <row r="14323" spans="45:45" ht="14.4">
      <c r="AS14323" s="20"/>
    </row>
    <row r="14324" spans="45:45" ht="14.4">
      <c r="AS14324" s="20"/>
    </row>
    <row r="14325" spans="45:45" ht="14.4">
      <c r="AS14325" s="20"/>
    </row>
    <row r="14326" spans="45:45" ht="14.4">
      <c r="AS14326" s="20"/>
    </row>
    <row r="14327" spans="45:45" ht="14.4">
      <c r="AS14327" s="20"/>
    </row>
    <row r="14328" spans="45:45" ht="14.4">
      <c r="AS14328" s="20"/>
    </row>
    <row r="14329" spans="45:45" ht="14.4">
      <c r="AS14329" s="20"/>
    </row>
    <row r="14330" spans="45:45" ht="14.4">
      <c r="AS14330" s="20"/>
    </row>
    <row r="14331" spans="45:45" ht="14.4">
      <c r="AS14331" s="20"/>
    </row>
    <row r="14332" spans="45:45" ht="14.4">
      <c r="AS14332" s="20"/>
    </row>
    <row r="14333" spans="45:45" ht="14.4">
      <c r="AS14333" s="20"/>
    </row>
    <row r="14334" spans="45:45" ht="14.4">
      <c r="AS14334" s="20"/>
    </row>
    <row r="14335" spans="45:45" ht="14.4">
      <c r="AS14335" s="20"/>
    </row>
    <row r="14336" spans="45:45" ht="14.4">
      <c r="AS14336" s="20"/>
    </row>
    <row r="14337" spans="45:45" ht="14.4">
      <c r="AS14337" s="20"/>
    </row>
    <row r="14338" spans="45:45" ht="14.4">
      <c r="AS14338" s="20"/>
    </row>
    <row r="14339" spans="45:45" ht="14.4">
      <c r="AS14339" s="20"/>
    </row>
    <row r="14340" spans="45:45" ht="14.4">
      <c r="AS14340" s="20"/>
    </row>
    <row r="14341" spans="45:45" ht="14.4">
      <c r="AS14341" s="20"/>
    </row>
    <row r="14342" spans="45:45" ht="14.4">
      <c r="AS14342" s="20"/>
    </row>
    <row r="14343" spans="45:45" ht="14.4">
      <c r="AS14343" s="20"/>
    </row>
    <row r="14344" spans="45:45" ht="14.4">
      <c r="AS14344" s="20"/>
    </row>
    <row r="14345" spans="45:45" ht="14.4">
      <c r="AS14345" s="20"/>
    </row>
    <row r="14346" spans="45:45" ht="14.4">
      <c r="AS14346" s="20"/>
    </row>
    <row r="14347" spans="45:45" ht="14.4">
      <c r="AS14347" s="20"/>
    </row>
    <row r="14348" spans="45:45" ht="14.4">
      <c r="AS14348" s="20"/>
    </row>
    <row r="14349" spans="45:45" ht="14.4">
      <c r="AS14349" s="20"/>
    </row>
    <row r="14350" spans="45:45" ht="14.4">
      <c r="AS14350" s="20"/>
    </row>
    <row r="14351" spans="45:45" ht="14.4">
      <c r="AS14351" s="20"/>
    </row>
    <row r="14352" spans="45:45" ht="14.4">
      <c r="AS14352" s="20"/>
    </row>
    <row r="14353" spans="45:45" ht="14.4">
      <c r="AS14353" s="20"/>
    </row>
    <row r="14354" spans="45:45" ht="14.4">
      <c r="AS14354" s="20"/>
    </row>
    <row r="14355" spans="45:45" ht="14.4">
      <c r="AS14355" s="20"/>
    </row>
    <row r="14356" spans="45:45" ht="14.4">
      <c r="AS14356" s="20"/>
    </row>
    <row r="14357" spans="45:45" ht="14.4">
      <c r="AS14357" s="20"/>
    </row>
    <row r="14358" spans="45:45" ht="14.4">
      <c r="AS14358" s="20"/>
    </row>
    <row r="14359" spans="45:45" ht="14.4">
      <c r="AS14359" s="20"/>
    </row>
    <row r="14360" spans="45:45" ht="14.4">
      <c r="AS14360" s="20"/>
    </row>
    <row r="14361" spans="45:45" ht="14.4">
      <c r="AS14361" s="20"/>
    </row>
    <row r="14362" spans="45:45" ht="14.4">
      <c r="AS14362" s="20"/>
    </row>
    <row r="14363" spans="45:45" ht="14.4">
      <c r="AS14363" s="20"/>
    </row>
    <row r="14364" spans="45:45" ht="14.4">
      <c r="AS14364" s="20"/>
    </row>
    <row r="14365" spans="45:45" ht="14.4">
      <c r="AS14365" s="20"/>
    </row>
    <row r="14366" spans="45:45" ht="14.4">
      <c r="AS14366" s="20"/>
    </row>
    <row r="14367" spans="45:45" ht="14.4">
      <c r="AS14367" s="20"/>
    </row>
    <row r="14368" spans="45:45" ht="14.4">
      <c r="AS14368" s="20"/>
    </row>
    <row r="14369" spans="45:45" ht="14.4">
      <c r="AS14369" s="20"/>
    </row>
    <row r="14370" spans="45:45" ht="14.4">
      <c r="AS14370" s="20"/>
    </row>
    <row r="14371" spans="45:45" ht="14.4">
      <c r="AS14371" s="20"/>
    </row>
    <row r="14372" spans="45:45" ht="14.4">
      <c r="AS14372" s="20"/>
    </row>
    <row r="14373" spans="45:45" ht="14.4">
      <c r="AS14373" s="20"/>
    </row>
    <row r="14374" spans="45:45" ht="14.4">
      <c r="AS14374" s="20"/>
    </row>
    <row r="14375" spans="45:45" ht="14.4">
      <c r="AS14375" s="20"/>
    </row>
    <row r="14376" spans="45:45" ht="14.4">
      <c r="AS14376" s="20"/>
    </row>
    <row r="14377" spans="45:45" ht="14.4">
      <c r="AS14377" s="20"/>
    </row>
    <row r="14378" spans="45:45" ht="14.4">
      <c r="AS14378" s="20"/>
    </row>
    <row r="14379" spans="45:45" ht="14.4">
      <c r="AS14379" s="20"/>
    </row>
    <row r="14380" spans="45:45" ht="14.4">
      <c r="AS14380" s="20"/>
    </row>
    <row r="14381" spans="45:45" ht="14.4">
      <c r="AS14381" s="20"/>
    </row>
    <row r="14382" spans="45:45" ht="14.4">
      <c r="AS14382" s="20"/>
    </row>
    <row r="14383" spans="45:45" ht="14.4">
      <c r="AS14383" s="20"/>
    </row>
    <row r="14384" spans="45:45" ht="14.4">
      <c r="AS14384" s="20"/>
    </row>
    <row r="14385" spans="45:45" ht="14.4">
      <c r="AS14385" s="20"/>
    </row>
    <row r="14386" spans="45:45" ht="14.4">
      <c r="AS14386" s="20"/>
    </row>
    <row r="14387" spans="45:45" ht="14.4">
      <c r="AS14387" s="20"/>
    </row>
    <row r="14388" spans="45:45" ht="14.4">
      <c r="AS14388" s="20"/>
    </row>
    <row r="14389" spans="45:45" ht="14.4">
      <c r="AS14389" s="20"/>
    </row>
    <row r="14390" spans="45:45" ht="14.4">
      <c r="AS14390" s="20"/>
    </row>
    <row r="14391" spans="45:45" ht="14.4">
      <c r="AS14391" s="20"/>
    </row>
    <row r="14392" spans="45:45" ht="14.4">
      <c r="AS14392" s="20"/>
    </row>
    <row r="14393" spans="45:45" ht="14.4">
      <c r="AS14393" s="20"/>
    </row>
    <row r="14394" spans="45:45" ht="14.4">
      <c r="AS14394" s="20"/>
    </row>
    <row r="14395" spans="45:45" ht="14.4">
      <c r="AS14395" s="20"/>
    </row>
    <row r="14396" spans="45:45" ht="14.4">
      <c r="AS14396" s="20"/>
    </row>
    <row r="14397" spans="45:45" ht="14.4">
      <c r="AS14397" s="20"/>
    </row>
    <row r="14398" spans="45:45" ht="14.4">
      <c r="AS14398" s="20"/>
    </row>
    <row r="14399" spans="45:45" ht="14.4">
      <c r="AS14399" s="20"/>
    </row>
    <row r="14400" spans="45:45" ht="14.4">
      <c r="AS14400" s="20"/>
    </row>
    <row r="14401" spans="45:45" ht="14.4">
      <c r="AS14401" s="20"/>
    </row>
    <row r="14402" spans="45:45" ht="14.4">
      <c r="AS14402" s="20"/>
    </row>
    <row r="14403" spans="45:45" ht="14.4">
      <c r="AS14403" s="20"/>
    </row>
    <row r="14404" spans="45:45" ht="14.4">
      <c r="AS14404" s="20"/>
    </row>
    <row r="14405" spans="45:45" ht="14.4">
      <c r="AS14405" s="20"/>
    </row>
    <row r="14406" spans="45:45" ht="14.4">
      <c r="AS14406" s="20"/>
    </row>
    <row r="14407" spans="45:45" ht="14.4">
      <c r="AS14407" s="20"/>
    </row>
    <row r="14408" spans="45:45" ht="14.4">
      <c r="AS14408" s="20"/>
    </row>
    <row r="14409" spans="45:45" ht="14.4">
      <c r="AS14409" s="20"/>
    </row>
    <row r="14410" spans="45:45" ht="14.4">
      <c r="AS14410" s="20"/>
    </row>
    <row r="14411" spans="45:45" ht="14.4">
      <c r="AS14411" s="20"/>
    </row>
    <row r="14412" spans="45:45" ht="14.4">
      <c r="AS14412" s="20"/>
    </row>
    <row r="14413" spans="45:45" ht="14.4">
      <c r="AS14413" s="20"/>
    </row>
    <row r="14414" spans="45:45" ht="14.4">
      <c r="AS14414" s="20"/>
    </row>
    <row r="14415" spans="45:45" ht="14.4">
      <c r="AS14415" s="20"/>
    </row>
    <row r="14416" spans="45:45" ht="14.4">
      <c r="AS14416" s="20"/>
    </row>
    <row r="14417" spans="45:45" ht="14.4">
      <c r="AS14417" s="20"/>
    </row>
    <row r="14418" spans="45:45" ht="14.4">
      <c r="AS14418" s="20"/>
    </row>
    <row r="14419" spans="45:45" ht="14.4">
      <c r="AS14419" s="20"/>
    </row>
    <row r="14420" spans="45:45" ht="14.4">
      <c r="AS14420" s="20"/>
    </row>
    <row r="14421" spans="45:45" ht="14.4">
      <c r="AS14421" s="20"/>
    </row>
    <row r="14422" spans="45:45" ht="14.4">
      <c r="AS14422" s="20"/>
    </row>
    <row r="14423" spans="45:45" ht="14.4">
      <c r="AS14423" s="20"/>
    </row>
    <row r="14424" spans="45:45" ht="14.4">
      <c r="AS14424" s="20"/>
    </row>
    <row r="14425" spans="45:45" ht="14.4">
      <c r="AS14425" s="20"/>
    </row>
    <row r="14426" spans="45:45" ht="14.4">
      <c r="AS14426" s="20"/>
    </row>
    <row r="14427" spans="45:45" ht="14.4">
      <c r="AS14427" s="20"/>
    </row>
    <row r="14428" spans="45:45" ht="14.4">
      <c r="AS14428" s="20"/>
    </row>
    <row r="14429" spans="45:45" ht="14.4">
      <c r="AS14429" s="20"/>
    </row>
    <row r="14430" spans="45:45" ht="14.4">
      <c r="AS14430" s="20"/>
    </row>
    <row r="14431" spans="45:45" ht="14.4">
      <c r="AS14431" s="20"/>
    </row>
    <row r="14432" spans="45:45" ht="14.4">
      <c r="AS14432" s="20"/>
    </row>
    <row r="14433" spans="45:45" ht="14.4">
      <c r="AS14433" s="20"/>
    </row>
    <row r="14434" spans="45:45" ht="14.4">
      <c r="AS14434" s="20"/>
    </row>
    <row r="14435" spans="45:45" ht="14.4">
      <c r="AS14435" s="20"/>
    </row>
    <row r="14436" spans="45:45" ht="14.4">
      <c r="AS14436" s="20"/>
    </row>
    <row r="14437" spans="45:45" ht="14.4">
      <c r="AS14437" s="20"/>
    </row>
    <row r="14438" spans="45:45" ht="14.4">
      <c r="AS14438" s="20"/>
    </row>
    <row r="14439" spans="45:45" ht="14.4">
      <c r="AS14439" s="20"/>
    </row>
    <row r="14440" spans="45:45" ht="14.4">
      <c r="AS14440" s="20"/>
    </row>
    <row r="14441" spans="45:45" ht="14.4">
      <c r="AS14441" s="20"/>
    </row>
    <row r="14442" spans="45:45" ht="14.4">
      <c r="AS14442" s="20"/>
    </row>
    <row r="14443" spans="45:45" ht="14.4">
      <c r="AS14443" s="20"/>
    </row>
    <row r="14444" spans="45:45" ht="14.4">
      <c r="AS14444" s="20"/>
    </row>
    <row r="14445" spans="45:45" ht="14.4">
      <c r="AS14445" s="20"/>
    </row>
    <row r="14446" spans="45:45" ht="14.4">
      <c r="AS14446" s="20"/>
    </row>
    <row r="14447" spans="45:45" ht="14.4">
      <c r="AS14447" s="20"/>
    </row>
    <row r="14448" spans="45:45" ht="14.4">
      <c r="AS14448" s="20"/>
    </row>
    <row r="14449" spans="45:45" ht="14.4">
      <c r="AS14449" s="20"/>
    </row>
    <row r="14450" spans="45:45" ht="14.4">
      <c r="AS14450" s="20"/>
    </row>
    <row r="14451" spans="45:45" ht="14.4">
      <c r="AS14451" s="20"/>
    </row>
    <row r="14452" spans="45:45" ht="14.4">
      <c r="AS14452" s="20"/>
    </row>
    <row r="14453" spans="45:45" ht="14.4">
      <c r="AS14453" s="20"/>
    </row>
    <row r="14454" spans="45:45" ht="14.4">
      <c r="AS14454" s="20"/>
    </row>
    <row r="14455" spans="45:45" ht="14.4">
      <c r="AS14455" s="20"/>
    </row>
    <row r="14456" spans="45:45" ht="14.4">
      <c r="AS14456" s="20"/>
    </row>
    <row r="14457" spans="45:45" ht="14.4">
      <c r="AS14457" s="20"/>
    </row>
    <row r="14458" spans="45:45" ht="14.4">
      <c r="AS14458" s="20"/>
    </row>
    <row r="14459" spans="45:45" ht="14.4">
      <c r="AS14459" s="20"/>
    </row>
    <row r="14460" spans="45:45" ht="14.4">
      <c r="AS14460" s="20"/>
    </row>
    <row r="14461" spans="45:45" ht="14.4">
      <c r="AS14461" s="20"/>
    </row>
    <row r="14462" spans="45:45" ht="14.4">
      <c r="AS14462" s="20"/>
    </row>
    <row r="14463" spans="45:45" ht="14.4">
      <c r="AS14463" s="20"/>
    </row>
    <row r="14464" spans="45:45" ht="14.4">
      <c r="AS14464" s="20"/>
    </row>
    <row r="14465" spans="45:45" ht="14.4">
      <c r="AS14465" s="20"/>
    </row>
    <row r="14466" spans="45:45" ht="14.4">
      <c r="AS14466" s="20"/>
    </row>
    <row r="14467" spans="45:45" ht="14.4">
      <c r="AS14467" s="20"/>
    </row>
    <row r="14468" spans="45:45" ht="14.4">
      <c r="AS14468" s="20"/>
    </row>
    <row r="14469" spans="45:45" ht="14.4">
      <c r="AS14469" s="20"/>
    </row>
    <row r="14470" spans="45:45" ht="14.4">
      <c r="AS14470" s="20"/>
    </row>
    <row r="14471" spans="45:45" ht="14.4">
      <c r="AS14471" s="20"/>
    </row>
    <row r="14472" spans="45:45" ht="14.4">
      <c r="AS14472" s="20"/>
    </row>
    <row r="14473" spans="45:45" ht="14.4">
      <c r="AS14473" s="20"/>
    </row>
    <row r="14474" spans="45:45" ht="14.4">
      <c r="AS14474" s="20"/>
    </row>
    <row r="14475" spans="45:45" ht="14.4">
      <c r="AS14475" s="20"/>
    </row>
    <row r="14476" spans="45:45" ht="14.4">
      <c r="AS14476" s="20"/>
    </row>
    <row r="14477" spans="45:45" ht="14.4">
      <c r="AS14477" s="20"/>
    </row>
    <row r="14478" spans="45:45" ht="14.4">
      <c r="AS14478" s="20"/>
    </row>
    <row r="14479" spans="45:45" ht="14.4">
      <c r="AS14479" s="20"/>
    </row>
    <row r="14480" spans="45:45" ht="14.4">
      <c r="AS14480" s="20"/>
    </row>
    <row r="14481" spans="45:45" ht="14.4">
      <c r="AS14481" s="20"/>
    </row>
    <row r="14482" spans="45:45" ht="14.4">
      <c r="AS14482" s="20"/>
    </row>
    <row r="14483" spans="45:45" ht="14.4">
      <c r="AS14483" s="20"/>
    </row>
    <row r="14484" spans="45:45" ht="14.4">
      <c r="AS14484" s="20"/>
    </row>
    <row r="14485" spans="45:45" ht="14.4">
      <c r="AS14485" s="20"/>
    </row>
    <row r="14486" spans="45:45" ht="14.4">
      <c r="AS14486" s="20"/>
    </row>
    <row r="14487" spans="45:45" ht="14.4">
      <c r="AS14487" s="20"/>
    </row>
    <row r="14488" spans="45:45" ht="14.4">
      <c r="AS14488" s="20"/>
    </row>
    <row r="14489" spans="45:45" ht="14.4">
      <c r="AS14489" s="20"/>
    </row>
    <row r="14490" spans="45:45" ht="14.4">
      <c r="AS14490" s="20"/>
    </row>
    <row r="14491" spans="45:45" ht="14.4">
      <c r="AS14491" s="20"/>
    </row>
    <row r="14492" spans="45:45" ht="14.4">
      <c r="AS14492" s="20"/>
    </row>
    <row r="14493" spans="45:45" ht="14.4">
      <c r="AS14493" s="20"/>
    </row>
    <row r="14494" spans="45:45" ht="14.4">
      <c r="AS14494" s="20"/>
    </row>
    <row r="14495" spans="45:45" ht="14.4">
      <c r="AS14495" s="20"/>
    </row>
    <row r="14496" spans="45:45" ht="14.4">
      <c r="AS14496" s="20"/>
    </row>
    <row r="14497" spans="45:45" ht="14.4">
      <c r="AS14497" s="20"/>
    </row>
    <row r="14498" spans="45:45" ht="14.4">
      <c r="AS14498" s="20"/>
    </row>
    <row r="14499" spans="45:45" ht="14.4">
      <c r="AS14499" s="20"/>
    </row>
    <row r="14500" spans="45:45" ht="14.4">
      <c r="AS14500" s="20"/>
    </row>
    <row r="14501" spans="45:45" ht="14.4">
      <c r="AS14501" s="20"/>
    </row>
    <row r="14502" spans="45:45" ht="14.4">
      <c r="AS14502" s="20"/>
    </row>
    <row r="14503" spans="45:45" ht="14.4">
      <c r="AS14503" s="20"/>
    </row>
    <row r="14504" spans="45:45" ht="14.4">
      <c r="AS14504" s="20"/>
    </row>
    <row r="14505" spans="45:45" ht="14.4">
      <c r="AS14505" s="20"/>
    </row>
    <row r="14506" spans="45:45" ht="14.4">
      <c r="AS14506" s="20"/>
    </row>
    <row r="14507" spans="45:45" ht="14.4">
      <c r="AS14507" s="20"/>
    </row>
    <row r="14508" spans="45:45" ht="14.4">
      <c r="AS14508" s="20"/>
    </row>
    <row r="14509" spans="45:45" ht="14.4">
      <c r="AS14509" s="20"/>
    </row>
    <row r="14510" spans="45:45" ht="14.4">
      <c r="AS14510" s="20"/>
    </row>
    <row r="14511" spans="45:45" ht="14.4">
      <c r="AS14511" s="20"/>
    </row>
    <row r="14512" spans="45:45" ht="14.4">
      <c r="AS14512" s="20"/>
    </row>
    <row r="14513" spans="45:45" ht="14.4">
      <c r="AS14513" s="20"/>
    </row>
    <row r="14514" spans="45:45" ht="14.4">
      <c r="AS14514" s="20"/>
    </row>
    <row r="14515" spans="45:45" ht="14.4">
      <c r="AS14515" s="20"/>
    </row>
    <row r="14516" spans="45:45" ht="14.4">
      <c r="AS14516" s="20"/>
    </row>
    <row r="14517" spans="45:45" ht="14.4">
      <c r="AS14517" s="20"/>
    </row>
    <row r="14518" spans="45:45" ht="14.4">
      <c r="AS14518" s="20"/>
    </row>
    <row r="14519" spans="45:45" ht="14.4">
      <c r="AS14519" s="20"/>
    </row>
    <row r="14520" spans="45:45" ht="14.4">
      <c r="AS14520" s="20"/>
    </row>
    <row r="14521" spans="45:45" ht="14.4">
      <c r="AS14521" s="20"/>
    </row>
    <row r="14522" spans="45:45" ht="14.4">
      <c r="AS14522" s="20"/>
    </row>
    <row r="14523" spans="45:45" ht="14.4">
      <c r="AS14523" s="20"/>
    </row>
    <row r="14524" spans="45:45" ht="14.4">
      <c r="AS14524" s="20"/>
    </row>
    <row r="14525" spans="45:45" ht="14.4">
      <c r="AS14525" s="20"/>
    </row>
    <row r="14526" spans="45:45" ht="14.4">
      <c r="AS14526" s="20"/>
    </row>
    <row r="14527" spans="45:45" ht="14.4">
      <c r="AS14527" s="20"/>
    </row>
    <row r="14528" spans="45:45" ht="14.4">
      <c r="AS14528" s="20"/>
    </row>
    <row r="14529" spans="45:45" ht="14.4">
      <c r="AS14529" s="20"/>
    </row>
    <row r="14530" spans="45:45" ht="14.4">
      <c r="AS14530" s="20"/>
    </row>
    <row r="14531" spans="45:45" ht="14.4">
      <c r="AS14531" s="20"/>
    </row>
    <row r="14532" spans="45:45" ht="14.4">
      <c r="AS14532" s="20"/>
    </row>
    <row r="14533" spans="45:45" ht="14.4">
      <c r="AS14533" s="20"/>
    </row>
    <row r="14534" spans="45:45" ht="14.4">
      <c r="AS14534" s="20"/>
    </row>
    <row r="14535" spans="45:45" ht="14.4">
      <c r="AS14535" s="20"/>
    </row>
    <row r="14536" spans="45:45" ht="14.4">
      <c r="AS14536" s="20"/>
    </row>
    <row r="14537" spans="45:45" ht="14.4">
      <c r="AS14537" s="20"/>
    </row>
    <row r="14538" spans="45:45" ht="14.4">
      <c r="AS14538" s="20"/>
    </row>
    <row r="14539" spans="45:45" ht="14.4">
      <c r="AS14539" s="20"/>
    </row>
    <row r="14540" spans="45:45" ht="14.4">
      <c r="AS14540" s="20"/>
    </row>
    <row r="14541" spans="45:45" ht="14.4">
      <c r="AS14541" s="20"/>
    </row>
    <row r="14542" spans="45:45" ht="14.4">
      <c r="AS14542" s="20"/>
    </row>
    <row r="14543" spans="45:45" ht="14.4">
      <c r="AS14543" s="20"/>
    </row>
    <row r="14544" spans="45:45" ht="14.4">
      <c r="AS14544" s="20"/>
    </row>
    <row r="14545" spans="45:45" ht="14.4">
      <c r="AS14545" s="20"/>
    </row>
    <row r="14546" spans="45:45" ht="14.4">
      <c r="AS14546" s="20"/>
    </row>
    <row r="14547" spans="45:45" ht="14.4">
      <c r="AS14547" s="20"/>
    </row>
    <row r="14548" spans="45:45" ht="14.4">
      <c r="AS14548" s="20"/>
    </row>
    <row r="14549" spans="45:45" ht="14.4">
      <c r="AS14549" s="20"/>
    </row>
    <row r="14550" spans="45:45" ht="14.4">
      <c r="AS14550" s="20"/>
    </row>
    <row r="14551" spans="45:45" ht="14.4">
      <c r="AS14551" s="20"/>
    </row>
    <row r="14552" spans="45:45" ht="14.4">
      <c r="AS14552" s="20"/>
    </row>
    <row r="14553" spans="45:45" ht="14.4">
      <c r="AS14553" s="20"/>
    </row>
    <row r="14554" spans="45:45" ht="14.4">
      <c r="AS14554" s="20"/>
    </row>
    <row r="14555" spans="45:45" ht="14.4">
      <c r="AS14555" s="20"/>
    </row>
    <row r="14556" spans="45:45" ht="14.4">
      <c r="AS14556" s="20"/>
    </row>
    <row r="14557" spans="45:45" ht="14.4">
      <c r="AS14557" s="20"/>
    </row>
    <row r="14558" spans="45:45" ht="14.4">
      <c r="AS14558" s="20"/>
    </row>
    <row r="14559" spans="45:45" ht="14.4">
      <c r="AS14559" s="20"/>
    </row>
    <row r="14560" spans="45:45" ht="14.4">
      <c r="AS14560" s="20"/>
    </row>
    <row r="14561" spans="45:45" ht="14.4">
      <c r="AS14561" s="20"/>
    </row>
    <row r="14562" spans="45:45" ht="14.4">
      <c r="AS14562" s="20"/>
    </row>
    <row r="14563" spans="45:45" ht="14.4">
      <c r="AS14563" s="20"/>
    </row>
    <row r="14564" spans="45:45" ht="14.4">
      <c r="AS14564" s="20"/>
    </row>
    <row r="14565" spans="45:45" ht="14.4">
      <c r="AS14565" s="20"/>
    </row>
    <row r="14566" spans="45:45" ht="14.4">
      <c r="AS14566" s="20"/>
    </row>
    <row r="14567" spans="45:45" ht="14.4">
      <c r="AS14567" s="20"/>
    </row>
    <row r="14568" spans="45:45" ht="14.4">
      <c r="AS14568" s="20"/>
    </row>
    <row r="14569" spans="45:45" ht="14.4">
      <c r="AS14569" s="20"/>
    </row>
    <row r="14570" spans="45:45" ht="14.4">
      <c r="AS14570" s="20"/>
    </row>
    <row r="14571" spans="45:45" ht="14.4">
      <c r="AS14571" s="20"/>
    </row>
    <row r="14572" spans="45:45" ht="14.4">
      <c r="AS14572" s="20"/>
    </row>
    <row r="14573" spans="45:45" ht="14.4">
      <c r="AS14573" s="20"/>
    </row>
    <row r="14574" spans="45:45" ht="14.4">
      <c r="AS14574" s="20"/>
    </row>
    <row r="14575" spans="45:45" ht="14.4">
      <c r="AS14575" s="20"/>
    </row>
    <row r="14576" spans="45:45" ht="14.4">
      <c r="AS14576" s="20"/>
    </row>
    <row r="14577" spans="45:45" ht="14.4">
      <c r="AS14577" s="20"/>
    </row>
    <row r="14578" spans="45:45" ht="14.4">
      <c r="AS14578" s="20"/>
    </row>
    <row r="14579" spans="45:45" ht="14.4">
      <c r="AS14579" s="20"/>
    </row>
    <row r="14580" spans="45:45" ht="14.4">
      <c r="AS14580" s="20"/>
    </row>
    <row r="14581" spans="45:45" ht="14.4">
      <c r="AS14581" s="20"/>
    </row>
    <row r="14582" spans="45:45" ht="14.4">
      <c r="AS14582" s="20"/>
    </row>
    <row r="14583" spans="45:45" ht="14.4">
      <c r="AS14583" s="20"/>
    </row>
    <row r="14584" spans="45:45" ht="14.4">
      <c r="AS14584" s="20"/>
    </row>
    <row r="14585" spans="45:45" ht="14.4">
      <c r="AS14585" s="20"/>
    </row>
    <row r="14586" spans="45:45" ht="14.4">
      <c r="AS14586" s="20"/>
    </row>
    <row r="14587" spans="45:45" ht="14.4">
      <c r="AS14587" s="20"/>
    </row>
    <row r="14588" spans="45:45" ht="14.4">
      <c r="AS14588" s="20"/>
    </row>
    <row r="14589" spans="45:45" ht="14.4">
      <c r="AS14589" s="20"/>
    </row>
    <row r="14590" spans="45:45" ht="14.4">
      <c r="AS14590" s="20"/>
    </row>
    <row r="14591" spans="45:45" ht="14.4">
      <c r="AS14591" s="20"/>
    </row>
    <row r="14592" spans="45:45" ht="14.4">
      <c r="AS14592" s="20"/>
    </row>
    <row r="14593" spans="45:45" ht="14.4">
      <c r="AS14593" s="20"/>
    </row>
    <row r="14594" spans="45:45" ht="14.4">
      <c r="AS14594" s="20"/>
    </row>
    <row r="14595" spans="45:45" ht="14.4">
      <c r="AS14595" s="20"/>
    </row>
    <row r="14596" spans="45:45" ht="14.4">
      <c r="AS14596" s="20"/>
    </row>
    <row r="14597" spans="45:45" ht="14.4">
      <c r="AS14597" s="20"/>
    </row>
    <row r="14598" spans="45:45" ht="14.4">
      <c r="AS14598" s="20"/>
    </row>
    <row r="14599" spans="45:45" ht="14.4">
      <c r="AS14599" s="20"/>
    </row>
    <row r="14600" spans="45:45" ht="14.4">
      <c r="AS14600" s="20"/>
    </row>
    <row r="14601" spans="45:45" ht="14.4">
      <c r="AS14601" s="20"/>
    </row>
    <row r="14602" spans="45:45" ht="14.4">
      <c r="AS14602" s="20"/>
    </row>
    <row r="14603" spans="45:45" ht="14.4">
      <c r="AS14603" s="20"/>
    </row>
    <row r="14604" spans="45:45" ht="14.4">
      <c r="AS14604" s="20"/>
    </row>
    <row r="14605" spans="45:45" ht="14.4">
      <c r="AS14605" s="20"/>
    </row>
    <row r="14606" spans="45:45" ht="14.4">
      <c r="AS14606" s="20"/>
    </row>
    <row r="14607" spans="45:45" ht="14.4">
      <c r="AS14607" s="20"/>
    </row>
    <row r="14608" spans="45:45" ht="14.4">
      <c r="AS14608" s="20"/>
    </row>
    <row r="14609" spans="45:45" ht="14.4">
      <c r="AS14609" s="20"/>
    </row>
    <row r="14610" spans="45:45" ht="14.4">
      <c r="AS14610" s="20"/>
    </row>
    <row r="14611" spans="45:45" ht="14.4">
      <c r="AS14611" s="20"/>
    </row>
    <row r="14612" spans="45:45" ht="14.4">
      <c r="AS14612" s="20"/>
    </row>
    <row r="14613" spans="45:45" ht="14.4">
      <c r="AS14613" s="20"/>
    </row>
    <row r="14614" spans="45:45" ht="14.4">
      <c r="AS14614" s="20"/>
    </row>
    <row r="14615" spans="45:45" ht="14.4">
      <c r="AS14615" s="20"/>
    </row>
    <row r="14616" spans="45:45" ht="14.4">
      <c r="AS14616" s="20"/>
    </row>
    <row r="14617" spans="45:45" ht="14.4">
      <c r="AS14617" s="20"/>
    </row>
    <row r="14618" spans="45:45" ht="14.4">
      <c r="AS14618" s="20"/>
    </row>
    <row r="14619" spans="45:45" ht="14.4">
      <c r="AS14619" s="20"/>
    </row>
    <row r="14620" spans="45:45" ht="14.4">
      <c r="AS14620" s="20"/>
    </row>
    <row r="14621" spans="45:45" ht="14.4">
      <c r="AS14621" s="20"/>
    </row>
    <row r="14622" spans="45:45" ht="14.4">
      <c r="AS14622" s="20"/>
    </row>
    <row r="14623" spans="45:45" ht="14.4">
      <c r="AS14623" s="20"/>
    </row>
    <row r="14624" spans="45:45" ht="14.4">
      <c r="AS14624" s="20"/>
    </row>
    <row r="14625" spans="45:45" ht="14.4">
      <c r="AS14625" s="20"/>
    </row>
    <row r="14626" spans="45:45" ht="14.4">
      <c r="AS14626" s="20"/>
    </row>
    <row r="14627" spans="45:45" ht="14.4">
      <c r="AS14627" s="20"/>
    </row>
    <row r="14628" spans="45:45" ht="14.4">
      <c r="AS14628" s="20"/>
    </row>
    <row r="14629" spans="45:45" ht="14.4">
      <c r="AS14629" s="20"/>
    </row>
    <row r="14630" spans="45:45" ht="14.4">
      <c r="AS14630" s="20"/>
    </row>
    <row r="14631" spans="45:45" ht="14.4">
      <c r="AS14631" s="20"/>
    </row>
    <row r="14632" spans="45:45" ht="14.4">
      <c r="AS14632" s="20"/>
    </row>
    <row r="14633" spans="45:45" ht="14.4">
      <c r="AS14633" s="20"/>
    </row>
    <row r="14634" spans="45:45" ht="14.4">
      <c r="AS14634" s="20"/>
    </row>
    <row r="14635" spans="45:45" ht="14.4">
      <c r="AS14635" s="20"/>
    </row>
    <row r="14636" spans="45:45" ht="14.4">
      <c r="AS14636" s="20"/>
    </row>
    <row r="14637" spans="45:45" ht="14.4">
      <c r="AS14637" s="20"/>
    </row>
    <row r="14638" spans="45:45" ht="14.4">
      <c r="AS14638" s="20"/>
    </row>
    <row r="14639" spans="45:45" ht="14.4">
      <c r="AS14639" s="20"/>
    </row>
    <row r="14640" spans="45:45" ht="14.4">
      <c r="AS14640" s="20"/>
    </row>
    <row r="14641" spans="45:45" ht="14.4">
      <c r="AS14641" s="20"/>
    </row>
    <row r="14642" spans="45:45" ht="14.4">
      <c r="AS14642" s="20"/>
    </row>
    <row r="14643" spans="45:45" ht="14.4">
      <c r="AS14643" s="20"/>
    </row>
    <row r="14644" spans="45:45" ht="14.4">
      <c r="AS14644" s="20"/>
    </row>
    <row r="14645" spans="45:45" ht="14.4">
      <c r="AS14645" s="20"/>
    </row>
    <row r="14646" spans="45:45" ht="14.4">
      <c r="AS14646" s="20"/>
    </row>
    <row r="14647" spans="45:45" ht="14.4">
      <c r="AS14647" s="20"/>
    </row>
    <row r="14648" spans="45:45" ht="14.4">
      <c r="AS14648" s="20"/>
    </row>
    <row r="14649" spans="45:45" ht="14.4">
      <c r="AS14649" s="20"/>
    </row>
    <row r="14650" spans="45:45" ht="14.4">
      <c r="AS14650" s="20"/>
    </row>
    <row r="14651" spans="45:45" ht="14.4">
      <c r="AS14651" s="20"/>
    </row>
    <row r="14652" spans="45:45" ht="14.4">
      <c r="AS14652" s="20"/>
    </row>
    <row r="14653" spans="45:45" ht="14.4">
      <c r="AS14653" s="20"/>
    </row>
    <row r="14654" spans="45:45" ht="14.4">
      <c r="AS14654" s="20"/>
    </row>
    <row r="14655" spans="45:45" ht="14.4">
      <c r="AS14655" s="20"/>
    </row>
    <row r="14656" spans="45:45" ht="14.4">
      <c r="AS14656" s="20"/>
    </row>
    <row r="14657" spans="45:45" ht="14.4">
      <c r="AS14657" s="20"/>
    </row>
    <row r="14658" spans="45:45" ht="14.4">
      <c r="AS14658" s="20"/>
    </row>
    <row r="14659" spans="45:45" ht="14.4">
      <c r="AS14659" s="20"/>
    </row>
    <row r="14660" spans="45:45" ht="14.4">
      <c r="AS14660" s="20"/>
    </row>
    <row r="14661" spans="45:45" ht="14.4">
      <c r="AS14661" s="20"/>
    </row>
    <row r="14662" spans="45:45" ht="14.4">
      <c r="AS14662" s="20"/>
    </row>
    <row r="14663" spans="45:45" ht="14.4">
      <c r="AS14663" s="20"/>
    </row>
    <row r="14664" spans="45:45" ht="14.4">
      <c r="AS14664" s="20"/>
    </row>
    <row r="14665" spans="45:45" ht="14.4">
      <c r="AS14665" s="20"/>
    </row>
    <row r="14666" spans="45:45" ht="14.4">
      <c r="AS14666" s="20"/>
    </row>
    <row r="14667" spans="45:45" ht="14.4">
      <c r="AS14667" s="20"/>
    </row>
    <row r="14668" spans="45:45" ht="14.4">
      <c r="AS14668" s="20"/>
    </row>
    <row r="14669" spans="45:45" ht="14.4">
      <c r="AS14669" s="20"/>
    </row>
    <row r="14670" spans="45:45" ht="14.4">
      <c r="AS14670" s="20"/>
    </row>
    <row r="14671" spans="45:45" ht="14.4">
      <c r="AS14671" s="20"/>
    </row>
    <row r="14672" spans="45:45" ht="14.4">
      <c r="AS14672" s="20"/>
    </row>
    <row r="14673" spans="45:45" ht="14.4">
      <c r="AS14673" s="20"/>
    </row>
    <row r="14674" spans="45:45" ht="14.4">
      <c r="AS14674" s="20"/>
    </row>
    <row r="14675" spans="45:45" ht="14.4">
      <c r="AS14675" s="20"/>
    </row>
    <row r="14676" spans="45:45" ht="14.4">
      <c r="AS14676" s="20"/>
    </row>
    <row r="14677" spans="45:45" ht="14.4">
      <c r="AS14677" s="20"/>
    </row>
    <row r="14678" spans="45:45" ht="14.4">
      <c r="AS14678" s="20"/>
    </row>
    <row r="14679" spans="45:45" ht="14.4">
      <c r="AS14679" s="20"/>
    </row>
    <row r="14680" spans="45:45" ht="14.4">
      <c r="AS14680" s="20"/>
    </row>
    <row r="14681" spans="45:45" ht="14.4">
      <c r="AS14681" s="20"/>
    </row>
    <row r="14682" spans="45:45" ht="14.4">
      <c r="AS14682" s="20"/>
    </row>
    <row r="14683" spans="45:45" ht="14.4">
      <c r="AS14683" s="20"/>
    </row>
    <row r="14684" spans="45:45" ht="14.4">
      <c r="AS14684" s="20"/>
    </row>
    <row r="14685" spans="45:45" ht="14.4">
      <c r="AS14685" s="20"/>
    </row>
    <row r="14686" spans="45:45" ht="14.4">
      <c r="AS14686" s="20"/>
    </row>
    <row r="14687" spans="45:45" ht="14.4">
      <c r="AS14687" s="20"/>
    </row>
    <row r="14688" spans="45:45" ht="14.4">
      <c r="AS14688" s="20"/>
    </row>
    <row r="14689" spans="45:45" ht="14.4">
      <c r="AS14689" s="20"/>
    </row>
    <row r="14690" spans="45:45" ht="14.4">
      <c r="AS14690" s="20"/>
    </row>
    <row r="14691" spans="45:45" ht="14.4">
      <c r="AS14691" s="20"/>
    </row>
    <row r="14692" spans="45:45" ht="14.4">
      <c r="AS14692" s="20"/>
    </row>
    <row r="14693" spans="45:45" ht="14.4">
      <c r="AS14693" s="20"/>
    </row>
    <row r="14694" spans="45:45" ht="14.4">
      <c r="AS14694" s="20"/>
    </row>
    <row r="14695" spans="45:45" ht="14.4">
      <c r="AS14695" s="20"/>
    </row>
    <row r="14696" spans="45:45" ht="14.4">
      <c r="AS14696" s="20"/>
    </row>
    <row r="14697" spans="45:45" ht="14.4">
      <c r="AS14697" s="20"/>
    </row>
    <row r="14698" spans="45:45" ht="14.4">
      <c r="AS14698" s="20"/>
    </row>
    <row r="14699" spans="45:45" ht="14.4">
      <c r="AS14699" s="20"/>
    </row>
    <row r="14700" spans="45:45" ht="14.4">
      <c r="AS14700" s="20"/>
    </row>
    <row r="14701" spans="45:45" ht="14.4">
      <c r="AS14701" s="20"/>
    </row>
    <row r="14702" spans="45:45" ht="14.4">
      <c r="AS14702" s="20"/>
    </row>
    <row r="14703" spans="45:45" ht="14.4">
      <c r="AS14703" s="20"/>
    </row>
    <row r="14704" spans="45:45" ht="14.4">
      <c r="AS14704" s="20"/>
    </row>
    <row r="14705" spans="45:45" ht="14.4">
      <c r="AS14705" s="20"/>
    </row>
    <row r="14706" spans="45:45" ht="14.4">
      <c r="AS14706" s="20"/>
    </row>
    <row r="14707" spans="45:45" ht="14.4">
      <c r="AS14707" s="20"/>
    </row>
    <row r="14708" spans="45:45" ht="14.4">
      <c r="AS14708" s="20"/>
    </row>
    <row r="14709" spans="45:45" ht="14.4">
      <c r="AS14709" s="20"/>
    </row>
    <row r="14710" spans="45:45" ht="14.4">
      <c r="AS14710" s="20"/>
    </row>
    <row r="14711" spans="45:45" ht="14.4">
      <c r="AS14711" s="20"/>
    </row>
    <row r="14712" spans="45:45" ht="14.4">
      <c r="AS14712" s="20"/>
    </row>
    <row r="14713" spans="45:45" ht="14.4">
      <c r="AS14713" s="20"/>
    </row>
    <row r="14714" spans="45:45" ht="14.4">
      <c r="AS14714" s="20"/>
    </row>
    <row r="14715" spans="45:45" ht="14.4">
      <c r="AS14715" s="20"/>
    </row>
    <row r="14716" spans="45:45" ht="14.4">
      <c r="AS14716" s="20"/>
    </row>
    <row r="14717" spans="45:45" ht="14.4">
      <c r="AS14717" s="20"/>
    </row>
    <row r="14718" spans="45:45" ht="14.4">
      <c r="AS14718" s="20"/>
    </row>
    <row r="14719" spans="45:45" ht="14.4">
      <c r="AS14719" s="20"/>
    </row>
    <row r="14720" spans="45:45" ht="14.4">
      <c r="AS14720" s="20"/>
    </row>
    <row r="14721" spans="45:45" ht="14.4">
      <c r="AS14721" s="20"/>
    </row>
    <row r="14722" spans="45:45" ht="14.4">
      <c r="AS14722" s="20"/>
    </row>
    <row r="14723" spans="45:45" ht="14.4">
      <c r="AS14723" s="20"/>
    </row>
    <row r="14724" spans="45:45" ht="14.4">
      <c r="AS14724" s="20"/>
    </row>
    <row r="14725" spans="45:45" ht="14.4">
      <c r="AS14725" s="20"/>
    </row>
    <row r="14726" spans="45:45" ht="14.4">
      <c r="AS14726" s="20"/>
    </row>
    <row r="14727" spans="45:45" ht="14.4">
      <c r="AS14727" s="20"/>
    </row>
    <row r="14728" spans="45:45" ht="14.4">
      <c r="AS14728" s="20"/>
    </row>
    <row r="14729" spans="45:45" ht="14.4">
      <c r="AS14729" s="20"/>
    </row>
    <row r="14730" spans="45:45" ht="14.4">
      <c r="AS14730" s="20"/>
    </row>
    <row r="14731" spans="45:45" ht="14.4">
      <c r="AS14731" s="20"/>
    </row>
    <row r="14732" spans="45:45" ht="14.4">
      <c r="AS14732" s="20"/>
    </row>
    <row r="14733" spans="45:45" ht="14.4">
      <c r="AS14733" s="20"/>
    </row>
    <row r="14734" spans="45:45" ht="14.4">
      <c r="AS14734" s="20"/>
    </row>
    <row r="14735" spans="45:45" ht="14.4">
      <c r="AS14735" s="20"/>
    </row>
    <row r="14736" spans="45:45" ht="14.4">
      <c r="AS14736" s="20"/>
    </row>
    <row r="14737" spans="45:45" ht="14.4">
      <c r="AS14737" s="20"/>
    </row>
    <row r="14738" spans="45:45" ht="14.4">
      <c r="AS14738" s="20"/>
    </row>
    <row r="14739" spans="45:45" ht="14.4">
      <c r="AS14739" s="20"/>
    </row>
    <row r="14740" spans="45:45" ht="14.4">
      <c r="AS14740" s="20"/>
    </row>
    <row r="14741" spans="45:45" ht="14.4">
      <c r="AS14741" s="20"/>
    </row>
    <row r="14742" spans="45:45" ht="14.4">
      <c r="AS14742" s="20"/>
    </row>
    <row r="14743" spans="45:45" ht="14.4">
      <c r="AS14743" s="20"/>
    </row>
    <row r="14744" spans="45:45" ht="14.4">
      <c r="AS14744" s="20"/>
    </row>
    <row r="14745" spans="45:45" ht="14.4">
      <c r="AS14745" s="20"/>
    </row>
    <row r="14746" spans="45:45" ht="14.4">
      <c r="AS14746" s="20"/>
    </row>
    <row r="14747" spans="45:45" ht="14.4">
      <c r="AS14747" s="20"/>
    </row>
    <row r="14748" spans="45:45" ht="14.4">
      <c r="AS14748" s="20"/>
    </row>
    <row r="14749" spans="45:45" ht="14.4">
      <c r="AS14749" s="20"/>
    </row>
    <row r="14750" spans="45:45" ht="14.4">
      <c r="AS14750" s="20"/>
    </row>
    <row r="14751" spans="45:45" ht="14.4">
      <c r="AS14751" s="20"/>
    </row>
    <row r="14752" spans="45:45" ht="14.4">
      <c r="AS14752" s="20"/>
    </row>
    <row r="14753" spans="45:45" ht="14.4">
      <c r="AS14753" s="20"/>
    </row>
    <row r="14754" spans="45:45" ht="14.4">
      <c r="AS14754" s="20"/>
    </row>
    <row r="14755" spans="45:45" ht="14.4">
      <c r="AS14755" s="20"/>
    </row>
    <row r="14756" spans="45:45" ht="14.4">
      <c r="AS14756" s="20"/>
    </row>
    <row r="14757" spans="45:45" ht="14.4">
      <c r="AS14757" s="20"/>
    </row>
    <row r="14758" spans="45:45" ht="14.4">
      <c r="AS14758" s="20"/>
    </row>
    <row r="14759" spans="45:45" ht="14.4">
      <c r="AS14759" s="20"/>
    </row>
    <row r="14760" spans="45:45" ht="14.4">
      <c r="AS14760" s="20"/>
    </row>
    <row r="14761" spans="45:45" ht="14.4">
      <c r="AS14761" s="20"/>
    </row>
    <row r="14762" spans="45:45" ht="14.4">
      <c r="AS14762" s="20"/>
    </row>
    <row r="14763" spans="45:45" ht="14.4">
      <c r="AS14763" s="20"/>
    </row>
    <row r="14764" spans="45:45" ht="14.4">
      <c r="AS14764" s="20"/>
    </row>
    <row r="14765" spans="45:45" ht="14.4">
      <c r="AS14765" s="20"/>
    </row>
    <row r="14766" spans="45:45" ht="14.4">
      <c r="AS14766" s="20"/>
    </row>
    <row r="14767" spans="45:45" ht="14.4">
      <c r="AS14767" s="20"/>
    </row>
    <row r="14768" spans="45:45" ht="14.4">
      <c r="AS14768" s="20"/>
    </row>
    <row r="14769" spans="45:45" ht="14.4">
      <c r="AS14769" s="20"/>
    </row>
    <row r="14770" spans="45:45" ht="14.4">
      <c r="AS14770" s="20"/>
    </row>
    <row r="14771" spans="45:45" ht="14.4">
      <c r="AS14771" s="20"/>
    </row>
    <row r="14772" spans="45:45" ht="14.4">
      <c r="AS14772" s="20"/>
    </row>
    <row r="14773" spans="45:45" ht="14.4">
      <c r="AS14773" s="20"/>
    </row>
    <row r="14774" spans="45:45" ht="14.4">
      <c r="AS14774" s="20"/>
    </row>
    <row r="14775" spans="45:45" ht="14.4">
      <c r="AS14775" s="20"/>
    </row>
    <row r="14776" spans="45:45" ht="14.4">
      <c r="AS14776" s="20"/>
    </row>
    <row r="14777" spans="45:45" ht="14.4">
      <c r="AS14777" s="20"/>
    </row>
    <row r="14778" spans="45:45" ht="14.4">
      <c r="AS14778" s="20"/>
    </row>
    <row r="14779" spans="45:45" ht="14.4">
      <c r="AS14779" s="20"/>
    </row>
    <row r="14780" spans="45:45" ht="14.4">
      <c r="AS14780" s="20"/>
    </row>
    <row r="14781" spans="45:45" ht="14.4">
      <c r="AS14781" s="20"/>
    </row>
    <row r="14782" spans="45:45" ht="14.4">
      <c r="AS14782" s="20"/>
    </row>
    <row r="14783" spans="45:45" ht="14.4">
      <c r="AS14783" s="20"/>
    </row>
    <row r="14784" spans="45:45" ht="14.4">
      <c r="AS14784" s="20"/>
    </row>
    <row r="14785" spans="45:45" ht="14.4">
      <c r="AS14785" s="20"/>
    </row>
    <row r="14786" spans="45:45" ht="14.4">
      <c r="AS14786" s="20"/>
    </row>
    <row r="14787" spans="45:45" ht="14.4">
      <c r="AS14787" s="20"/>
    </row>
    <row r="14788" spans="45:45" ht="14.4">
      <c r="AS14788" s="20"/>
    </row>
    <row r="14789" spans="45:45" ht="14.4">
      <c r="AS14789" s="20"/>
    </row>
    <row r="14790" spans="45:45" ht="14.4">
      <c r="AS14790" s="20"/>
    </row>
    <row r="14791" spans="45:45" ht="14.4">
      <c r="AS14791" s="20"/>
    </row>
    <row r="14792" spans="45:45" ht="14.4">
      <c r="AS14792" s="20"/>
    </row>
    <row r="14793" spans="45:45" ht="14.4">
      <c r="AS14793" s="20"/>
    </row>
    <row r="14794" spans="45:45" ht="14.4">
      <c r="AS14794" s="20"/>
    </row>
    <row r="14795" spans="45:45" ht="14.4">
      <c r="AS14795" s="20"/>
    </row>
    <row r="14796" spans="45:45" ht="14.4">
      <c r="AS14796" s="20"/>
    </row>
    <row r="14797" spans="45:45" ht="14.4">
      <c r="AS14797" s="20"/>
    </row>
    <row r="14798" spans="45:45" ht="14.4">
      <c r="AS14798" s="20"/>
    </row>
    <row r="14799" spans="45:45" ht="14.4">
      <c r="AS14799" s="20"/>
    </row>
    <row r="14800" spans="45:45" ht="14.4">
      <c r="AS14800" s="20"/>
    </row>
    <row r="14801" spans="45:45" ht="14.4">
      <c r="AS14801" s="20"/>
    </row>
    <row r="14802" spans="45:45" ht="14.4">
      <c r="AS14802" s="20"/>
    </row>
    <row r="14803" spans="45:45" ht="14.4">
      <c r="AS14803" s="20"/>
    </row>
    <row r="14804" spans="45:45" ht="14.4">
      <c r="AS14804" s="20"/>
    </row>
    <row r="14805" spans="45:45" ht="14.4">
      <c r="AS14805" s="20"/>
    </row>
    <row r="14806" spans="45:45" ht="14.4">
      <c r="AS14806" s="20"/>
    </row>
    <row r="14807" spans="45:45" ht="14.4">
      <c r="AS14807" s="20"/>
    </row>
    <row r="14808" spans="45:45" ht="14.4">
      <c r="AS14808" s="20"/>
    </row>
    <row r="14809" spans="45:45" ht="14.4">
      <c r="AS14809" s="20"/>
    </row>
    <row r="14810" spans="45:45" ht="14.4">
      <c r="AS14810" s="20"/>
    </row>
    <row r="14811" spans="45:45" ht="14.4">
      <c r="AS14811" s="20"/>
    </row>
    <row r="14812" spans="45:45" ht="14.4">
      <c r="AS14812" s="20"/>
    </row>
    <row r="14813" spans="45:45" ht="14.4">
      <c r="AS14813" s="20"/>
    </row>
    <row r="14814" spans="45:45" ht="14.4">
      <c r="AS14814" s="20"/>
    </row>
    <row r="14815" spans="45:45" ht="14.4">
      <c r="AS14815" s="20"/>
    </row>
    <row r="14816" spans="45:45" ht="14.4">
      <c r="AS14816" s="20"/>
    </row>
    <row r="14817" spans="45:45" ht="14.4">
      <c r="AS14817" s="20"/>
    </row>
    <row r="14818" spans="45:45" ht="14.4">
      <c r="AS14818" s="20"/>
    </row>
    <row r="14819" spans="45:45" ht="14.4">
      <c r="AS14819" s="20"/>
    </row>
    <row r="14820" spans="45:45" ht="14.4">
      <c r="AS14820" s="20"/>
    </row>
    <row r="14821" spans="45:45" ht="14.4">
      <c r="AS14821" s="20"/>
    </row>
    <row r="14822" spans="45:45" ht="14.4">
      <c r="AS14822" s="20"/>
    </row>
    <row r="14823" spans="45:45" ht="14.4">
      <c r="AS14823" s="20"/>
    </row>
    <row r="14824" spans="45:45" ht="14.4">
      <c r="AS14824" s="20"/>
    </row>
    <row r="14825" spans="45:45" ht="14.4">
      <c r="AS14825" s="20"/>
    </row>
    <row r="14826" spans="45:45" ht="14.4">
      <c r="AS14826" s="20"/>
    </row>
    <row r="14827" spans="45:45" ht="14.4">
      <c r="AS14827" s="20"/>
    </row>
    <row r="14828" spans="45:45" ht="14.4">
      <c r="AS14828" s="20"/>
    </row>
    <row r="14829" spans="45:45" ht="14.4">
      <c r="AS14829" s="20"/>
    </row>
    <row r="14830" spans="45:45" ht="14.4">
      <c r="AS14830" s="20"/>
    </row>
    <row r="14831" spans="45:45" ht="14.4">
      <c r="AS14831" s="20"/>
    </row>
    <row r="14832" spans="45:45" ht="14.4">
      <c r="AS14832" s="20"/>
    </row>
    <row r="14833" spans="45:45" ht="14.4">
      <c r="AS14833" s="20"/>
    </row>
    <row r="14834" spans="45:45" ht="14.4">
      <c r="AS14834" s="20"/>
    </row>
    <row r="14835" spans="45:45" ht="14.4">
      <c r="AS14835" s="20"/>
    </row>
    <row r="14836" spans="45:45" ht="14.4">
      <c r="AS14836" s="20"/>
    </row>
    <row r="14837" spans="45:45" ht="14.4">
      <c r="AS14837" s="20"/>
    </row>
    <row r="14838" spans="45:45" ht="14.4">
      <c r="AS14838" s="20"/>
    </row>
    <row r="14839" spans="45:45" ht="14.4">
      <c r="AS14839" s="20"/>
    </row>
    <row r="14840" spans="45:45" ht="14.4">
      <c r="AS14840" s="20"/>
    </row>
    <row r="14841" spans="45:45" ht="14.4">
      <c r="AS14841" s="20"/>
    </row>
    <row r="14842" spans="45:45" ht="14.4">
      <c r="AS14842" s="20"/>
    </row>
    <row r="14843" spans="45:45" ht="14.4">
      <c r="AS14843" s="20"/>
    </row>
    <row r="14844" spans="45:45" ht="14.4">
      <c r="AS14844" s="20"/>
    </row>
    <row r="14845" spans="45:45" ht="14.4">
      <c r="AS14845" s="20"/>
    </row>
    <row r="14846" spans="45:45" ht="14.4">
      <c r="AS14846" s="20"/>
    </row>
    <row r="14847" spans="45:45" ht="14.4">
      <c r="AS14847" s="20"/>
    </row>
    <row r="14848" spans="45:45" ht="14.4">
      <c r="AS14848" s="20"/>
    </row>
    <row r="14849" spans="45:45" ht="14.4">
      <c r="AS14849" s="20"/>
    </row>
    <row r="14850" spans="45:45" ht="14.4">
      <c r="AS14850" s="20"/>
    </row>
    <row r="14851" spans="45:45" ht="14.4">
      <c r="AS14851" s="20"/>
    </row>
    <row r="14852" spans="45:45" ht="14.4">
      <c r="AS14852" s="20"/>
    </row>
    <row r="14853" spans="45:45" ht="14.4">
      <c r="AS14853" s="20"/>
    </row>
    <row r="14854" spans="45:45" ht="14.4">
      <c r="AS14854" s="20"/>
    </row>
    <row r="14855" spans="45:45" ht="14.4">
      <c r="AS14855" s="20"/>
    </row>
    <row r="14856" spans="45:45" ht="14.4">
      <c r="AS14856" s="20"/>
    </row>
    <row r="14857" spans="45:45" ht="14.4">
      <c r="AS14857" s="20"/>
    </row>
    <row r="14858" spans="45:45" ht="14.4">
      <c r="AS14858" s="20"/>
    </row>
    <row r="14859" spans="45:45" ht="14.4">
      <c r="AS14859" s="20"/>
    </row>
    <row r="14860" spans="45:45" ht="14.4">
      <c r="AS14860" s="20"/>
    </row>
    <row r="14861" spans="45:45" ht="14.4">
      <c r="AS14861" s="20"/>
    </row>
    <row r="14862" spans="45:45" ht="14.4">
      <c r="AS14862" s="20"/>
    </row>
    <row r="14863" spans="45:45" ht="14.4">
      <c r="AS14863" s="20"/>
    </row>
    <row r="14864" spans="45:45" ht="14.4">
      <c r="AS14864" s="20"/>
    </row>
    <row r="14865" spans="45:45" ht="14.4">
      <c r="AS14865" s="20"/>
    </row>
    <row r="14866" spans="45:45" ht="14.4">
      <c r="AS14866" s="20"/>
    </row>
    <row r="14867" spans="45:45" ht="14.4">
      <c r="AS14867" s="20"/>
    </row>
    <row r="14868" spans="45:45" ht="14.4">
      <c r="AS14868" s="20"/>
    </row>
    <row r="14869" spans="45:45" ht="14.4">
      <c r="AS14869" s="20"/>
    </row>
    <row r="14870" spans="45:45" ht="14.4">
      <c r="AS14870" s="20"/>
    </row>
    <row r="14871" spans="45:45" ht="14.4">
      <c r="AS14871" s="20"/>
    </row>
    <row r="14872" spans="45:45" ht="14.4">
      <c r="AS14872" s="20"/>
    </row>
    <row r="14873" spans="45:45" ht="14.4">
      <c r="AS14873" s="20"/>
    </row>
    <row r="14874" spans="45:45" ht="14.4">
      <c r="AS14874" s="20"/>
    </row>
    <row r="14875" spans="45:45" ht="14.4">
      <c r="AS14875" s="20"/>
    </row>
    <row r="14876" spans="45:45" ht="14.4">
      <c r="AS14876" s="20"/>
    </row>
    <row r="14877" spans="45:45" ht="14.4">
      <c r="AS14877" s="20"/>
    </row>
    <row r="14878" spans="45:45" ht="14.4">
      <c r="AS14878" s="20"/>
    </row>
    <row r="14879" spans="45:45" ht="14.4">
      <c r="AS14879" s="20"/>
    </row>
    <row r="14880" spans="45:45" ht="14.4">
      <c r="AS14880" s="20"/>
    </row>
    <row r="14881" spans="45:45" ht="14.4">
      <c r="AS14881" s="20"/>
    </row>
    <row r="14882" spans="45:45" ht="14.4">
      <c r="AS14882" s="20"/>
    </row>
    <row r="14883" spans="45:45" ht="14.4">
      <c r="AS14883" s="20"/>
    </row>
    <row r="14884" spans="45:45" ht="14.4">
      <c r="AS14884" s="20"/>
    </row>
    <row r="14885" spans="45:45" ht="14.4">
      <c r="AS14885" s="20"/>
    </row>
    <row r="14886" spans="45:45" ht="14.4">
      <c r="AS14886" s="20"/>
    </row>
    <row r="14887" spans="45:45" ht="14.4">
      <c r="AS14887" s="20"/>
    </row>
    <row r="14888" spans="45:45" ht="14.4">
      <c r="AS14888" s="20"/>
    </row>
    <row r="14889" spans="45:45" ht="14.4">
      <c r="AS14889" s="20"/>
    </row>
    <row r="14890" spans="45:45" ht="14.4">
      <c r="AS14890" s="20"/>
    </row>
    <row r="14891" spans="45:45" ht="14.4">
      <c r="AS14891" s="20"/>
    </row>
    <row r="14892" spans="45:45" ht="14.4">
      <c r="AS14892" s="20"/>
    </row>
    <row r="14893" spans="45:45" ht="14.4">
      <c r="AS14893" s="20"/>
    </row>
    <row r="14894" spans="45:45" ht="14.4">
      <c r="AS14894" s="20"/>
    </row>
    <row r="14895" spans="45:45" ht="14.4">
      <c r="AS14895" s="20"/>
    </row>
    <row r="14896" spans="45:45" ht="14.4">
      <c r="AS14896" s="20"/>
    </row>
    <row r="14897" spans="45:45" ht="14.4">
      <c r="AS14897" s="20"/>
    </row>
    <row r="14898" spans="45:45" ht="14.4">
      <c r="AS14898" s="20"/>
    </row>
    <row r="14899" spans="45:45" ht="14.4">
      <c r="AS14899" s="20"/>
    </row>
    <row r="14900" spans="45:45" ht="14.4">
      <c r="AS14900" s="20"/>
    </row>
    <row r="14901" spans="45:45" ht="14.4">
      <c r="AS14901" s="20"/>
    </row>
    <row r="14902" spans="45:45" ht="14.4">
      <c r="AS14902" s="20"/>
    </row>
    <row r="14903" spans="45:45" ht="14.4">
      <c r="AS14903" s="20"/>
    </row>
    <row r="14904" spans="45:45" ht="14.4">
      <c r="AS14904" s="20"/>
    </row>
    <row r="14905" spans="45:45" ht="14.4">
      <c r="AS14905" s="20"/>
    </row>
    <row r="14906" spans="45:45" ht="14.4">
      <c r="AS14906" s="20"/>
    </row>
    <row r="14907" spans="45:45" ht="14.4">
      <c r="AS14907" s="20"/>
    </row>
    <row r="14908" spans="45:45" ht="14.4">
      <c r="AS14908" s="20"/>
    </row>
    <row r="14909" spans="45:45" ht="14.4">
      <c r="AS14909" s="20"/>
    </row>
    <row r="14910" spans="45:45" ht="14.4">
      <c r="AS14910" s="20"/>
    </row>
    <row r="14911" spans="45:45" ht="14.4">
      <c r="AS14911" s="20"/>
    </row>
    <row r="14912" spans="45:45" ht="14.4">
      <c r="AS14912" s="20"/>
    </row>
    <row r="14913" spans="45:45" ht="14.4">
      <c r="AS14913" s="20"/>
    </row>
    <row r="14914" spans="45:45" ht="14.4">
      <c r="AS14914" s="20"/>
    </row>
    <row r="14915" spans="45:45" ht="14.4">
      <c r="AS14915" s="20"/>
    </row>
    <row r="14916" spans="45:45" ht="14.4">
      <c r="AS14916" s="20"/>
    </row>
    <row r="14917" spans="45:45" ht="14.4">
      <c r="AS14917" s="20"/>
    </row>
    <row r="14918" spans="45:45" ht="14.4">
      <c r="AS14918" s="20"/>
    </row>
    <row r="14919" spans="45:45" ht="14.4">
      <c r="AS14919" s="20"/>
    </row>
    <row r="14920" spans="45:45" ht="14.4">
      <c r="AS14920" s="20"/>
    </row>
    <row r="14921" spans="45:45" ht="14.4">
      <c r="AS14921" s="20"/>
    </row>
    <row r="14922" spans="45:45" ht="14.4">
      <c r="AS14922" s="20"/>
    </row>
    <row r="14923" spans="45:45" ht="14.4">
      <c r="AS14923" s="20"/>
    </row>
    <row r="14924" spans="45:45" ht="14.4">
      <c r="AS14924" s="20"/>
    </row>
    <row r="14925" spans="45:45" ht="14.4">
      <c r="AS14925" s="20"/>
    </row>
    <row r="14926" spans="45:45" ht="14.4">
      <c r="AS14926" s="20"/>
    </row>
    <row r="14927" spans="45:45" ht="14.4">
      <c r="AS14927" s="20"/>
    </row>
    <row r="14928" spans="45:45" ht="14.4">
      <c r="AS14928" s="20"/>
    </row>
    <row r="14929" spans="45:45" ht="14.4">
      <c r="AS14929" s="20"/>
    </row>
    <row r="14930" spans="45:45" ht="14.4">
      <c r="AS14930" s="20"/>
    </row>
    <row r="14931" spans="45:45" ht="14.4">
      <c r="AS14931" s="20"/>
    </row>
    <row r="14932" spans="45:45" ht="14.4">
      <c r="AS14932" s="20"/>
    </row>
    <row r="14933" spans="45:45" ht="14.4">
      <c r="AS14933" s="20"/>
    </row>
    <row r="14934" spans="45:45" ht="14.4">
      <c r="AS14934" s="20"/>
    </row>
    <row r="14935" spans="45:45" ht="14.4">
      <c r="AS14935" s="20"/>
    </row>
    <row r="14936" spans="45:45" ht="14.4">
      <c r="AS14936" s="20"/>
    </row>
    <row r="14937" spans="45:45" ht="14.4">
      <c r="AS14937" s="20"/>
    </row>
    <row r="14938" spans="45:45" ht="14.4">
      <c r="AS14938" s="20"/>
    </row>
    <row r="14939" spans="45:45" ht="14.4">
      <c r="AS14939" s="20"/>
    </row>
    <row r="14940" spans="45:45" ht="14.4">
      <c r="AS14940" s="20"/>
    </row>
    <row r="14941" spans="45:45" ht="14.4">
      <c r="AS14941" s="20"/>
    </row>
    <row r="14942" spans="45:45" ht="14.4">
      <c r="AS14942" s="20"/>
    </row>
    <row r="14943" spans="45:45" ht="14.4">
      <c r="AS14943" s="20"/>
    </row>
    <row r="14944" spans="45:45" ht="14.4">
      <c r="AS14944" s="20"/>
    </row>
    <row r="14945" spans="45:45" ht="14.4">
      <c r="AS14945" s="20"/>
    </row>
    <row r="14946" spans="45:45" ht="14.4">
      <c r="AS14946" s="20"/>
    </row>
    <row r="14947" spans="45:45" ht="14.4">
      <c r="AS14947" s="20"/>
    </row>
    <row r="14948" spans="45:45" ht="14.4">
      <c r="AS14948" s="20"/>
    </row>
    <row r="14949" spans="45:45" ht="14.4">
      <c r="AS14949" s="20"/>
    </row>
    <row r="14950" spans="45:45" ht="14.4">
      <c r="AS14950" s="20"/>
    </row>
    <row r="14951" spans="45:45" ht="14.4">
      <c r="AS14951" s="20"/>
    </row>
    <row r="14952" spans="45:45" ht="14.4">
      <c r="AS14952" s="20"/>
    </row>
    <row r="14953" spans="45:45" ht="14.4">
      <c r="AS14953" s="20"/>
    </row>
    <row r="14954" spans="45:45" ht="14.4">
      <c r="AS14954" s="20"/>
    </row>
    <row r="14955" spans="45:45" ht="14.4">
      <c r="AS14955" s="20"/>
    </row>
    <row r="14956" spans="45:45" ht="14.4">
      <c r="AS14956" s="20"/>
    </row>
    <row r="14957" spans="45:45" ht="14.4">
      <c r="AS14957" s="20"/>
    </row>
    <row r="14958" spans="45:45" ht="14.4">
      <c r="AS14958" s="20"/>
    </row>
    <row r="14959" spans="45:45" ht="14.4">
      <c r="AS14959" s="20"/>
    </row>
    <row r="14960" spans="45:45" ht="14.4">
      <c r="AS14960" s="20"/>
    </row>
    <row r="14961" spans="45:45" ht="14.4">
      <c r="AS14961" s="20"/>
    </row>
    <row r="14962" spans="45:45" ht="14.4">
      <c r="AS14962" s="20"/>
    </row>
    <row r="14963" spans="45:45" ht="14.4">
      <c r="AS14963" s="20"/>
    </row>
    <row r="14964" spans="45:45" ht="14.4">
      <c r="AS14964" s="20"/>
    </row>
    <row r="14965" spans="45:45" ht="14.4">
      <c r="AS14965" s="20"/>
    </row>
    <row r="14966" spans="45:45" ht="14.4">
      <c r="AS14966" s="20"/>
    </row>
    <row r="14967" spans="45:45" ht="14.4">
      <c r="AS14967" s="20"/>
    </row>
    <row r="14968" spans="45:45" ht="14.4">
      <c r="AS14968" s="20"/>
    </row>
    <row r="14969" spans="45:45" ht="14.4">
      <c r="AS14969" s="20"/>
    </row>
    <row r="14970" spans="45:45" ht="14.4">
      <c r="AS14970" s="20"/>
    </row>
    <row r="14971" spans="45:45" ht="14.4">
      <c r="AS14971" s="20"/>
    </row>
    <row r="14972" spans="45:45" ht="14.4">
      <c r="AS14972" s="20"/>
    </row>
    <row r="14973" spans="45:45" ht="14.4">
      <c r="AS14973" s="20"/>
    </row>
    <row r="14974" spans="45:45" ht="14.4">
      <c r="AS14974" s="20"/>
    </row>
    <row r="14975" spans="45:45" ht="14.4">
      <c r="AS14975" s="20"/>
    </row>
    <row r="14976" spans="45:45" ht="14.4">
      <c r="AS14976" s="20"/>
    </row>
    <row r="14977" spans="45:45" ht="14.4">
      <c r="AS14977" s="20"/>
    </row>
    <row r="14978" spans="45:45" ht="14.4">
      <c r="AS14978" s="20"/>
    </row>
    <row r="14979" spans="45:45" ht="14.4">
      <c r="AS14979" s="20"/>
    </row>
    <row r="14980" spans="45:45" ht="14.4">
      <c r="AS14980" s="20"/>
    </row>
    <row r="14981" spans="45:45" ht="14.4">
      <c r="AS14981" s="20"/>
    </row>
    <row r="14982" spans="45:45" ht="14.4">
      <c r="AS14982" s="20"/>
    </row>
    <row r="14983" spans="45:45" ht="14.4">
      <c r="AS14983" s="20"/>
    </row>
    <row r="14984" spans="45:45" ht="14.4">
      <c r="AS14984" s="20"/>
    </row>
    <row r="14985" spans="45:45" ht="14.4">
      <c r="AS14985" s="20"/>
    </row>
    <row r="14986" spans="45:45" ht="14.4">
      <c r="AS14986" s="20"/>
    </row>
    <row r="14987" spans="45:45" ht="14.4">
      <c r="AS14987" s="20"/>
    </row>
    <row r="14988" spans="45:45" ht="14.4">
      <c r="AS14988" s="20"/>
    </row>
    <row r="14989" spans="45:45" ht="14.4">
      <c r="AS14989" s="20"/>
    </row>
    <row r="14990" spans="45:45" ht="14.4">
      <c r="AS14990" s="20"/>
    </row>
    <row r="14991" spans="45:45" ht="14.4">
      <c r="AS14991" s="20"/>
    </row>
    <row r="14992" spans="45:45" ht="14.4">
      <c r="AS14992" s="20"/>
    </row>
    <row r="14993" spans="45:45" ht="14.4">
      <c r="AS14993" s="20"/>
    </row>
    <row r="14994" spans="45:45" ht="14.4">
      <c r="AS14994" s="20"/>
    </row>
    <row r="14995" spans="45:45" ht="14.4">
      <c r="AS14995" s="20"/>
    </row>
    <row r="14996" spans="45:45" ht="14.4">
      <c r="AS14996" s="20"/>
    </row>
    <row r="14997" spans="45:45" ht="14.4">
      <c r="AS14997" s="20"/>
    </row>
    <row r="14998" spans="45:45" ht="14.4">
      <c r="AS14998" s="20"/>
    </row>
    <row r="14999" spans="45:45" ht="14.4">
      <c r="AS14999" s="20"/>
    </row>
    <row r="15000" spans="45:45" ht="14.4">
      <c r="AS15000" s="20"/>
    </row>
    <row r="15001" spans="45:45" ht="14.4">
      <c r="AS15001" s="20"/>
    </row>
    <row r="15002" spans="45:45" ht="14.4">
      <c r="AS15002" s="20"/>
    </row>
    <row r="15003" spans="45:45" ht="14.4">
      <c r="AS15003" s="20"/>
    </row>
    <row r="15004" spans="45:45" ht="14.4">
      <c r="AS15004" s="20"/>
    </row>
    <row r="15005" spans="45:45" ht="14.4">
      <c r="AS15005" s="20"/>
    </row>
    <row r="15006" spans="45:45" ht="14.4">
      <c r="AS15006" s="20"/>
    </row>
    <row r="15007" spans="45:45" ht="14.4">
      <c r="AS15007" s="20"/>
    </row>
    <row r="15008" spans="45:45" ht="14.4">
      <c r="AS15008" s="20"/>
    </row>
    <row r="15009" spans="45:45" ht="14.4">
      <c r="AS15009" s="20"/>
    </row>
    <row r="15010" spans="45:45" ht="14.4">
      <c r="AS15010" s="20"/>
    </row>
    <row r="15011" spans="45:45" ht="14.4">
      <c r="AS15011" s="20"/>
    </row>
    <row r="15012" spans="45:45" ht="14.4">
      <c r="AS15012" s="20"/>
    </row>
    <row r="15013" spans="45:45" ht="14.4">
      <c r="AS15013" s="20"/>
    </row>
    <row r="15014" spans="45:45" ht="14.4">
      <c r="AS15014" s="20"/>
    </row>
    <row r="15015" spans="45:45" ht="14.4">
      <c r="AS15015" s="20"/>
    </row>
    <row r="15016" spans="45:45" ht="14.4">
      <c r="AS15016" s="20"/>
    </row>
    <row r="15017" spans="45:45" ht="14.4">
      <c r="AS15017" s="20"/>
    </row>
    <row r="15018" spans="45:45" ht="14.4">
      <c r="AS15018" s="20"/>
    </row>
    <row r="15019" spans="45:45" ht="14.4">
      <c r="AS15019" s="20"/>
    </row>
    <row r="15020" spans="45:45" ht="14.4">
      <c r="AS15020" s="20"/>
    </row>
    <row r="15021" spans="45:45" ht="14.4">
      <c r="AS15021" s="20"/>
    </row>
    <row r="15022" spans="45:45" ht="14.4">
      <c r="AS15022" s="20"/>
    </row>
    <row r="15023" spans="45:45" ht="14.4">
      <c r="AS15023" s="20"/>
    </row>
    <row r="15024" spans="45:45" ht="14.4">
      <c r="AS15024" s="20"/>
    </row>
    <row r="15025" spans="45:45" ht="14.4">
      <c r="AS15025" s="20"/>
    </row>
    <row r="15026" spans="45:45" ht="14.4">
      <c r="AS15026" s="20"/>
    </row>
    <row r="15027" spans="45:45" ht="14.4">
      <c r="AS15027" s="20"/>
    </row>
    <row r="15028" spans="45:45" ht="14.4">
      <c r="AS15028" s="20"/>
    </row>
    <row r="15029" spans="45:45" ht="14.4">
      <c r="AS15029" s="20"/>
    </row>
    <row r="15030" spans="45:45" ht="14.4">
      <c r="AS15030" s="20"/>
    </row>
    <row r="15031" spans="45:45" ht="14.4">
      <c r="AS15031" s="20"/>
    </row>
    <row r="15032" spans="45:45" ht="14.4">
      <c r="AS15032" s="20"/>
    </row>
    <row r="15033" spans="45:45" ht="14.4">
      <c r="AS15033" s="20"/>
    </row>
    <row r="15034" spans="45:45" ht="14.4">
      <c r="AS15034" s="20"/>
    </row>
    <row r="15035" spans="45:45" ht="14.4">
      <c r="AS15035" s="20"/>
    </row>
    <row r="15036" spans="45:45" ht="14.4">
      <c r="AS15036" s="20"/>
    </row>
    <row r="15037" spans="45:45" ht="14.4">
      <c r="AS15037" s="20"/>
    </row>
    <row r="15038" spans="45:45" ht="14.4">
      <c r="AS15038" s="20"/>
    </row>
    <row r="15039" spans="45:45" ht="14.4">
      <c r="AS15039" s="20"/>
    </row>
    <row r="15040" spans="45:45" ht="14.4">
      <c r="AS15040" s="20"/>
    </row>
    <row r="15041" spans="45:45" ht="14.4">
      <c r="AS15041" s="20"/>
    </row>
    <row r="15042" spans="45:45" ht="14.4">
      <c r="AS15042" s="20"/>
    </row>
    <row r="15043" spans="45:45" ht="14.4">
      <c r="AS15043" s="20"/>
    </row>
    <row r="15044" spans="45:45" ht="14.4">
      <c r="AS15044" s="20"/>
    </row>
    <row r="15045" spans="45:45" ht="14.4">
      <c r="AS15045" s="20"/>
    </row>
    <row r="15046" spans="45:45" ht="14.4">
      <c r="AS15046" s="20"/>
    </row>
    <row r="15047" spans="45:45" ht="14.4">
      <c r="AS15047" s="20"/>
    </row>
    <row r="15048" spans="45:45" ht="14.4">
      <c r="AS15048" s="20"/>
    </row>
    <row r="15049" spans="45:45" ht="14.4">
      <c r="AS15049" s="20"/>
    </row>
    <row r="15050" spans="45:45" ht="14.4">
      <c r="AS15050" s="20"/>
    </row>
    <row r="15051" spans="45:45" ht="14.4">
      <c r="AS15051" s="20"/>
    </row>
    <row r="15052" spans="45:45" ht="14.4">
      <c r="AS15052" s="20"/>
    </row>
    <row r="15053" spans="45:45" ht="14.4">
      <c r="AS15053" s="20"/>
    </row>
    <row r="15054" spans="45:45" ht="14.4">
      <c r="AS15054" s="20"/>
    </row>
    <row r="15055" spans="45:45" ht="14.4">
      <c r="AS15055" s="20"/>
    </row>
    <row r="15056" spans="45:45" ht="14.4">
      <c r="AS15056" s="20"/>
    </row>
    <row r="15057" spans="45:45" ht="14.4">
      <c r="AS15057" s="20"/>
    </row>
    <row r="15058" spans="45:45" ht="14.4">
      <c r="AS15058" s="20"/>
    </row>
    <row r="15059" spans="45:45" ht="14.4">
      <c r="AS15059" s="20"/>
    </row>
    <row r="15060" spans="45:45" ht="14.4">
      <c r="AS15060" s="20"/>
    </row>
    <row r="15061" spans="45:45" ht="14.4">
      <c r="AS15061" s="20"/>
    </row>
    <row r="15062" spans="45:45" ht="14.4">
      <c r="AS15062" s="20"/>
    </row>
    <row r="15063" spans="45:45" ht="14.4">
      <c r="AS15063" s="20"/>
    </row>
    <row r="15064" spans="45:45" ht="14.4">
      <c r="AS15064" s="20"/>
    </row>
    <row r="15065" spans="45:45" ht="14.4">
      <c r="AS15065" s="20"/>
    </row>
    <row r="15066" spans="45:45" ht="14.4">
      <c r="AS15066" s="20"/>
    </row>
    <row r="15067" spans="45:45" ht="14.4">
      <c r="AS15067" s="20"/>
    </row>
    <row r="15068" spans="45:45" ht="14.4">
      <c r="AS15068" s="20"/>
    </row>
    <row r="15069" spans="45:45" ht="14.4">
      <c r="AS15069" s="20"/>
    </row>
    <row r="15070" spans="45:45" ht="14.4">
      <c r="AS15070" s="20"/>
    </row>
    <row r="15071" spans="45:45" ht="14.4">
      <c r="AS15071" s="20"/>
    </row>
    <row r="15072" spans="45:45" ht="14.4">
      <c r="AS15072" s="20"/>
    </row>
    <row r="15073" spans="45:45" ht="14.4">
      <c r="AS15073" s="20"/>
    </row>
    <row r="15074" spans="45:45" ht="14.4">
      <c r="AS15074" s="20"/>
    </row>
    <row r="15075" spans="45:45" ht="14.4">
      <c r="AS15075" s="20"/>
    </row>
    <row r="15076" spans="45:45" ht="14.4">
      <c r="AS15076" s="20"/>
    </row>
    <row r="15077" spans="45:45" ht="14.4">
      <c r="AS15077" s="20"/>
    </row>
    <row r="15078" spans="45:45" ht="14.4">
      <c r="AS15078" s="20"/>
    </row>
    <row r="15079" spans="45:45" ht="14.4">
      <c r="AS15079" s="20"/>
    </row>
    <row r="15080" spans="45:45" ht="14.4">
      <c r="AS15080" s="20"/>
    </row>
    <row r="15081" spans="45:45" ht="14.4">
      <c r="AS15081" s="20"/>
    </row>
    <row r="15082" spans="45:45" ht="14.4">
      <c r="AS15082" s="20"/>
    </row>
    <row r="15083" spans="45:45" ht="14.4">
      <c r="AS15083" s="20"/>
    </row>
    <row r="15084" spans="45:45" ht="14.4">
      <c r="AS15084" s="20"/>
    </row>
    <row r="15085" spans="45:45" ht="14.4">
      <c r="AS15085" s="20"/>
    </row>
    <row r="15086" spans="45:45" ht="14.4">
      <c r="AS15086" s="20"/>
    </row>
    <row r="15087" spans="45:45" ht="14.4">
      <c r="AS15087" s="20"/>
    </row>
    <row r="15088" spans="45:45" ht="14.4">
      <c r="AS15088" s="20"/>
    </row>
    <row r="15089" spans="45:45" ht="14.4">
      <c r="AS15089" s="20"/>
    </row>
    <row r="15090" spans="45:45" ht="14.4">
      <c r="AS15090" s="20"/>
    </row>
    <row r="15091" spans="45:45" ht="14.4">
      <c r="AS15091" s="20"/>
    </row>
    <row r="15092" spans="45:45" ht="14.4">
      <c r="AS15092" s="20"/>
    </row>
    <row r="15093" spans="45:45" ht="14.4">
      <c r="AS15093" s="20"/>
    </row>
    <row r="15094" spans="45:45" ht="14.4">
      <c r="AS15094" s="20"/>
    </row>
    <row r="15095" spans="45:45" ht="14.4">
      <c r="AS15095" s="20"/>
    </row>
    <row r="15096" spans="45:45" ht="14.4">
      <c r="AS15096" s="20"/>
    </row>
    <row r="15097" spans="45:45" ht="14.4">
      <c r="AS15097" s="20"/>
    </row>
    <row r="15098" spans="45:45" ht="14.4">
      <c r="AS15098" s="20"/>
    </row>
    <row r="15099" spans="45:45" ht="14.4">
      <c r="AS15099" s="20"/>
    </row>
    <row r="15100" spans="45:45" ht="14.4">
      <c r="AS15100" s="20"/>
    </row>
    <row r="15101" spans="45:45" ht="14.4">
      <c r="AS15101" s="20"/>
    </row>
    <row r="15102" spans="45:45" ht="14.4">
      <c r="AS15102" s="20"/>
    </row>
    <row r="15103" spans="45:45" ht="14.4">
      <c r="AS15103" s="20"/>
    </row>
    <row r="15104" spans="45:45" ht="14.4">
      <c r="AS15104" s="20"/>
    </row>
    <row r="15105" spans="45:45" ht="14.4">
      <c r="AS15105" s="20"/>
    </row>
    <row r="15106" spans="45:45" ht="14.4">
      <c r="AS15106" s="20"/>
    </row>
    <row r="15107" spans="45:45" ht="14.4">
      <c r="AS15107" s="20"/>
    </row>
    <row r="15108" spans="45:45" ht="14.4">
      <c r="AS15108" s="20"/>
    </row>
    <row r="15109" spans="45:45" ht="14.4">
      <c r="AS15109" s="20"/>
    </row>
    <row r="15110" spans="45:45" ht="14.4">
      <c r="AS15110" s="20"/>
    </row>
    <row r="15111" spans="45:45" ht="14.4">
      <c r="AS15111" s="20"/>
    </row>
    <row r="15112" spans="45:45" ht="14.4">
      <c r="AS15112" s="20"/>
    </row>
    <row r="15113" spans="45:45" ht="14.4">
      <c r="AS15113" s="20"/>
    </row>
    <row r="15114" spans="45:45" ht="14.4">
      <c r="AS15114" s="20"/>
    </row>
    <row r="15115" spans="45:45" ht="14.4">
      <c r="AS15115" s="20"/>
    </row>
    <row r="15116" spans="45:45" ht="14.4">
      <c r="AS15116" s="20"/>
    </row>
    <row r="15117" spans="45:45" ht="14.4">
      <c r="AS15117" s="20"/>
    </row>
    <row r="15118" spans="45:45" ht="14.4">
      <c r="AS15118" s="20"/>
    </row>
    <row r="15119" spans="45:45" ht="14.4">
      <c r="AS15119" s="20"/>
    </row>
    <row r="15120" spans="45:45" ht="14.4">
      <c r="AS15120" s="20"/>
    </row>
    <row r="15121" spans="45:45" ht="14.4">
      <c r="AS15121" s="20"/>
    </row>
    <row r="15122" spans="45:45" ht="14.4">
      <c r="AS15122" s="20"/>
    </row>
    <row r="15123" spans="45:45" ht="14.4">
      <c r="AS15123" s="20"/>
    </row>
    <row r="15124" spans="45:45" ht="14.4">
      <c r="AS15124" s="20"/>
    </row>
    <row r="15125" spans="45:45" ht="14.4">
      <c r="AS15125" s="20"/>
    </row>
    <row r="15126" spans="45:45" ht="14.4">
      <c r="AS15126" s="20"/>
    </row>
    <row r="15127" spans="45:45" ht="14.4">
      <c r="AS15127" s="20"/>
    </row>
    <row r="15128" spans="45:45" ht="14.4">
      <c r="AS15128" s="20"/>
    </row>
    <row r="15129" spans="45:45" ht="14.4">
      <c r="AS15129" s="20"/>
    </row>
    <row r="15130" spans="45:45" ht="14.4">
      <c r="AS15130" s="20"/>
    </row>
    <row r="15131" spans="45:45" ht="14.4">
      <c r="AS15131" s="20"/>
    </row>
    <row r="15132" spans="45:45" ht="14.4">
      <c r="AS15132" s="20"/>
    </row>
    <row r="15133" spans="45:45" ht="14.4">
      <c r="AS15133" s="20"/>
    </row>
    <row r="15134" spans="45:45" ht="14.4">
      <c r="AS15134" s="20"/>
    </row>
    <row r="15135" spans="45:45" ht="14.4">
      <c r="AS15135" s="20"/>
    </row>
    <row r="15136" spans="45:45" ht="14.4">
      <c r="AS15136" s="20"/>
    </row>
    <row r="15137" spans="45:45" ht="14.4">
      <c r="AS15137" s="20"/>
    </row>
    <row r="15138" spans="45:45" ht="14.4">
      <c r="AS15138" s="20"/>
    </row>
    <row r="15139" spans="45:45" ht="14.4">
      <c r="AS15139" s="20"/>
    </row>
    <row r="15140" spans="45:45" ht="14.4">
      <c r="AS15140" s="20"/>
    </row>
    <row r="15141" spans="45:45" ht="14.4">
      <c r="AS15141" s="20"/>
    </row>
    <row r="15142" spans="45:45" ht="14.4">
      <c r="AS15142" s="20"/>
    </row>
    <row r="15143" spans="45:45" ht="14.4">
      <c r="AS15143" s="20"/>
    </row>
    <row r="15144" spans="45:45" ht="14.4">
      <c r="AS15144" s="20"/>
    </row>
    <row r="15145" spans="45:45" ht="14.4">
      <c r="AS15145" s="20"/>
    </row>
    <row r="15146" spans="45:45" ht="14.4">
      <c r="AS15146" s="20"/>
    </row>
    <row r="15147" spans="45:45" ht="14.4">
      <c r="AS15147" s="20"/>
    </row>
    <row r="15148" spans="45:45" ht="14.4">
      <c r="AS15148" s="20"/>
    </row>
    <row r="15149" spans="45:45" ht="14.4">
      <c r="AS15149" s="20"/>
    </row>
    <row r="15150" spans="45:45" ht="14.4">
      <c r="AS15150" s="20"/>
    </row>
    <row r="15151" spans="45:45" ht="14.4">
      <c r="AS15151" s="20"/>
    </row>
    <row r="15152" spans="45:45" ht="14.4">
      <c r="AS15152" s="20"/>
    </row>
    <row r="15153" spans="45:45" ht="14.4">
      <c r="AS15153" s="20"/>
    </row>
    <row r="15154" spans="45:45" ht="14.4">
      <c r="AS15154" s="20"/>
    </row>
    <row r="15155" spans="45:45" ht="14.4">
      <c r="AS15155" s="20"/>
    </row>
    <row r="15156" spans="45:45" ht="14.4">
      <c r="AS15156" s="20"/>
    </row>
    <row r="15157" spans="45:45" ht="14.4">
      <c r="AS15157" s="20"/>
    </row>
    <row r="15158" spans="45:45" ht="14.4">
      <c r="AS15158" s="20"/>
    </row>
    <row r="15159" spans="45:45" ht="14.4">
      <c r="AS15159" s="20"/>
    </row>
    <row r="15160" spans="45:45" ht="14.4">
      <c r="AS15160" s="20"/>
    </row>
    <row r="15161" spans="45:45" ht="14.4">
      <c r="AS15161" s="20"/>
    </row>
    <row r="15162" spans="45:45" ht="14.4">
      <c r="AS15162" s="20"/>
    </row>
    <row r="15163" spans="45:45" ht="14.4">
      <c r="AS15163" s="20"/>
    </row>
    <row r="15164" spans="45:45" ht="14.4">
      <c r="AS15164" s="20"/>
    </row>
    <row r="15165" spans="45:45" ht="14.4">
      <c r="AS15165" s="20"/>
    </row>
    <row r="15166" spans="45:45" ht="14.4">
      <c r="AS15166" s="20"/>
    </row>
    <row r="15167" spans="45:45" ht="14.4">
      <c r="AS15167" s="20"/>
    </row>
    <row r="15168" spans="45:45" ht="14.4">
      <c r="AS15168" s="20"/>
    </row>
    <row r="15169" spans="45:45" ht="14.4">
      <c r="AS15169" s="20"/>
    </row>
    <row r="15170" spans="45:45" ht="14.4">
      <c r="AS15170" s="20"/>
    </row>
    <row r="15171" spans="45:45" ht="14.4">
      <c r="AS15171" s="20"/>
    </row>
    <row r="15172" spans="45:45" ht="14.4">
      <c r="AS15172" s="20"/>
    </row>
    <row r="15173" spans="45:45" ht="14.4">
      <c r="AS15173" s="20"/>
    </row>
    <row r="15174" spans="45:45" ht="14.4">
      <c r="AS15174" s="20"/>
    </row>
    <row r="15175" spans="45:45" ht="14.4">
      <c r="AS15175" s="20"/>
    </row>
    <row r="15176" spans="45:45" ht="14.4">
      <c r="AS15176" s="20"/>
    </row>
    <row r="15177" spans="45:45" ht="14.4">
      <c r="AS15177" s="20"/>
    </row>
    <row r="15178" spans="45:45" ht="14.4">
      <c r="AS15178" s="20"/>
    </row>
    <row r="15179" spans="45:45" ht="14.4">
      <c r="AS15179" s="20"/>
    </row>
    <row r="15180" spans="45:45" ht="14.4">
      <c r="AS15180" s="20"/>
    </row>
    <row r="15181" spans="45:45" ht="14.4">
      <c r="AS15181" s="20"/>
    </row>
    <row r="15182" spans="45:45" ht="14.4">
      <c r="AS15182" s="20"/>
    </row>
    <row r="15183" spans="45:45" ht="14.4">
      <c r="AS15183" s="20"/>
    </row>
    <row r="15184" spans="45:45" ht="14.4">
      <c r="AS15184" s="20"/>
    </row>
    <row r="15185" spans="45:45" ht="14.4">
      <c r="AS15185" s="20"/>
    </row>
    <row r="15186" spans="45:45" ht="14.4">
      <c r="AS15186" s="20"/>
    </row>
    <row r="15187" spans="45:45" ht="14.4">
      <c r="AS15187" s="20"/>
    </row>
    <row r="15188" spans="45:45" ht="14.4">
      <c r="AS15188" s="20"/>
    </row>
    <row r="15189" spans="45:45" ht="14.4">
      <c r="AS15189" s="20"/>
    </row>
    <row r="15190" spans="45:45" ht="14.4">
      <c r="AS15190" s="20"/>
    </row>
    <row r="15191" spans="45:45" ht="14.4">
      <c r="AS15191" s="20"/>
    </row>
    <row r="15192" spans="45:45" ht="14.4">
      <c r="AS15192" s="20"/>
    </row>
    <row r="15193" spans="45:45" ht="14.4">
      <c r="AS15193" s="20"/>
    </row>
    <row r="15194" spans="45:45" ht="14.4">
      <c r="AS15194" s="20"/>
    </row>
    <row r="15195" spans="45:45" ht="14.4">
      <c r="AS15195" s="20"/>
    </row>
    <row r="15196" spans="45:45" ht="14.4">
      <c r="AS15196" s="20"/>
    </row>
    <row r="15197" spans="45:45" ht="14.4">
      <c r="AS15197" s="20"/>
    </row>
    <row r="15198" spans="45:45" ht="14.4">
      <c r="AS15198" s="20"/>
    </row>
    <row r="15199" spans="45:45" ht="14.4">
      <c r="AS15199" s="20"/>
    </row>
    <row r="15200" spans="45:45" ht="14.4">
      <c r="AS15200" s="20"/>
    </row>
    <row r="15201" spans="45:45" ht="14.4">
      <c r="AS15201" s="20"/>
    </row>
    <row r="15202" spans="45:45" ht="14.4">
      <c r="AS15202" s="20"/>
    </row>
    <row r="15203" spans="45:45" ht="14.4">
      <c r="AS15203" s="20"/>
    </row>
    <row r="15204" spans="45:45" ht="14.4">
      <c r="AS15204" s="20"/>
    </row>
    <row r="15205" spans="45:45" ht="14.4">
      <c r="AS15205" s="20"/>
    </row>
    <row r="15206" spans="45:45" ht="14.4">
      <c r="AS15206" s="20"/>
    </row>
    <row r="15207" spans="45:45" ht="14.4">
      <c r="AS15207" s="20"/>
    </row>
    <row r="15208" spans="45:45" ht="14.4">
      <c r="AS15208" s="20"/>
    </row>
    <row r="15209" spans="45:45" ht="14.4">
      <c r="AS15209" s="20"/>
    </row>
    <row r="15210" spans="45:45" ht="14.4">
      <c r="AS15210" s="20"/>
    </row>
    <row r="15211" spans="45:45" ht="14.4">
      <c r="AS15211" s="20"/>
    </row>
    <row r="15212" spans="45:45" ht="14.4">
      <c r="AS15212" s="20"/>
    </row>
    <row r="15213" spans="45:45" ht="14.4">
      <c r="AS15213" s="20"/>
    </row>
    <row r="15214" spans="45:45" ht="14.4">
      <c r="AS15214" s="20"/>
    </row>
    <row r="15215" spans="45:45" ht="14.4">
      <c r="AS15215" s="20"/>
    </row>
    <row r="15216" spans="45:45" ht="14.4">
      <c r="AS15216" s="20"/>
    </row>
    <row r="15217" spans="45:45" ht="14.4">
      <c r="AS15217" s="20"/>
    </row>
    <row r="15218" spans="45:45" ht="14.4">
      <c r="AS15218" s="20"/>
    </row>
    <row r="15219" spans="45:45" ht="14.4">
      <c r="AS15219" s="20"/>
    </row>
    <row r="15220" spans="45:45" ht="14.4">
      <c r="AS15220" s="20"/>
    </row>
    <row r="15221" spans="45:45" ht="14.4">
      <c r="AS15221" s="20"/>
    </row>
    <row r="15222" spans="45:45" ht="14.4">
      <c r="AS15222" s="20"/>
    </row>
    <row r="15223" spans="45:45" ht="14.4">
      <c r="AS15223" s="20"/>
    </row>
    <row r="15224" spans="45:45" ht="14.4">
      <c r="AS15224" s="20"/>
    </row>
    <row r="15225" spans="45:45" ht="14.4">
      <c r="AS15225" s="20"/>
    </row>
    <row r="15226" spans="45:45" ht="14.4">
      <c r="AS15226" s="20"/>
    </row>
    <row r="15227" spans="45:45" ht="14.4">
      <c r="AS15227" s="20"/>
    </row>
    <row r="15228" spans="45:45" ht="14.4">
      <c r="AS15228" s="20"/>
    </row>
    <row r="15229" spans="45:45" ht="14.4">
      <c r="AS15229" s="20"/>
    </row>
    <row r="15230" spans="45:45" ht="14.4">
      <c r="AS15230" s="20"/>
    </row>
    <row r="15231" spans="45:45" ht="14.4">
      <c r="AS15231" s="20"/>
    </row>
    <row r="15232" spans="45:45" ht="14.4">
      <c r="AS15232" s="20"/>
    </row>
    <row r="15233" spans="45:45" ht="14.4">
      <c r="AS15233" s="20"/>
    </row>
    <row r="15234" spans="45:45" ht="14.4">
      <c r="AS15234" s="20"/>
    </row>
    <row r="15235" spans="45:45" ht="14.4">
      <c r="AS15235" s="20"/>
    </row>
    <row r="15236" spans="45:45" ht="14.4">
      <c r="AS15236" s="20"/>
    </row>
    <row r="15237" spans="45:45" ht="14.4">
      <c r="AS15237" s="20"/>
    </row>
    <row r="15238" spans="45:45" ht="14.4">
      <c r="AS15238" s="20"/>
    </row>
    <row r="15239" spans="45:45" ht="14.4">
      <c r="AS15239" s="20"/>
    </row>
    <row r="15240" spans="45:45" ht="14.4">
      <c r="AS15240" s="20"/>
    </row>
    <row r="15241" spans="45:45" ht="14.4">
      <c r="AS15241" s="20"/>
    </row>
    <row r="15242" spans="45:45" ht="14.4">
      <c r="AS15242" s="20"/>
    </row>
    <row r="15243" spans="45:45" ht="14.4">
      <c r="AS15243" s="20"/>
    </row>
    <row r="15244" spans="45:45" ht="14.4">
      <c r="AS15244" s="20"/>
    </row>
    <row r="15245" spans="45:45" ht="14.4">
      <c r="AS15245" s="20"/>
    </row>
    <row r="15246" spans="45:45" ht="14.4">
      <c r="AS15246" s="20"/>
    </row>
    <row r="15247" spans="45:45" ht="14.4">
      <c r="AS15247" s="20"/>
    </row>
    <row r="15248" spans="45:45" ht="14.4">
      <c r="AS15248" s="20"/>
    </row>
    <row r="15249" spans="45:45" ht="14.4">
      <c r="AS15249" s="20"/>
    </row>
    <row r="15250" spans="45:45" ht="14.4">
      <c r="AS15250" s="20"/>
    </row>
    <row r="15251" spans="45:45" ht="14.4">
      <c r="AS15251" s="20"/>
    </row>
    <row r="15252" spans="45:45" ht="14.4">
      <c r="AS15252" s="20"/>
    </row>
    <row r="15253" spans="45:45" ht="14.4">
      <c r="AS15253" s="20"/>
    </row>
    <row r="15254" spans="45:45" ht="14.4">
      <c r="AS15254" s="20"/>
    </row>
    <row r="15255" spans="45:45" ht="14.4">
      <c r="AS15255" s="20"/>
    </row>
    <row r="15256" spans="45:45" ht="14.4">
      <c r="AS15256" s="20"/>
    </row>
    <row r="15257" spans="45:45" ht="14.4">
      <c r="AS15257" s="20"/>
    </row>
    <row r="15258" spans="45:45" ht="14.4">
      <c r="AS15258" s="20"/>
    </row>
    <row r="15259" spans="45:45" ht="14.4">
      <c r="AS15259" s="20"/>
    </row>
    <row r="15260" spans="45:45" ht="14.4">
      <c r="AS15260" s="20"/>
    </row>
    <row r="15261" spans="45:45" ht="14.4">
      <c r="AS15261" s="20"/>
    </row>
    <row r="15262" spans="45:45" ht="14.4">
      <c r="AS15262" s="20"/>
    </row>
    <row r="15263" spans="45:45" ht="14.4">
      <c r="AS15263" s="20"/>
    </row>
    <row r="15264" spans="45:45" ht="14.4">
      <c r="AS15264" s="20"/>
    </row>
    <row r="15265" spans="45:45" ht="14.4">
      <c r="AS15265" s="20"/>
    </row>
    <row r="15266" spans="45:45" ht="14.4">
      <c r="AS15266" s="20"/>
    </row>
    <row r="15267" spans="45:45" ht="14.4">
      <c r="AS15267" s="20"/>
    </row>
    <row r="15268" spans="45:45" ht="14.4">
      <c r="AS15268" s="20"/>
    </row>
    <row r="15269" spans="45:45" ht="14.4">
      <c r="AS15269" s="20"/>
    </row>
    <row r="15270" spans="45:45" ht="14.4">
      <c r="AS15270" s="20"/>
    </row>
    <row r="15271" spans="45:45" ht="14.4">
      <c r="AS15271" s="20"/>
    </row>
    <row r="15272" spans="45:45" ht="14.4">
      <c r="AS15272" s="20"/>
    </row>
    <row r="15273" spans="45:45" ht="14.4">
      <c r="AS15273" s="20"/>
    </row>
    <row r="15274" spans="45:45" ht="14.4">
      <c r="AS15274" s="20"/>
    </row>
    <row r="15275" spans="45:45" ht="14.4">
      <c r="AS15275" s="20"/>
    </row>
    <row r="15276" spans="45:45" ht="14.4">
      <c r="AS15276" s="20"/>
    </row>
    <row r="15277" spans="45:45" ht="14.4">
      <c r="AS15277" s="20"/>
    </row>
    <row r="15278" spans="45:45" ht="14.4">
      <c r="AS15278" s="20"/>
    </row>
    <row r="15279" spans="45:45" ht="14.4">
      <c r="AS15279" s="20"/>
    </row>
    <row r="15280" spans="45:45" ht="14.4">
      <c r="AS15280" s="20"/>
    </row>
    <row r="15281" spans="45:45" ht="14.4">
      <c r="AS15281" s="20"/>
    </row>
    <row r="15282" spans="45:45" ht="14.4">
      <c r="AS15282" s="20"/>
    </row>
    <row r="15283" spans="45:45" ht="14.4">
      <c r="AS15283" s="20"/>
    </row>
    <row r="15284" spans="45:45" ht="14.4">
      <c r="AS15284" s="20"/>
    </row>
    <row r="15285" spans="45:45" ht="14.4">
      <c r="AS15285" s="20"/>
    </row>
    <row r="15286" spans="45:45" ht="14.4">
      <c r="AS15286" s="20"/>
    </row>
    <row r="15287" spans="45:45" ht="14.4">
      <c r="AS15287" s="20"/>
    </row>
    <row r="15288" spans="45:45" ht="14.4">
      <c r="AS15288" s="20"/>
    </row>
    <row r="15289" spans="45:45" ht="14.4">
      <c r="AS15289" s="20"/>
    </row>
    <row r="15290" spans="45:45" ht="14.4">
      <c r="AS15290" s="20"/>
    </row>
    <row r="15291" spans="45:45" ht="14.4">
      <c r="AS15291" s="20"/>
    </row>
    <row r="15292" spans="45:45" ht="14.4">
      <c r="AS15292" s="20"/>
    </row>
    <row r="15293" spans="45:45" ht="14.4">
      <c r="AS15293" s="20"/>
    </row>
    <row r="15294" spans="45:45" ht="14.4">
      <c r="AS15294" s="20"/>
    </row>
    <row r="15295" spans="45:45" ht="14.4">
      <c r="AS15295" s="20"/>
    </row>
    <row r="15296" spans="45:45" ht="14.4">
      <c r="AS15296" s="20"/>
    </row>
    <row r="15297" spans="45:45" ht="14.4">
      <c r="AS15297" s="20"/>
    </row>
    <row r="15298" spans="45:45" ht="14.4">
      <c r="AS15298" s="20"/>
    </row>
    <row r="15299" spans="45:45" ht="14.4">
      <c r="AS15299" s="20"/>
    </row>
    <row r="15300" spans="45:45" ht="14.4">
      <c r="AS15300" s="20"/>
    </row>
    <row r="15301" spans="45:45" ht="14.4">
      <c r="AS15301" s="20"/>
    </row>
    <row r="15302" spans="45:45" ht="14.4">
      <c r="AS15302" s="20"/>
    </row>
    <row r="15303" spans="45:45" ht="14.4">
      <c r="AS15303" s="20"/>
    </row>
    <row r="15304" spans="45:45" ht="14.4">
      <c r="AS15304" s="20"/>
    </row>
    <row r="15305" spans="45:45" ht="14.4">
      <c r="AS15305" s="20"/>
    </row>
    <row r="15306" spans="45:45" ht="14.4">
      <c r="AS15306" s="20"/>
    </row>
    <row r="15307" spans="45:45" ht="14.4">
      <c r="AS15307" s="20"/>
    </row>
    <row r="15308" spans="45:45" ht="14.4">
      <c r="AS15308" s="20"/>
    </row>
    <row r="15309" spans="45:45" ht="14.4">
      <c r="AS15309" s="20"/>
    </row>
    <row r="15310" spans="45:45" ht="14.4">
      <c r="AS15310" s="20"/>
    </row>
    <row r="15311" spans="45:45" ht="14.4">
      <c r="AS15311" s="20"/>
    </row>
    <row r="15312" spans="45:45" ht="14.4">
      <c r="AS15312" s="20"/>
    </row>
    <row r="15313" spans="45:45" ht="14.4">
      <c r="AS15313" s="20"/>
    </row>
    <row r="15314" spans="45:45" ht="14.4">
      <c r="AS15314" s="20"/>
    </row>
    <row r="15315" spans="45:45" ht="14.4">
      <c r="AS15315" s="20"/>
    </row>
    <row r="15316" spans="45:45" ht="14.4">
      <c r="AS15316" s="20"/>
    </row>
    <row r="15317" spans="45:45" ht="14.4">
      <c r="AS15317" s="20"/>
    </row>
    <row r="15318" spans="45:45" ht="14.4">
      <c r="AS15318" s="20"/>
    </row>
    <row r="15319" spans="45:45" ht="14.4">
      <c r="AS15319" s="20"/>
    </row>
    <row r="15320" spans="45:45" ht="14.4">
      <c r="AS15320" s="20"/>
    </row>
    <row r="15321" spans="45:45" ht="14.4">
      <c r="AS15321" s="20"/>
    </row>
    <row r="15322" spans="45:45" ht="14.4">
      <c r="AS15322" s="20"/>
    </row>
    <row r="15323" spans="45:45" ht="14.4">
      <c r="AS15323" s="20"/>
    </row>
    <row r="15324" spans="45:45" ht="14.4">
      <c r="AS15324" s="20"/>
    </row>
    <row r="15325" spans="45:45" ht="14.4">
      <c r="AS15325" s="20"/>
    </row>
    <row r="15326" spans="45:45" ht="14.4">
      <c r="AS15326" s="20"/>
    </row>
    <row r="15327" spans="45:45" ht="14.4">
      <c r="AS15327" s="20"/>
    </row>
    <row r="15328" spans="45:45" ht="14.4">
      <c r="AS15328" s="20"/>
    </row>
    <row r="15329" spans="45:45" ht="14.4">
      <c r="AS15329" s="20"/>
    </row>
    <row r="15330" spans="45:45" ht="14.4">
      <c r="AS15330" s="20"/>
    </row>
    <row r="15331" spans="45:45" ht="14.4">
      <c r="AS15331" s="20"/>
    </row>
    <row r="15332" spans="45:45" ht="14.4">
      <c r="AS15332" s="20"/>
    </row>
    <row r="15333" spans="45:45" ht="14.4">
      <c r="AS15333" s="20"/>
    </row>
    <row r="15334" spans="45:45" ht="14.4">
      <c r="AS15334" s="20"/>
    </row>
    <row r="15335" spans="45:45" ht="14.4">
      <c r="AS15335" s="20"/>
    </row>
    <row r="15336" spans="45:45" ht="14.4">
      <c r="AS15336" s="20"/>
    </row>
    <row r="15337" spans="45:45" ht="14.4">
      <c r="AS15337" s="20"/>
    </row>
    <row r="15338" spans="45:45" ht="14.4">
      <c r="AS15338" s="20"/>
    </row>
    <row r="15339" spans="45:45" ht="14.4">
      <c r="AS15339" s="20"/>
    </row>
    <row r="15340" spans="45:45" ht="14.4">
      <c r="AS15340" s="20"/>
    </row>
    <row r="15341" spans="45:45" ht="14.4">
      <c r="AS15341" s="20"/>
    </row>
    <row r="15342" spans="45:45" ht="14.4">
      <c r="AS15342" s="20"/>
    </row>
    <row r="15343" spans="45:45" ht="14.4">
      <c r="AS15343" s="20"/>
    </row>
    <row r="15344" spans="45:45" ht="14.4">
      <c r="AS15344" s="20"/>
    </row>
    <row r="15345" spans="45:45" ht="14.4">
      <c r="AS15345" s="20"/>
    </row>
    <row r="15346" spans="45:45" ht="14.4">
      <c r="AS15346" s="20"/>
    </row>
    <row r="15347" spans="45:45" ht="14.4">
      <c r="AS15347" s="20"/>
    </row>
    <row r="15348" spans="45:45" ht="14.4">
      <c r="AS15348" s="20"/>
    </row>
    <row r="15349" spans="45:45" ht="14.4">
      <c r="AS15349" s="20"/>
    </row>
    <row r="15350" spans="45:45" ht="14.4">
      <c r="AS15350" s="20"/>
    </row>
    <row r="15351" spans="45:45" ht="14.4">
      <c r="AS15351" s="20"/>
    </row>
    <row r="15352" spans="45:45" ht="14.4">
      <c r="AS15352" s="20"/>
    </row>
    <row r="15353" spans="45:45" ht="14.4">
      <c r="AS15353" s="20"/>
    </row>
    <row r="15354" spans="45:45" ht="14.4">
      <c r="AS15354" s="20"/>
    </row>
    <row r="15355" spans="45:45" ht="14.4">
      <c r="AS15355" s="20"/>
    </row>
    <row r="15356" spans="45:45" ht="14.4">
      <c r="AS15356" s="20"/>
    </row>
    <row r="15357" spans="45:45" ht="14.4">
      <c r="AS15357" s="20"/>
    </row>
    <row r="15358" spans="45:45" ht="14.4">
      <c r="AS15358" s="20"/>
    </row>
    <row r="15359" spans="45:45" ht="14.4">
      <c r="AS15359" s="20"/>
    </row>
    <row r="15360" spans="45:45" ht="14.4">
      <c r="AS15360" s="20"/>
    </row>
    <row r="15361" spans="45:45" ht="14.4">
      <c r="AS15361" s="20"/>
    </row>
    <row r="15362" spans="45:45" ht="14.4">
      <c r="AS15362" s="20"/>
    </row>
    <row r="15363" spans="45:45" ht="14.4">
      <c r="AS15363" s="20"/>
    </row>
    <row r="15364" spans="45:45" ht="14.4">
      <c r="AS15364" s="20"/>
    </row>
    <row r="15365" spans="45:45" ht="14.4">
      <c r="AS15365" s="20"/>
    </row>
    <row r="15366" spans="45:45" ht="14.4">
      <c r="AS15366" s="20"/>
    </row>
    <row r="15367" spans="45:45" ht="14.4">
      <c r="AS15367" s="20"/>
    </row>
    <row r="15368" spans="45:45" ht="14.4">
      <c r="AS15368" s="20"/>
    </row>
    <row r="15369" spans="45:45" ht="14.4">
      <c r="AS15369" s="20"/>
    </row>
    <row r="15370" spans="45:45" ht="14.4">
      <c r="AS15370" s="20"/>
    </row>
    <row r="15371" spans="45:45" ht="14.4">
      <c r="AS15371" s="20"/>
    </row>
    <row r="15372" spans="45:45" ht="14.4">
      <c r="AS15372" s="20"/>
    </row>
    <row r="15373" spans="45:45" ht="14.4">
      <c r="AS15373" s="20"/>
    </row>
    <row r="15374" spans="45:45" ht="14.4">
      <c r="AS15374" s="20"/>
    </row>
    <row r="15375" spans="45:45" ht="14.4">
      <c r="AS15375" s="20"/>
    </row>
    <row r="15376" spans="45:45" ht="14.4">
      <c r="AS15376" s="20"/>
    </row>
    <row r="15377" spans="45:45" ht="14.4">
      <c r="AS15377" s="20"/>
    </row>
    <row r="15378" spans="45:45" ht="14.4">
      <c r="AS15378" s="20"/>
    </row>
    <row r="15379" spans="45:45" ht="14.4">
      <c r="AS15379" s="20"/>
    </row>
    <row r="15380" spans="45:45" ht="14.4">
      <c r="AS15380" s="20"/>
    </row>
    <row r="15381" spans="45:45" ht="14.4">
      <c r="AS15381" s="20"/>
    </row>
    <row r="15382" spans="45:45" ht="14.4">
      <c r="AS15382" s="20"/>
    </row>
    <row r="15383" spans="45:45" ht="14.4">
      <c r="AS15383" s="20"/>
    </row>
    <row r="15384" spans="45:45" ht="14.4">
      <c r="AS15384" s="20"/>
    </row>
    <row r="15385" spans="45:45" ht="14.4">
      <c r="AS15385" s="20"/>
    </row>
    <row r="15386" spans="45:45" ht="14.4">
      <c r="AS15386" s="20"/>
    </row>
    <row r="15387" spans="45:45" ht="14.4">
      <c r="AS15387" s="20"/>
    </row>
    <row r="15388" spans="45:45" ht="14.4">
      <c r="AS15388" s="20"/>
    </row>
    <row r="15389" spans="45:45" ht="14.4">
      <c r="AS15389" s="20"/>
    </row>
    <row r="15390" spans="45:45" ht="14.4">
      <c r="AS15390" s="20"/>
    </row>
    <row r="15391" spans="45:45" ht="14.4">
      <c r="AS15391" s="20"/>
    </row>
    <row r="15392" spans="45:45" ht="14.4">
      <c r="AS15392" s="20"/>
    </row>
    <row r="15393" spans="45:45" ht="14.4">
      <c r="AS15393" s="20"/>
    </row>
    <row r="15394" spans="45:45" ht="14.4">
      <c r="AS15394" s="20"/>
    </row>
    <row r="15395" spans="45:45" ht="14.4">
      <c r="AS15395" s="20"/>
    </row>
    <row r="15396" spans="45:45" ht="14.4">
      <c r="AS15396" s="20"/>
    </row>
    <row r="15397" spans="45:45" ht="14.4">
      <c r="AS15397" s="20"/>
    </row>
    <row r="15398" spans="45:45" ht="14.4">
      <c r="AS15398" s="20"/>
    </row>
    <row r="15399" spans="45:45" ht="14.4">
      <c r="AS15399" s="20"/>
    </row>
    <row r="15400" spans="45:45" ht="14.4">
      <c r="AS15400" s="20"/>
    </row>
    <row r="15401" spans="45:45" ht="14.4">
      <c r="AS15401" s="20"/>
    </row>
    <row r="15402" spans="45:45" ht="14.4">
      <c r="AS15402" s="20"/>
    </row>
    <row r="15403" spans="45:45" ht="14.4">
      <c r="AS15403" s="20"/>
    </row>
    <row r="15404" spans="45:45" ht="14.4">
      <c r="AS15404" s="20"/>
    </row>
    <row r="15405" spans="45:45" ht="14.4">
      <c r="AS15405" s="20"/>
    </row>
    <row r="15406" spans="45:45" ht="14.4">
      <c r="AS15406" s="20"/>
    </row>
    <row r="15407" spans="45:45" ht="14.4">
      <c r="AS15407" s="20"/>
    </row>
    <row r="15408" spans="45:45" ht="14.4">
      <c r="AS15408" s="20"/>
    </row>
    <row r="15409" spans="45:45" ht="14.4">
      <c r="AS15409" s="20"/>
    </row>
    <row r="15410" spans="45:45" ht="14.4">
      <c r="AS15410" s="20"/>
    </row>
    <row r="15411" spans="45:45" ht="14.4">
      <c r="AS15411" s="20"/>
    </row>
    <row r="15412" spans="45:45" ht="14.4">
      <c r="AS15412" s="20"/>
    </row>
    <row r="15413" spans="45:45" ht="14.4">
      <c r="AS15413" s="20"/>
    </row>
    <row r="15414" spans="45:45" ht="14.4">
      <c r="AS15414" s="20"/>
    </row>
    <row r="15415" spans="45:45" ht="14.4">
      <c r="AS15415" s="20"/>
    </row>
    <row r="15416" spans="45:45" ht="14.4">
      <c r="AS15416" s="20"/>
    </row>
    <row r="15417" spans="45:45" ht="14.4">
      <c r="AS15417" s="20"/>
    </row>
    <row r="15418" spans="45:45" ht="14.4">
      <c r="AS15418" s="20"/>
    </row>
    <row r="15419" spans="45:45" ht="14.4">
      <c r="AS15419" s="20"/>
    </row>
    <row r="15420" spans="45:45" ht="14.4">
      <c r="AS15420" s="20"/>
    </row>
    <row r="15421" spans="45:45" ht="14.4">
      <c r="AS15421" s="20"/>
    </row>
    <row r="15422" spans="45:45" ht="14.4">
      <c r="AS15422" s="20"/>
    </row>
    <row r="15423" spans="45:45" ht="14.4">
      <c r="AS15423" s="20"/>
    </row>
    <row r="15424" spans="45:45" ht="14.4">
      <c r="AS15424" s="20"/>
    </row>
    <row r="15425" spans="45:45" ht="14.4">
      <c r="AS15425" s="20"/>
    </row>
    <row r="15426" spans="45:45" ht="14.4">
      <c r="AS15426" s="20"/>
    </row>
    <row r="15427" spans="45:45" ht="14.4">
      <c r="AS15427" s="20"/>
    </row>
    <row r="15428" spans="45:45" ht="14.4">
      <c r="AS15428" s="20"/>
    </row>
    <row r="15429" spans="45:45" ht="14.4">
      <c r="AS15429" s="20"/>
    </row>
    <row r="15430" spans="45:45" ht="14.4">
      <c r="AS15430" s="20"/>
    </row>
    <row r="15431" spans="45:45" ht="14.4">
      <c r="AS15431" s="20"/>
    </row>
    <row r="15432" spans="45:45" ht="14.4">
      <c r="AS15432" s="20"/>
    </row>
    <row r="15433" spans="45:45" ht="14.4">
      <c r="AS15433" s="20"/>
    </row>
    <row r="15434" spans="45:45" ht="14.4">
      <c r="AS15434" s="20"/>
    </row>
    <row r="15435" spans="45:45" ht="14.4">
      <c r="AS15435" s="20"/>
    </row>
    <row r="15436" spans="45:45" ht="14.4">
      <c r="AS15436" s="20"/>
    </row>
    <row r="15437" spans="45:45" ht="14.4">
      <c r="AS15437" s="20"/>
    </row>
    <row r="15438" spans="45:45" ht="14.4">
      <c r="AS15438" s="20"/>
    </row>
    <row r="15439" spans="45:45" ht="14.4">
      <c r="AS15439" s="20"/>
    </row>
    <row r="15440" spans="45:45" ht="14.4">
      <c r="AS15440" s="20"/>
    </row>
    <row r="15441" spans="45:45" ht="14.4">
      <c r="AS15441" s="20"/>
    </row>
    <row r="15442" spans="45:45" ht="14.4">
      <c r="AS15442" s="20"/>
    </row>
    <row r="15443" spans="45:45" ht="14.4">
      <c r="AS15443" s="20"/>
    </row>
    <row r="15444" spans="45:45" ht="14.4">
      <c r="AS15444" s="20"/>
    </row>
    <row r="15445" spans="45:45" ht="14.4">
      <c r="AS15445" s="20"/>
    </row>
    <row r="15446" spans="45:45" ht="14.4">
      <c r="AS15446" s="20"/>
    </row>
    <row r="15447" spans="45:45" ht="14.4">
      <c r="AS15447" s="20"/>
    </row>
    <row r="15448" spans="45:45" ht="14.4">
      <c r="AS15448" s="20"/>
    </row>
    <row r="15449" spans="45:45" ht="14.4">
      <c r="AS15449" s="20"/>
    </row>
    <row r="15450" spans="45:45" ht="14.4">
      <c r="AS15450" s="20"/>
    </row>
    <row r="15451" spans="45:45" ht="14.4">
      <c r="AS15451" s="20"/>
    </row>
    <row r="15452" spans="45:45" ht="14.4">
      <c r="AS15452" s="20"/>
    </row>
    <row r="15453" spans="45:45" ht="14.4">
      <c r="AS15453" s="20"/>
    </row>
    <row r="15454" spans="45:45" ht="14.4">
      <c r="AS15454" s="20"/>
    </row>
    <row r="15455" spans="45:45" ht="14.4">
      <c r="AS15455" s="20"/>
    </row>
    <row r="15456" spans="45:45" ht="14.4">
      <c r="AS15456" s="20"/>
    </row>
    <row r="15457" spans="45:45" ht="14.4">
      <c r="AS15457" s="20"/>
    </row>
    <row r="15458" spans="45:45" ht="14.4">
      <c r="AS15458" s="20"/>
    </row>
    <row r="15459" spans="45:45" ht="14.4">
      <c r="AS15459" s="20"/>
    </row>
    <row r="15460" spans="45:45" ht="14.4">
      <c r="AS15460" s="20"/>
    </row>
    <row r="15461" spans="45:45" ht="14.4">
      <c r="AS15461" s="20"/>
    </row>
    <row r="15462" spans="45:45" ht="14.4">
      <c r="AS15462" s="20"/>
    </row>
    <row r="15463" spans="45:45" ht="14.4">
      <c r="AS15463" s="20"/>
    </row>
    <row r="15464" spans="45:45" ht="14.4">
      <c r="AS15464" s="20"/>
    </row>
    <row r="15465" spans="45:45" ht="14.4">
      <c r="AS15465" s="20"/>
    </row>
    <row r="15466" spans="45:45" ht="14.4">
      <c r="AS15466" s="20"/>
    </row>
    <row r="15467" spans="45:45" ht="14.4">
      <c r="AS15467" s="20"/>
    </row>
    <row r="15468" spans="45:45" ht="14.4">
      <c r="AS15468" s="20"/>
    </row>
    <row r="15469" spans="45:45" ht="14.4">
      <c r="AS15469" s="20"/>
    </row>
    <row r="15470" spans="45:45" ht="14.4">
      <c r="AS15470" s="20"/>
    </row>
    <row r="15471" spans="45:45" ht="14.4">
      <c r="AS15471" s="20"/>
    </row>
    <row r="15472" spans="45:45" ht="14.4">
      <c r="AS15472" s="20"/>
    </row>
    <row r="15473" spans="45:45" ht="14.4">
      <c r="AS15473" s="20"/>
    </row>
    <row r="15474" spans="45:45" ht="14.4">
      <c r="AS15474" s="20"/>
    </row>
    <row r="15475" spans="45:45" ht="14.4">
      <c r="AS15475" s="20"/>
    </row>
    <row r="15476" spans="45:45" ht="14.4">
      <c r="AS15476" s="20"/>
    </row>
    <row r="15477" spans="45:45" ht="14.4">
      <c r="AS15477" s="20"/>
    </row>
    <row r="15478" spans="45:45" ht="14.4">
      <c r="AS15478" s="20"/>
    </row>
    <row r="15479" spans="45:45" ht="14.4">
      <c r="AS15479" s="20"/>
    </row>
    <row r="15480" spans="45:45" ht="14.4">
      <c r="AS15480" s="20"/>
    </row>
    <row r="15481" spans="45:45" ht="14.4">
      <c r="AS15481" s="20"/>
    </row>
    <row r="15482" spans="45:45" ht="14.4">
      <c r="AS15482" s="20"/>
    </row>
    <row r="15483" spans="45:45" ht="14.4">
      <c r="AS15483" s="20"/>
    </row>
    <row r="15484" spans="45:45" ht="14.4">
      <c r="AS15484" s="20"/>
    </row>
    <row r="15485" spans="45:45" ht="14.4">
      <c r="AS15485" s="20"/>
    </row>
    <row r="15486" spans="45:45" ht="14.4">
      <c r="AS15486" s="20"/>
    </row>
    <row r="15487" spans="45:45" ht="14.4">
      <c r="AS15487" s="20"/>
    </row>
    <row r="15488" spans="45:45" ht="14.4">
      <c r="AS15488" s="20"/>
    </row>
    <row r="15489" spans="45:45" ht="14.4">
      <c r="AS15489" s="20"/>
    </row>
    <row r="15490" spans="45:45" ht="14.4">
      <c r="AS15490" s="20"/>
    </row>
    <row r="15491" spans="45:45" ht="14.4">
      <c r="AS15491" s="20"/>
    </row>
    <row r="15492" spans="45:45" ht="14.4">
      <c r="AS15492" s="20"/>
    </row>
    <row r="15493" spans="45:45" ht="14.4">
      <c r="AS15493" s="20"/>
    </row>
    <row r="15494" spans="45:45" ht="14.4">
      <c r="AS15494" s="20"/>
    </row>
    <row r="15495" spans="45:45" ht="14.4">
      <c r="AS15495" s="20"/>
    </row>
    <row r="15496" spans="45:45" ht="14.4">
      <c r="AS15496" s="20"/>
    </row>
    <row r="15497" spans="45:45" ht="14.4">
      <c r="AS15497" s="20"/>
    </row>
    <row r="15498" spans="45:45" ht="14.4">
      <c r="AS15498" s="20"/>
    </row>
    <row r="15499" spans="45:45" ht="14.4">
      <c r="AS15499" s="20"/>
    </row>
    <row r="15500" spans="45:45" ht="14.4">
      <c r="AS15500" s="20"/>
    </row>
    <row r="15501" spans="45:45" ht="14.4">
      <c r="AS15501" s="20"/>
    </row>
    <row r="15502" spans="45:45" ht="14.4">
      <c r="AS15502" s="20"/>
    </row>
    <row r="15503" spans="45:45" ht="14.4">
      <c r="AS15503" s="20"/>
    </row>
    <row r="15504" spans="45:45" ht="14.4">
      <c r="AS15504" s="20"/>
    </row>
    <row r="15505" spans="45:45" ht="14.4">
      <c r="AS15505" s="20"/>
    </row>
    <row r="15506" spans="45:45" ht="14.4">
      <c r="AS15506" s="20"/>
    </row>
    <row r="15507" spans="45:45" ht="14.4">
      <c r="AS15507" s="20"/>
    </row>
    <row r="15508" spans="45:45" ht="14.4">
      <c r="AS15508" s="20"/>
    </row>
    <row r="15509" spans="45:45" ht="14.4">
      <c r="AS15509" s="20"/>
    </row>
    <row r="15510" spans="45:45" ht="14.4">
      <c r="AS15510" s="20"/>
    </row>
    <row r="15511" spans="45:45" ht="14.4">
      <c r="AS15511" s="20"/>
    </row>
    <row r="15512" spans="45:45" ht="14.4">
      <c r="AS15512" s="20"/>
    </row>
    <row r="15513" spans="45:45" ht="14.4">
      <c r="AS15513" s="20"/>
    </row>
    <row r="15514" spans="45:45" ht="14.4">
      <c r="AS15514" s="20"/>
    </row>
    <row r="15515" spans="45:45" ht="14.4">
      <c r="AS15515" s="20"/>
    </row>
    <row r="15516" spans="45:45" ht="14.4">
      <c r="AS15516" s="20"/>
    </row>
    <row r="15517" spans="45:45" ht="14.4">
      <c r="AS15517" s="20"/>
    </row>
    <row r="15518" spans="45:45" ht="14.4">
      <c r="AS15518" s="20"/>
    </row>
    <row r="15519" spans="45:45" ht="14.4">
      <c r="AS15519" s="20"/>
    </row>
    <row r="15520" spans="45:45" ht="14.4">
      <c r="AS15520" s="20"/>
    </row>
    <row r="15521" spans="45:45" ht="14.4">
      <c r="AS15521" s="20"/>
    </row>
    <row r="15522" spans="45:45" ht="14.4">
      <c r="AS15522" s="20"/>
    </row>
    <row r="15523" spans="45:45" ht="14.4">
      <c r="AS15523" s="20"/>
    </row>
    <row r="15524" spans="45:45" ht="14.4">
      <c r="AS15524" s="20"/>
    </row>
    <row r="15525" spans="45:45" ht="14.4">
      <c r="AS15525" s="20"/>
    </row>
    <row r="15526" spans="45:45" ht="14.4">
      <c r="AS15526" s="20"/>
    </row>
    <row r="15527" spans="45:45" ht="14.4">
      <c r="AS15527" s="20"/>
    </row>
    <row r="15528" spans="45:45" ht="14.4">
      <c r="AS15528" s="20"/>
    </row>
    <row r="15529" spans="45:45" ht="14.4">
      <c r="AS15529" s="20"/>
    </row>
    <row r="15530" spans="45:45" ht="14.4">
      <c r="AS15530" s="20"/>
    </row>
    <row r="15531" spans="45:45" ht="14.4">
      <c r="AS15531" s="20"/>
    </row>
    <row r="15532" spans="45:45" ht="14.4">
      <c r="AS15532" s="20"/>
    </row>
    <row r="15533" spans="45:45" ht="14.4">
      <c r="AS15533" s="20"/>
    </row>
    <row r="15534" spans="45:45" ht="14.4">
      <c r="AS15534" s="20"/>
    </row>
    <row r="15535" spans="45:45" ht="14.4">
      <c r="AS15535" s="20"/>
    </row>
    <row r="15536" spans="45:45" ht="14.4">
      <c r="AS15536" s="20"/>
    </row>
    <row r="15537" spans="45:45" ht="14.4">
      <c r="AS15537" s="20"/>
    </row>
    <row r="15538" spans="45:45" ht="14.4">
      <c r="AS15538" s="20"/>
    </row>
    <row r="15539" spans="45:45" ht="14.4">
      <c r="AS15539" s="20"/>
    </row>
    <row r="15540" spans="45:45" ht="14.4">
      <c r="AS15540" s="20"/>
    </row>
    <row r="15541" spans="45:45" ht="14.4">
      <c r="AS15541" s="20"/>
    </row>
    <row r="15542" spans="45:45" ht="14.4">
      <c r="AS15542" s="20"/>
    </row>
    <row r="15543" spans="45:45" ht="14.4">
      <c r="AS15543" s="20"/>
    </row>
    <row r="15544" spans="45:45" ht="14.4">
      <c r="AS15544" s="20"/>
    </row>
    <row r="15545" spans="45:45" ht="14.4">
      <c r="AS15545" s="20"/>
    </row>
    <row r="15546" spans="45:45" ht="14.4">
      <c r="AS15546" s="20"/>
    </row>
    <row r="15547" spans="45:45" ht="14.4">
      <c r="AS15547" s="20"/>
    </row>
    <row r="15548" spans="45:45" ht="14.4">
      <c r="AS15548" s="20"/>
    </row>
    <row r="15549" spans="45:45" ht="14.4">
      <c r="AS15549" s="20"/>
    </row>
    <row r="15550" spans="45:45" ht="14.4">
      <c r="AS15550" s="20"/>
    </row>
    <row r="15551" spans="45:45" ht="14.4">
      <c r="AS15551" s="20"/>
    </row>
    <row r="15552" spans="45:45" ht="14.4">
      <c r="AS15552" s="20"/>
    </row>
    <row r="15553" spans="45:45" ht="14.4">
      <c r="AS15553" s="20"/>
    </row>
    <row r="15554" spans="45:45" ht="14.4">
      <c r="AS15554" s="20"/>
    </row>
    <row r="15555" spans="45:45" ht="14.4">
      <c r="AS15555" s="20"/>
    </row>
    <row r="15556" spans="45:45" ht="14.4">
      <c r="AS15556" s="20"/>
    </row>
    <row r="15557" spans="45:45" ht="14.4">
      <c r="AS15557" s="20"/>
    </row>
    <row r="15558" spans="45:45" ht="14.4">
      <c r="AS15558" s="20"/>
    </row>
    <row r="15559" spans="45:45" ht="14.4">
      <c r="AS15559" s="20"/>
    </row>
    <row r="15560" spans="45:45" ht="14.4">
      <c r="AS15560" s="20"/>
    </row>
    <row r="15561" spans="45:45" ht="14.4">
      <c r="AS15561" s="20"/>
    </row>
    <row r="15562" spans="45:45" ht="14.4">
      <c r="AS15562" s="20"/>
    </row>
    <row r="15563" spans="45:45" ht="14.4">
      <c r="AS15563" s="20"/>
    </row>
    <row r="15564" spans="45:45" ht="14.4">
      <c r="AS15564" s="20"/>
    </row>
    <row r="15565" spans="45:45" ht="14.4">
      <c r="AS15565" s="20"/>
    </row>
    <row r="15566" spans="45:45" ht="14.4">
      <c r="AS15566" s="20"/>
    </row>
    <row r="15567" spans="45:45" ht="14.4">
      <c r="AS15567" s="20"/>
    </row>
    <row r="15568" spans="45:45" ht="14.4">
      <c r="AS15568" s="20"/>
    </row>
    <row r="15569" spans="45:45" ht="14.4">
      <c r="AS15569" s="20"/>
    </row>
    <row r="15570" spans="45:45" ht="14.4">
      <c r="AS15570" s="20"/>
    </row>
    <row r="15571" spans="45:45" ht="14.4">
      <c r="AS15571" s="20"/>
    </row>
    <row r="15572" spans="45:45" ht="14.4">
      <c r="AS15572" s="20"/>
    </row>
    <row r="15573" spans="45:45" ht="14.4">
      <c r="AS15573" s="20"/>
    </row>
    <row r="15574" spans="45:45" ht="14.4">
      <c r="AS15574" s="20"/>
    </row>
    <row r="15575" spans="45:45" ht="14.4">
      <c r="AS15575" s="20"/>
    </row>
    <row r="15576" spans="45:45" ht="14.4">
      <c r="AS15576" s="20"/>
    </row>
    <row r="15577" spans="45:45" ht="14.4">
      <c r="AS15577" s="20"/>
    </row>
    <row r="15578" spans="45:45" ht="14.4">
      <c r="AS15578" s="20"/>
    </row>
    <row r="15579" spans="45:45" ht="14.4">
      <c r="AS15579" s="20"/>
    </row>
    <row r="15580" spans="45:45" ht="14.4">
      <c r="AS15580" s="20"/>
    </row>
    <row r="15581" spans="45:45" ht="14.4">
      <c r="AS15581" s="20"/>
    </row>
    <row r="15582" spans="45:45" ht="14.4">
      <c r="AS15582" s="20"/>
    </row>
    <row r="15583" spans="45:45" ht="14.4">
      <c r="AS15583" s="20"/>
    </row>
    <row r="15584" spans="45:45" ht="14.4">
      <c r="AS15584" s="20"/>
    </row>
    <row r="15585" spans="45:45" ht="14.4">
      <c r="AS15585" s="20"/>
    </row>
    <row r="15586" spans="45:45" ht="14.4">
      <c r="AS15586" s="20"/>
    </row>
    <row r="15587" spans="45:45" ht="14.4">
      <c r="AS15587" s="20"/>
    </row>
    <row r="15588" spans="45:45" ht="14.4">
      <c r="AS15588" s="20"/>
    </row>
    <row r="15589" spans="45:45" ht="14.4">
      <c r="AS15589" s="20"/>
    </row>
    <row r="15590" spans="45:45" ht="14.4">
      <c r="AS15590" s="20"/>
    </row>
    <row r="15591" spans="45:45" ht="14.4">
      <c r="AS15591" s="20"/>
    </row>
    <row r="15592" spans="45:45" ht="14.4">
      <c r="AS15592" s="20"/>
    </row>
    <row r="15593" spans="45:45" ht="14.4">
      <c r="AS15593" s="20"/>
    </row>
    <row r="15594" spans="45:45" ht="14.4">
      <c r="AS15594" s="20"/>
    </row>
    <row r="15595" spans="45:45" ht="14.4">
      <c r="AS15595" s="20"/>
    </row>
    <row r="15596" spans="45:45" ht="14.4">
      <c r="AS15596" s="20"/>
    </row>
    <row r="15597" spans="45:45" ht="14.4">
      <c r="AS15597" s="20"/>
    </row>
    <row r="15598" spans="45:45" ht="14.4">
      <c r="AS15598" s="20"/>
    </row>
    <row r="15599" spans="45:45" ht="14.4">
      <c r="AS15599" s="20"/>
    </row>
    <row r="15600" spans="45:45" ht="14.4">
      <c r="AS15600" s="20"/>
    </row>
    <row r="15601" spans="45:45" ht="14.4">
      <c r="AS15601" s="20"/>
    </row>
    <row r="15602" spans="45:45" ht="14.4">
      <c r="AS15602" s="20"/>
    </row>
    <row r="15603" spans="45:45" ht="14.4">
      <c r="AS15603" s="20"/>
    </row>
    <row r="15604" spans="45:45" ht="14.4">
      <c r="AS15604" s="20"/>
    </row>
    <row r="15605" spans="45:45" ht="14.4">
      <c r="AS15605" s="20"/>
    </row>
    <row r="15606" spans="45:45" ht="14.4">
      <c r="AS15606" s="20"/>
    </row>
    <row r="15607" spans="45:45" ht="14.4">
      <c r="AS15607" s="20"/>
    </row>
    <row r="15608" spans="45:45" ht="14.4">
      <c r="AS15608" s="20"/>
    </row>
    <row r="15609" spans="45:45" ht="14.4">
      <c r="AS15609" s="20"/>
    </row>
    <row r="15610" spans="45:45" ht="14.4">
      <c r="AS15610" s="20"/>
    </row>
    <row r="15611" spans="45:45" ht="14.4">
      <c r="AS15611" s="20"/>
    </row>
    <row r="15612" spans="45:45" ht="14.4">
      <c r="AS15612" s="20"/>
    </row>
    <row r="15613" spans="45:45" ht="14.4">
      <c r="AS15613" s="20"/>
    </row>
    <row r="15614" spans="45:45" ht="14.4">
      <c r="AS15614" s="20"/>
    </row>
    <row r="15615" spans="45:45" ht="14.4">
      <c r="AS15615" s="20"/>
    </row>
    <row r="15616" spans="45:45" ht="14.4">
      <c r="AS15616" s="20"/>
    </row>
    <row r="15617" spans="45:45" ht="14.4">
      <c r="AS15617" s="20"/>
    </row>
    <row r="15618" spans="45:45" ht="14.4">
      <c r="AS15618" s="20"/>
    </row>
    <row r="15619" spans="45:45" ht="14.4">
      <c r="AS15619" s="20"/>
    </row>
    <row r="15620" spans="45:45" ht="14.4">
      <c r="AS15620" s="20"/>
    </row>
    <row r="15621" spans="45:45" ht="14.4">
      <c r="AS15621" s="20"/>
    </row>
    <row r="15622" spans="45:45" ht="14.4">
      <c r="AS15622" s="20"/>
    </row>
    <row r="15623" spans="45:45" ht="14.4">
      <c r="AS15623" s="20"/>
    </row>
    <row r="15624" spans="45:45" ht="14.4">
      <c r="AS15624" s="20"/>
    </row>
    <row r="15625" spans="45:45" ht="14.4">
      <c r="AS15625" s="20"/>
    </row>
    <row r="15626" spans="45:45" ht="14.4">
      <c r="AS15626" s="20"/>
    </row>
    <row r="15627" spans="45:45" ht="14.4">
      <c r="AS15627" s="20"/>
    </row>
    <row r="15628" spans="45:45" ht="14.4">
      <c r="AS15628" s="20"/>
    </row>
    <row r="15629" spans="45:45" ht="14.4">
      <c r="AS15629" s="20"/>
    </row>
    <row r="15630" spans="45:45" ht="14.4">
      <c r="AS15630" s="20"/>
    </row>
    <row r="15631" spans="45:45" ht="14.4">
      <c r="AS15631" s="20"/>
    </row>
    <row r="15632" spans="45:45" ht="14.4">
      <c r="AS15632" s="20"/>
    </row>
    <row r="15633" spans="45:45" ht="14.4">
      <c r="AS15633" s="20"/>
    </row>
    <row r="15634" spans="45:45" ht="14.4">
      <c r="AS15634" s="20"/>
    </row>
    <row r="15635" spans="45:45" ht="14.4">
      <c r="AS15635" s="20"/>
    </row>
    <row r="15636" spans="45:45" ht="14.4">
      <c r="AS15636" s="20"/>
    </row>
    <row r="15637" spans="45:45" ht="14.4">
      <c r="AS15637" s="20"/>
    </row>
    <row r="15638" spans="45:45" ht="14.4">
      <c r="AS15638" s="20"/>
    </row>
    <row r="15639" spans="45:45" ht="14.4">
      <c r="AS15639" s="20"/>
    </row>
    <row r="15640" spans="45:45" ht="14.4">
      <c r="AS15640" s="20"/>
    </row>
    <row r="15641" spans="45:45" ht="14.4">
      <c r="AS15641" s="20"/>
    </row>
    <row r="15642" spans="45:45" ht="14.4">
      <c r="AS15642" s="20"/>
    </row>
    <row r="15643" spans="45:45" ht="14.4">
      <c r="AS15643" s="20"/>
    </row>
    <row r="15644" spans="45:45" ht="14.4">
      <c r="AS15644" s="20"/>
    </row>
    <row r="15645" spans="45:45" ht="14.4">
      <c r="AS15645" s="20"/>
    </row>
    <row r="15646" spans="45:45" ht="14.4">
      <c r="AS15646" s="20"/>
    </row>
    <row r="15647" spans="45:45" ht="14.4">
      <c r="AS15647" s="20"/>
    </row>
    <row r="15648" spans="45:45" ht="14.4">
      <c r="AS15648" s="20"/>
    </row>
    <row r="15649" spans="45:45" ht="14.4">
      <c r="AS15649" s="20"/>
    </row>
    <row r="15650" spans="45:45" ht="14.4">
      <c r="AS15650" s="20"/>
    </row>
    <row r="15651" spans="45:45" ht="14.4">
      <c r="AS15651" s="20"/>
    </row>
    <row r="15652" spans="45:45" ht="14.4">
      <c r="AS15652" s="20"/>
    </row>
    <row r="15653" spans="45:45" ht="14.4">
      <c r="AS15653" s="20"/>
    </row>
    <row r="15654" spans="45:45" ht="14.4">
      <c r="AS15654" s="20"/>
    </row>
    <row r="15655" spans="45:45" ht="14.4">
      <c r="AS15655" s="20"/>
    </row>
    <row r="15656" spans="45:45" ht="14.4">
      <c r="AS15656" s="20"/>
    </row>
    <row r="15657" spans="45:45" ht="14.4">
      <c r="AS15657" s="20"/>
    </row>
    <row r="15658" spans="45:45" ht="14.4">
      <c r="AS15658" s="20"/>
    </row>
    <row r="15659" spans="45:45" ht="14.4">
      <c r="AS15659" s="20"/>
    </row>
    <row r="15660" spans="45:45" ht="14.4">
      <c r="AS15660" s="20"/>
    </row>
    <row r="15661" spans="45:45" ht="14.4">
      <c r="AS15661" s="20"/>
    </row>
    <row r="15662" spans="45:45" ht="14.4">
      <c r="AS15662" s="20"/>
    </row>
    <row r="15663" spans="45:45" ht="14.4">
      <c r="AS15663" s="20"/>
    </row>
    <row r="15664" spans="45:45" ht="14.4">
      <c r="AS15664" s="20"/>
    </row>
    <row r="15665" spans="45:45" ht="14.4">
      <c r="AS15665" s="20"/>
    </row>
    <row r="15666" spans="45:45" ht="14.4">
      <c r="AS15666" s="20"/>
    </row>
    <row r="15667" spans="45:45" ht="14.4">
      <c r="AS15667" s="20"/>
    </row>
    <row r="15668" spans="45:45" ht="14.4">
      <c r="AS15668" s="20"/>
    </row>
    <row r="15669" spans="45:45" ht="14.4">
      <c r="AS15669" s="20"/>
    </row>
    <row r="15670" spans="45:45" ht="14.4">
      <c r="AS15670" s="20"/>
    </row>
    <row r="15671" spans="45:45" ht="14.4">
      <c r="AS15671" s="20"/>
    </row>
    <row r="15672" spans="45:45" ht="14.4">
      <c r="AS15672" s="20"/>
    </row>
    <row r="15673" spans="45:45" ht="14.4">
      <c r="AS15673" s="20"/>
    </row>
    <row r="15674" spans="45:45" ht="14.4">
      <c r="AS15674" s="20"/>
    </row>
    <row r="15675" spans="45:45" ht="14.4">
      <c r="AS15675" s="20"/>
    </row>
    <row r="15676" spans="45:45" ht="14.4">
      <c r="AS15676" s="20"/>
    </row>
    <row r="15677" spans="45:45" ht="14.4">
      <c r="AS15677" s="20"/>
    </row>
    <row r="15678" spans="45:45" ht="14.4">
      <c r="AS15678" s="20"/>
    </row>
    <row r="15679" spans="45:45" ht="14.4">
      <c r="AS15679" s="20"/>
    </row>
    <row r="15680" spans="45:45" ht="14.4">
      <c r="AS15680" s="20"/>
    </row>
    <row r="15681" spans="45:45" ht="14.4">
      <c r="AS15681" s="20"/>
    </row>
    <row r="15682" spans="45:45" ht="14.4">
      <c r="AS15682" s="20"/>
    </row>
    <row r="15683" spans="45:45" ht="14.4">
      <c r="AS15683" s="20"/>
    </row>
    <row r="15684" spans="45:45" ht="14.4">
      <c r="AS15684" s="20"/>
    </row>
    <row r="15685" spans="45:45" ht="14.4">
      <c r="AS15685" s="20"/>
    </row>
    <row r="15686" spans="45:45" ht="14.4">
      <c r="AS15686" s="20"/>
    </row>
    <row r="15687" spans="45:45" ht="14.4">
      <c r="AS15687" s="20"/>
    </row>
    <row r="15688" spans="45:45" ht="14.4">
      <c r="AS15688" s="20"/>
    </row>
    <row r="15689" spans="45:45" ht="14.4">
      <c r="AS15689" s="20"/>
    </row>
    <row r="15690" spans="45:45" ht="14.4">
      <c r="AS15690" s="20"/>
    </row>
    <row r="15691" spans="45:45" ht="14.4">
      <c r="AS15691" s="20"/>
    </row>
    <row r="15692" spans="45:45" ht="14.4">
      <c r="AS15692" s="20"/>
    </row>
    <row r="15693" spans="45:45" ht="14.4">
      <c r="AS15693" s="20"/>
    </row>
    <row r="15694" spans="45:45" ht="14.4">
      <c r="AS15694" s="20"/>
    </row>
    <row r="15695" spans="45:45" ht="14.4">
      <c r="AS15695" s="20"/>
    </row>
    <row r="15696" spans="45:45" ht="14.4">
      <c r="AS15696" s="20"/>
    </row>
    <row r="15697" spans="45:45" ht="14.4">
      <c r="AS15697" s="20"/>
    </row>
    <row r="15698" spans="45:45" ht="14.4">
      <c r="AS15698" s="20"/>
    </row>
    <row r="15699" spans="45:45" ht="14.4">
      <c r="AS15699" s="20"/>
    </row>
    <row r="15700" spans="45:45" ht="14.4">
      <c r="AS15700" s="20"/>
    </row>
    <row r="15701" spans="45:45" ht="14.4">
      <c r="AS15701" s="20"/>
    </row>
    <row r="15702" spans="45:45" ht="14.4">
      <c r="AS15702" s="20"/>
    </row>
    <row r="15703" spans="45:45" ht="14.4">
      <c r="AS15703" s="20"/>
    </row>
    <row r="15704" spans="45:45" ht="14.4">
      <c r="AS15704" s="20"/>
    </row>
    <row r="15705" spans="45:45" ht="14.4">
      <c r="AS15705" s="20"/>
    </row>
    <row r="15706" spans="45:45" ht="14.4">
      <c r="AS15706" s="20"/>
    </row>
    <row r="15707" spans="45:45" ht="14.4">
      <c r="AS15707" s="20"/>
    </row>
    <row r="15708" spans="45:45" ht="14.4">
      <c r="AS15708" s="20"/>
    </row>
    <row r="15709" spans="45:45" ht="14.4">
      <c r="AS15709" s="20"/>
    </row>
    <row r="15710" spans="45:45" ht="14.4">
      <c r="AS15710" s="20"/>
    </row>
    <row r="15711" spans="45:45" ht="14.4">
      <c r="AS15711" s="20"/>
    </row>
    <row r="15712" spans="45:45" ht="14.4">
      <c r="AS15712" s="20"/>
    </row>
    <row r="15713" spans="45:45" ht="14.4">
      <c r="AS15713" s="20"/>
    </row>
    <row r="15714" spans="45:45" ht="14.4">
      <c r="AS15714" s="20"/>
    </row>
    <row r="15715" spans="45:45" ht="14.4">
      <c r="AS15715" s="20"/>
    </row>
    <row r="15716" spans="45:45" ht="14.4">
      <c r="AS15716" s="20"/>
    </row>
    <row r="15717" spans="45:45" ht="14.4">
      <c r="AS15717" s="20"/>
    </row>
    <row r="15718" spans="45:45" ht="14.4">
      <c r="AS15718" s="20"/>
    </row>
    <row r="15719" spans="45:45" ht="14.4">
      <c r="AS15719" s="20"/>
    </row>
    <row r="15720" spans="45:45" ht="14.4">
      <c r="AS15720" s="20"/>
    </row>
    <row r="15721" spans="45:45" ht="14.4">
      <c r="AS15721" s="20"/>
    </row>
    <row r="15722" spans="45:45" ht="14.4">
      <c r="AS15722" s="20"/>
    </row>
    <row r="15723" spans="45:45" ht="14.4">
      <c r="AS15723" s="20"/>
    </row>
    <row r="15724" spans="45:45" ht="14.4">
      <c r="AS15724" s="20"/>
    </row>
    <row r="15725" spans="45:45" ht="14.4">
      <c r="AS15725" s="20"/>
    </row>
    <row r="15726" spans="45:45" ht="14.4">
      <c r="AS15726" s="20"/>
    </row>
    <row r="15727" spans="45:45" ht="14.4">
      <c r="AS15727" s="20"/>
    </row>
    <row r="15728" spans="45:45" ht="14.4">
      <c r="AS15728" s="20"/>
    </row>
    <row r="15729" spans="45:45" ht="14.4">
      <c r="AS15729" s="20"/>
    </row>
    <row r="15730" spans="45:45" ht="14.4">
      <c r="AS15730" s="20"/>
    </row>
    <row r="15731" spans="45:45" ht="14.4">
      <c r="AS15731" s="20"/>
    </row>
    <row r="15732" spans="45:45" ht="14.4">
      <c r="AS15732" s="20"/>
    </row>
    <row r="15733" spans="45:45" ht="14.4">
      <c r="AS15733" s="20"/>
    </row>
    <row r="15734" spans="45:45" ht="14.4">
      <c r="AS15734" s="20"/>
    </row>
    <row r="15735" spans="45:45" ht="14.4">
      <c r="AS15735" s="20"/>
    </row>
    <row r="15736" spans="45:45" ht="14.4">
      <c r="AS15736" s="20"/>
    </row>
    <row r="15737" spans="45:45" ht="14.4">
      <c r="AS15737" s="20"/>
    </row>
    <row r="15738" spans="45:45" ht="14.4">
      <c r="AS15738" s="20"/>
    </row>
    <row r="15739" spans="45:45" ht="14.4">
      <c r="AS15739" s="20"/>
    </row>
    <row r="15740" spans="45:45" ht="14.4">
      <c r="AS15740" s="20"/>
    </row>
    <row r="15741" spans="45:45" ht="14.4">
      <c r="AS15741" s="20"/>
    </row>
    <row r="15742" spans="45:45" ht="14.4">
      <c r="AS15742" s="20"/>
    </row>
    <row r="15743" spans="45:45" ht="14.4">
      <c r="AS15743" s="20"/>
    </row>
    <row r="15744" spans="45:45" ht="14.4">
      <c r="AS15744" s="20"/>
    </row>
    <row r="15745" spans="45:45" ht="14.4">
      <c r="AS15745" s="20"/>
    </row>
    <row r="15746" spans="45:45" ht="14.4">
      <c r="AS15746" s="20"/>
    </row>
    <row r="15747" spans="45:45" ht="14.4">
      <c r="AS15747" s="20"/>
    </row>
    <row r="15748" spans="45:45" ht="14.4">
      <c r="AS15748" s="20"/>
    </row>
    <row r="15749" spans="45:45" ht="14.4">
      <c r="AS15749" s="20"/>
    </row>
    <row r="15750" spans="45:45" ht="14.4">
      <c r="AS15750" s="20"/>
    </row>
    <row r="15751" spans="45:45" ht="14.4">
      <c r="AS15751" s="20"/>
    </row>
    <row r="15752" spans="45:45" ht="14.4">
      <c r="AS15752" s="20"/>
    </row>
    <row r="15753" spans="45:45" ht="14.4">
      <c r="AS15753" s="20"/>
    </row>
    <row r="15754" spans="45:45" ht="14.4">
      <c r="AS15754" s="20"/>
    </row>
    <row r="15755" spans="45:45" ht="14.4">
      <c r="AS15755" s="20"/>
    </row>
    <row r="15756" spans="45:45" ht="14.4">
      <c r="AS15756" s="20"/>
    </row>
    <row r="15757" spans="45:45" ht="14.4">
      <c r="AS15757" s="20"/>
    </row>
    <row r="15758" spans="45:45" ht="14.4">
      <c r="AS15758" s="20"/>
    </row>
    <row r="15759" spans="45:45" ht="14.4">
      <c r="AS15759" s="20"/>
    </row>
    <row r="15760" spans="45:45" ht="14.4">
      <c r="AS15760" s="20"/>
    </row>
    <row r="15761" spans="45:45" ht="14.4">
      <c r="AS15761" s="20"/>
    </row>
    <row r="15762" spans="45:45" ht="14.4">
      <c r="AS15762" s="20"/>
    </row>
    <row r="15763" spans="45:45" ht="14.4">
      <c r="AS15763" s="20"/>
    </row>
    <row r="15764" spans="45:45" ht="14.4">
      <c r="AS15764" s="20"/>
    </row>
    <row r="15765" spans="45:45" ht="14.4">
      <c r="AS15765" s="20"/>
    </row>
    <row r="15766" spans="45:45" ht="14.4">
      <c r="AS15766" s="20"/>
    </row>
    <row r="15767" spans="45:45" ht="14.4">
      <c r="AS15767" s="20"/>
    </row>
    <row r="15768" spans="45:45" ht="14.4">
      <c r="AS15768" s="20"/>
    </row>
    <row r="15769" spans="45:45" ht="14.4">
      <c r="AS15769" s="20"/>
    </row>
    <row r="15770" spans="45:45" ht="14.4">
      <c r="AS15770" s="20"/>
    </row>
    <row r="15771" spans="45:45" ht="14.4">
      <c r="AS15771" s="20"/>
    </row>
    <row r="15772" spans="45:45" ht="14.4">
      <c r="AS15772" s="20"/>
    </row>
    <row r="15773" spans="45:45" ht="14.4">
      <c r="AS15773" s="20"/>
    </row>
    <row r="15774" spans="45:45" ht="14.4">
      <c r="AS15774" s="20"/>
    </row>
    <row r="15775" spans="45:45" ht="14.4">
      <c r="AS15775" s="20"/>
    </row>
    <row r="15776" spans="45:45" ht="14.4">
      <c r="AS15776" s="20"/>
    </row>
    <row r="15777" spans="45:45" ht="14.4">
      <c r="AS15777" s="20"/>
    </row>
    <row r="15778" spans="45:45" ht="14.4">
      <c r="AS15778" s="20"/>
    </row>
    <row r="15779" spans="45:45" ht="14.4">
      <c r="AS15779" s="20"/>
    </row>
    <row r="15780" spans="45:45" ht="14.4">
      <c r="AS15780" s="20"/>
    </row>
    <row r="15781" spans="45:45" ht="14.4">
      <c r="AS15781" s="20"/>
    </row>
    <row r="15782" spans="45:45" ht="14.4">
      <c r="AS15782" s="20"/>
    </row>
    <row r="15783" spans="45:45" ht="14.4">
      <c r="AS15783" s="20"/>
    </row>
    <row r="15784" spans="45:45" ht="14.4">
      <c r="AS15784" s="20"/>
    </row>
    <row r="15785" spans="45:45" ht="14.4">
      <c r="AS15785" s="20"/>
    </row>
    <row r="15786" spans="45:45" ht="14.4">
      <c r="AS15786" s="20"/>
    </row>
    <row r="15787" spans="45:45" ht="14.4">
      <c r="AS15787" s="20"/>
    </row>
    <row r="15788" spans="45:45" ht="14.4">
      <c r="AS15788" s="20"/>
    </row>
    <row r="15789" spans="45:45" ht="14.4">
      <c r="AS15789" s="20"/>
    </row>
    <row r="15790" spans="45:45" ht="14.4">
      <c r="AS15790" s="20"/>
    </row>
    <row r="15791" spans="45:45" ht="14.4">
      <c r="AS15791" s="20"/>
    </row>
    <row r="15792" spans="45:45" ht="14.4">
      <c r="AS15792" s="20"/>
    </row>
    <row r="15793" spans="45:45" ht="14.4">
      <c r="AS15793" s="20"/>
    </row>
    <row r="15794" spans="45:45" ht="14.4">
      <c r="AS15794" s="20"/>
    </row>
    <row r="15795" spans="45:45" ht="14.4">
      <c r="AS15795" s="20"/>
    </row>
    <row r="15796" spans="45:45" ht="14.4">
      <c r="AS15796" s="20"/>
    </row>
    <row r="15797" spans="45:45" ht="14.4">
      <c r="AS15797" s="20"/>
    </row>
    <row r="15798" spans="45:45" ht="14.4">
      <c r="AS15798" s="20"/>
    </row>
    <row r="15799" spans="45:45" ht="14.4">
      <c r="AS15799" s="20"/>
    </row>
    <row r="15800" spans="45:45" ht="14.4">
      <c r="AS15800" s="20"/>
    </row>
    <row r="15801" spans="45:45" ht="14.4">
      <c r="AS15801" s="20"/>
    </row>
    <row r="15802" spans="45:45" ht="14.4">
      <c r="AS15802" s="20"/>
    </row>
    <row r="15803" spans="45:45" ht="14.4">
      <c r="AS15803" s="20"/>
    </row>
    <row r="15804" spans="45:45" ht="14.4">
      <c r="AS15804" s="20"/>
    </row>
    <row r="15805" spans="45:45" ht="14.4">
      <c r="AS15805" s="20"/>
    </row>
    <row r="15806" spans="45:45" ht="14.4">
      <c r="AS15806" s="20"/>
    </row>
    <row r="15807" spans="45:45" ht="14.4">
      <c r="AS15807" s="20"/>
    </row>
    <row r="15808" spans="45:45" ht="14.4">
      <c r="AS15808" s="20"/>
    </row>
    <row r="15809" spans="45:45" ht="14.4">
      <c r="AS15809" s="20"/>
    </row>
    <row r="15810" spans="45:45" ht="14.4">
      <c r="AS15810" s="20"/>
    </row>
    <row r="15811" spans="45:45" ht="14.4">
      <c r="AS15811" s="20"/>
    </row>
    <row r="15812" spans="45:45" ht="14.4">
      <c r="AS15812" s="20"/>
    </row>
    <row r="15813" spans="45:45" ht="14.4">
      <c r="AS15813" s="20"/>
    </row>
    <row r="15814" spans="45:45" ht="14.4">
      <c r="AS15814" s="20"/>
    </row>
    <row r="15815" spans="45:45" ht="14.4">
      <c r="AS15815" s="20"/>
    </row>
    <row r="15816" spans="45:45" ht="14.4">
      <c r="AS15816" s="20"/>
    </row>
    <row r="15817" spans="45:45" ht="14.4">
      <c r="AS15817" s="20"/>
    </row>
    <row r="15818" spans="45:45" ht="14.4">
      <c r="AS15818" s="20"/>
    </row>
    <row r="15819" spans="45:45" ht="14.4">
      <c r="AS15819" s="20"/>
    </row>
    <row r="15820" spans="45:45" ht="14.4">
      <c r="AS15820" s="20"/>
    </row>
    <row r="15821" spans="45:45" ht="14.4">
      <c r="AS15821" s="20"/>
    </row>
    <row r="15822" spans="45:45" ht="14.4">
      <c r="AS15822" s="20"/>
    </row>
    <row r="15823" spans="45:45" ht="14.4">
      <c r="AS15823" s="20"/>
    </row>
    <row r="15824" spans="45:45" ht="14.4">
      <c r="AS15824" s="20"/>
    </row>
    <row r="15825" spans="45:45" ht="14.4">
      <c r="AS15825" s="20"/>
    </row>
    <row r="15826" spans="45:45" ht="14.4">
      <c r="AS15826" s="20"/>
    </row>
    <row r="15827" spans="45:45" ht="14.4">
      <c r="AS15827" s="20"/>
    </row>
    <row r="15828" spans="45:45" ht="14.4">
      <c r="AS15828" s="20"/>
    </row>
    <row r="15829" spans="45:45" ht="14.4">
      <c r="AS15829" s="20"/>
    </row>
    <row r="15830" spans="45:45" ht="14.4">
      <c r="AS15830" s="20"/>
    </row>
    <row r="15831" spans="45:45" ht="14.4">
      <c r="AS15831" s="20"/>
    </row>
    <row r="15832" spans="45:45" ht="14.4">
      <c r="AS15832" s="20"/>
    </row>
    <row r="15833" spans="45:45" ht="14.4">
      <c r="AS15833" s="20"/>
    </row>
    <row r="15834" spans="45:45" ht="14.4">
      <c r="AS15834" s="20"/>
    </row>
    <row r="15835" spans="45:45" ht="14.4">
      <c r="AS15835" s="20"/>
    </row>
    <row r="15836" spans="45:45" ht="14.4">
      <c r="AS15836" s="20"/>
    </row>
    <row r="15837" spans="45:45" ht="14.4">
      <c r="AS15837" s="20"/>
    </row>
    <row r="15838" spans="45:45" ht="14.4">
      <c r="AS15838" s="20"/>
    </row>
    <row r="15839" spans="45:45" ht="14.4">
      <c r="AS15839" s="20"/>
    </row>
    <row r="15840" spans="45:45" ht="14.4">
      <c r="AS15840" s="20"/>
    </row>
    <row r="15841" spans="45:45" ht="14.4">
      <c r="AS15841" s="20"/>
    </row>
    <row r="15842" spans="45:45" ht="14.4">
      <c r="AS15842" s="20"/>
    </row>
    <row r="15843" spans="45:45" ht="14.4">
      <c r="AS15843" s="20"/>
    </row>
    <row r="15844" spans="45:45" ht="14.4">
      <c r="AS15844" s="20"/>
    </row>
    <row r="15845" spans="45:45" ht="14.4">
      <c r="AS15845" s="20"/>
    </row>
    <row r="15846" spans="45:45" ht="14.4">
      <c r="AS15846" s="20"/>
    </row>
    <row r="15847" spans="45:45" ht="14.4">
      <c r="AS15847" s="20"/>
    </row>
    <row r="15848" spans="45:45" ht="14.4">
      <c r="AS15848" s="20"/>
    </row>
    <row r="15849" spans="45:45" ht="14.4">
      <c r="AS15849" s="20"/>
    </row>
    <row r="15850" spans="45:45" ht="14.4">
      <c r="AS15850" s="20"/>
    </row>
    <row r="15851" spans="45:45" ht="14.4">
      <c r="AS15851" s="20"/>
    </row>
    <row r="15852" spans="45:45" ht="14.4">
      <c r="AS15852" s="20"/>
    </row>
    <row r="15853" spans="45:45" ht="14.4">
      <c r="AS15853" s="20"/>
    </row>
    <row r="15854" spans="45:45" ht="14.4">
      <c r="AS15854" s="20"/>
    </row>
    <row r="15855" spans="45:45" ht="14.4">
      <c r="AS15855" s="20"/>
    </row>
    <row r="15856" spans="45:45" ht="14.4">
      <c r="AS15856" s="20"/>
    </row>
    <row r="15857" spans="45:45" ht="14.4">
      <c r="AS15857" s="20"/>
    </row>
    <row r="15858" spans="45:45" ht="14.4">
      <c r="AS15858" s="20"/>
    </row>
    <row r="15859" spans="45:45" ht="14.4">
      <c r="AS15859" s="20"/>
    </row>
    <row r="15860" spans="45:45" ht="14.4">
      <c r="AS15860" s="20"/>
    </row>
    <row r="15861" spans="45:45" ht="14.4">
      <c r="AS15861" s="20"/>
    </row>
    <row r="15862" spans="45:45" ht="14.4">
      <c r="AS15862" s="20"/>
    </row>
    <row r="15863" spans="45:45" ht="14.4">
      <c r="AS15863" s="20"/>
    </row>
    <row r="15864" spans="45:45" ht="14.4">
      <c r="AS15864" s="20"/>
    </row>
    <row r="15865" spans="45:45" ht="14.4">
      <c r="AS15865" s="20"/>
    </row>
    <row r="15866" spans="45:45" ht="14.4">
      <c r="AS15866" s="20"/>
    </row>
    <row r="15867" spans="45:45" ht="14.4">
      <c r="AS15867" s="20"/>
    </row>
    <row r="15868" spans="45:45" ht="14.4">
      <c r="AS15868" s="20"/>
    </row>
    <row r="15869" spans="45:45" ht="14.4">
      <c r="AS15869" s="20"/>
    </row>
    <row r="15870" spans="45:45" ht="14.4">
      <c r="AS15870" s="20"/>
    </row>
    <row r="15871" spans="45:45" ht="14.4">
      <c r="AS15871" s="20"/>
    </row>
    <row r="15872" spans="45:45" ht="14.4">
      <c r="AS15872" s="20"/>
    </row>
    <row r="15873" spans="45:45" ht="14.4">
      <c r="AS15873" s="20"/>
    </row>
    <row r="15874" spans="45:45" ht="14.4">
      <c r="AS15874" s="20"/>
    </row>
    <row r="15875" spans="45:45" ht="14.4">
      <c r="AS15875" s="20"/>
    </row>
    <row r="15876" spans="45:45" ht="14.4">
      <c r="AS15876" s="20"/>
    </row>
    <row r="15877" spans="45:45" ht="14.4">
      <c r="AS15877" s="20"/>
    </row>
    <row r="15878" spans="45:45" ht="14.4">
      <c r="AS15878" s="20"/>
    </row>
    <row r="15879" spans="45:45" ht="14.4">
      <c r="AS15879" s="20"/>
    </row>
    <row r="15880" spans="45:45" ht="14.4">
      <c r="AS15880" s="20"/>
    </row>
    <row r="15881" spans="45:45" ht="14.4">
      <c r="AS15881" s="20"/>
    </row>
    <row r="15882" spans="45:45" ht="14.4">
      <c r="AS15882" s="20"/>
    </row>
    <row r="15883" spans="45:45" ht="14.4">
      <c r="AS15883" s="20"/>
    </row>
    <row r="15884" spans="45:45" ht="14.4">
      <c r="AS15884" s="20"/>
    </row>
    <row r="15885" spans="45:45" ht="14.4">
      <c r="AS15885" s="20"/>
    </row>
    <row r="15886" spans="45:45" ht="14.4">
      <c r="AS15886" s="20"/>
    </row>
    <row r="15887" spans="45:45" ht="14.4">
      <c r="AS15887" s="20"/>
    </row>
    <row r="15888" spans="45:45" ht="14.4">
      <c r="AS15888" s="20"/>
    </row>
    <row r="15889" spans="45:45" ht="14.4">
      <c r="AS15889" s="20"/>
    </row>
    <row r="15890" spans="45:45" ht="14.4">
      <c r="AS15890" s="20"/>
    </row>
    <row r="15891" spans="45:45" ht="14.4">
      <c r="AS15891" s="20"/>
    </row>
    <row r="15892" spans="45:45" ht="14.4">
      <c r="AS15892" s="20"/>
    </row>
    <row r="15893" spans="45:45" ht="14.4">
      <c r="AS15893" s="20"/>
    </row>
    <row r="15894" spans="45:45" ht="14.4">
      <c r="AS15894" s="20"/>
    </row>
    <row r="15895" spans="45:45" ht="14.4">
      <c r="AS15895" s="20"/>
    </row>
    <row r="15896" spans="45:45" ht="14.4">
      <c r="AS15896" s="20"/>
    </row>
    <row r="15897" spans="45:45" ht="14.4">
      <c r="AS15897" s="20"/>
    </row>
    <row r="15898" spans="45:45" ht="14.4">
      <c r="AS15898" s="20"/>
    </row>
    <row r="15899" spans="45:45" ht="14.4">
      <c r="AS15899" s="20"/>
    </row>
    <row r="15900" spans="45:45" ht="14.4">
      <c r="AS15900" s="20"/>
    </row>
    <row r="15901" spans="45:45" ht="14.4">
      <c r="AS15901" s="20"/>
    </row>
    <row r="15902" spans="45:45" ht="14.4">
      <c r="AS15902" s="20"/>
    </row>
    <row r="15903" spans="45:45" ht="14.4">
      <c r="AS15903" s="20"/>
    </row>
    <row r="15904" spans="45:45" ht="14.4">
      <c r="AS15904" s="20"/>
    </row>
    <row r="15905" spans="45:45" ht="14.4">
      <c r="AS15905" s="20"/>
    </row>
    <row r="15906" spans="45:45" ht="14.4">
      <c r="AS15906" s="20"/>
    </row>
    <row r="15907" spans="45:45" ht="14.4">
      <c r="AS15907" s="20"/>
    </row>
    <row r="15908" spans="45:45" ht="14.4">
      <c r="AS15908" s="20"/>
    </row>
    <row r="15909" spans="45:45" ht="14.4">
      <c r="AS15909" s="20"/>
    </row>
    <row r="15910" spans="45:45" ht="14.4">
      <c r="AS15910" s="20"/>
    </row>
    <row r="15911" spans="45:45" ht="14.4">
      <c r="AS15911" s="20"/>
    </row>
    <row r="15912" spans="45:45" ht="14.4">
      <c r="AS15912" s="20"/>
    </row>
    <row r="15913" spans="45:45" ht="14.4">
      <c r="AS15913" s="20"/>
    </row>
    <row r="15914" spans="45:45" ht="14.4">
      <c r="AS15914" s="20"/>
    </row>
    <row r="15915" spans="45:45" ht="14.4">
      <c r="AS15915" s="20"/>
    </row>
    <row r="15916" spans="45:45" ht="14.4">
      <c r="AS15916" s="20"/>
    </row>
    <row r="15917" spans="45:45" ht="14.4">
      <c r="AS15917" s="20"/>
    </row>
    <row r="15918" spans="45:45" ht="14.4">
      <c r="AS15918" s="20"/>
    </row>
    <row r="15919" spans="45:45" ht="14.4">
      <c r="AS15919" s="20"/>
    </row>
    <row r="15920" spans="45:45" ht="14.4">
      <c r="AS15920" s="20"/>
    </row>
    <row r="15921" spans="45:45" ht="14.4">
      <c r="AS15921" s="20"/>
    </row>
    <row r="15922" spans="45:45" ht="14.4">
      <c r="AS15922" s="20"/>
    </row>
    <row r="15923" spans="45:45" ht="14.4">
      <c r="AS15923" s="20"/>
    </row>
    <row r="15924" spans="45:45" ht="14.4">
      <c r="AS15924" s="20"/>
    </row>
    <row r="15925" spans="45:45" ht="14.4">
      <c r="AS15925" s="20"/>
    </row>
    <row r="15926" spans="45:45" ht="14.4">
      <c r="AS15926" s="20"/>
    </row>
    <row r="15927" spans="45:45" ht="14.4">
      <c r="AS15927" s="20"/>
    </row>
    <row r="15928" spans="45:45" ht="14.4">
      <c r="AS15928" s="20"/>
    </row>
    <row r="15929" spans="45:45" ht="14.4">
      <c r="AS15929" s="20"/>
    </row>
    <row r="15930" spans="45:45" ht="14.4">
      <c r="AS15930" s="20"/>
    </row>
    <row r="15931" spans="45:45" ht="14.4">
      <c r="AS15931" s="20"/>
    </row>
    <row r="15932" spans="45:45" ht="14.4">
      <c r="AS15932" s="20"/>
    </row>
    <row r="15933" spans="45:45" ht="14.4">
      <c r="AS15933" s="20"/>
    </row>
    <row r="15934" spans="45:45" ht="14.4">
      <c r="AS15934" s="20"/>
    </row>
    <row r="15935" spans="45:45" ht="14.4">
      <c r="AS15935" s="20"/>
    </row>
    <row r="15936" spans="45:45" ht="14.4">
      <c r="AS15936" s="20"/>
    </row>
    <row r="15937" spans="45:45" ht="14.4">
      <c r="AS15937" s="20"/>
    </row>
    <row r="15938" spans="45:45" ht="14.4">
      <c r="AS15938" s="20"/>
    </row>
    <row r="15939" spans="45:45" ht="14.4">
      <c r="AS15939" s="20"/>
    </row>
    <row r="15940" spans="45:45" ht="14.4">
      <c r="AS15940" s="20"/>
    </row>
    <row r="15941" spans="45:45" ht="14.4">
      <c r="AS15941" s="20"/>
    </row>
    <row r="15942" spans="45:45" ht="14.4">
      <c r="AS15942" s="20"/>
    </row>
    <row r="15943" spans="45:45" ht="14.4">
      <c r="AS15943" s="20"/>
    </row>
    <row r="15944" spans="45:45" ht="14.4">
      <c r="AS15944" s="20"/>
    </row>
    <row r="15945" spans="45:45" ht="14.4">
      <c r="AS15945" s="20"/>
    </row>
    <row r="15946" spans="45:45" ht="14.4">
      <c r="AS15946" s="20"/>
    </row>
    <row r="15947" spans="45:45" ht="14.4">
      <c r="AS15947" s="20"/>
    </row>
    <row r="15948" spans="45:45" ht="14.4">
      <c r="AS15948" s="20"/>
    </row>
    <row r="15949" spans="45:45" ht="14.4">
      <c r="AS15949" s="20"/>
    </row>
    <row r="15950" spans="45:45" ht="14.4">
      <c r="AS15950" s="20"/>
    </row>
    <row r="15951" spans="45:45" ht="14.4">
      <c r="AS15951" s="20"/>
    </row>
    <row r="15952" spans="45:45" ht="14.4">
      <c r="AS15952" s="20"/>
    </row>
    <row r="15953" spans="45:45" ht="14.4">
      <c r="AS15953" s="20"/>
    </row>
    <row r="15954" spans="45:45" ht="14.4">
      <c r="AS15954" s="20"/>
    </row>
    <row r="15955" spans="45:45" ht="14.4">
      <c r="AS15955" s="20"/>
    </row>
    <row r="15956" spans="45:45" ht="14.4">
      <c r="AS15956" s="20"/>
    </row>
    <row r="15957" spans="45:45" ht="14.4">
      <c r="AS15957" s="20"/>
    </row>
    <row r="15958" spans="45:45" ht="14.4">
      <c r="AS15958" s="20"/>
    </row>
    <row r="15959" spans="45:45" ht="14.4">
      <c r="AS15959" s="20"/>
    </row>
    <row r="15960" spans="45:45" ht="14.4">
      <c r="AS15960" s="20"/>
    </row>
    <row r="15961" spans="45:45" ht="14.4">
      <c r="AS15961" s="20"/>
    </row>
    <row r="15962" spans="45:45" ht="14.4">
      <c r="AS15962" s="20"/>
    </row>
    <row r="15963" spans="45:45" ht="14.4">
      <c r="AS15963" s="20"/>
    </row>
    <row r="15964" spans="45:45" ht="14.4">
      <c r="AS15964" s="20"/>
    </row>
    <row r="15965" spans="45:45" ht="14.4">
      <c r="AS15965" s="20"/>
    </row>
    <row r="15966" spans="45:45" ht="14.4">
      <c r="AS15966" s="20"/>
    </row>
    <row r="15967" spans="45:45" ht="14.4">
      <c r="AS15967" s="20"/>
    </row>
    <row r="15968" spans="45:45" ht="14.4">
      <c r="AS15968" s="20"/>
    </row>
    <row r="15969" spans="45:45" ht="14.4">
      <c r="AS15969" s="20"/>
    </row>
    <row r="15970" spans="45:45" ht="14.4">
      <c r="AS15970" s="20"/>
    </row>
    <row r="15971" spans="45:45" ht="14.4">
      <c r="AS15971" s="20"/>
    </row>
    <row r="15972" spans="45:45" ht="14.4">
      <c r="AS15972" s="20"/>
    </row>
    <row r="15973" spans="45:45" ht="14.4">
      <c r="AS15973" s="20"/>
    </row>
    <row r="15974" spans="45:45" ht="14.4">
      <c r="AS15974" s="20"/>
    </row>
    <row r="15975" spans="45:45" ht="14.4">
      <c r="AS15975" s="20"/>
    </row>
    <row r="15976" spans="45:45" ht="14.4">
      <c r="AS15976" s="20"/>
    </row>
    <row r="15977" spans="45:45" ht="14.4">
      <c r="AS15977" s="20"/>
    </row>
    <row r="15978" spans="45:45" ht="14.4">
      <c r="AS15978" s="20"/>
    </row>
    <row r="15979" spans="45:45" ht="14.4">
      <c r="AS15979" s="20"/>
    </row>
    <row r="15980" spans="45:45" ht="14.4">
      <c r="AS15980" s="20"/>
    </row>
    <row r="15981" spans="45:45" ht="14.4">
      <c r="AS15981" s="20"/>
    </row>
    <row r="15982" spans="45:45" ht="14.4">
      <c r="AS15982" s="20"/>
    </row>
    <row r="15983" spans="45:45" ht="14.4">
      <c r="AS15983" s="20"/>
    </row>
    <row r="15984" spans="45:45" ht="14.4">
      <c r="AS15984" s="20"/>
    </row>
    <row r="15985" spans="45:45" ht="14.4">
      <c r="AS15985" s="20"/>
    </row>
    <row r="15986" spans="45:45" ht="14.4">
      <c r="AS15986" s="20"/>
    </row>
    <row r="15987" spans="45:45" ht="14.4">
      <c r="AS15987" s="20"/>
    </row>
    <row r="15988" spans="45:45" ht="14.4">
      <c r="AS15988" s="20"/>
    </row>
    <row r="15989" spans="45:45" ht="14.4">
      <c r="AS15989" s="20"/>
    </row>
    <row r="15990" spans="45:45" ht="14.4">
      <c r="AS15990" s="20"/>
    </row>
    <row r="15991" spans="45:45" ht="14.4">
      <c r="AS15991" s="20"/>
    </row>
    <row r="15992" spans="45:45" ht="14.4">
      <c r="AS15992" s="20"/>
    </row>
    <row r="15993" spans="45:45" ht="14.4">
      <c r="AS15993" s="20"/>
    </row>
    <row r="15994" spans="45:45" ht="14.4">
      <c r="AS15994" s="20"/>
    </row>
    <row r="15995" spans="45:45" ht="14.4">
      <c r="AS15995" s="20"/>
    </row>
    <row r="15996" spans="45:45" ht="14.4">
      <c r="AS15996" s="20"/>
    </row>
    <row r="15997" spans="45:45" ht="14.4">
      <c r="AS15997" s="20"/>
    </row>
    <row r="15998" spans="45:45" ht="14.4">
      <c r="AS15998" s="20"/>
    </row>
    <row r="15999" spans="45:45" ht="14.4">
      <c r="AS15999" s="20"/>
    </row>
    <row r="16000" spans="45:45" ht="14.4">
      <c r="AS16000" s="20"/>
    </row>
    <row r="16001" spans="45:45" ht="14.4">
      <c r="AS16001" s="20"/>
    </row>
    <row r="16002" spans="45:45" ht="14.4">
      <c r="AS16002" s="20"/>
    </row>
    <row r="16003" spans="45:45" ht="14.4">
      <c r="AS16003" s="20"/>
    </row>
    <row r="16004" spans="45:45" ht="14.4">
      <c r="AS16004" s="20"/>
    </row>
    <row r="16005" spans="45:45" ht="14.4">
      <c r="AS16005" s="20"/>
    </row>
    <row r="16006" spans="45:45" ht="14.4">
      <c r="AS16006" s="20"/>
    </row>
    <row r="16007" spans="45:45" ht="14.4">
      <c r="AS16007" s="20"/>
    </row>
    <row r="16008" spans="45:45" ht="14.4">
      <c r="AS16008" s="20"/>
    </row>
    <row r="16009" spans="45:45" ht="14.4">
      <c r="AS16009" s="20"/>
    </row>
    <row r="16010" spans="45:45" ht="14.4">
      <c r="AS16010" s="20"/>
    </row>
    <row r="16011" spans="45:45" ht="14.4">
      <c r="AS16011" s="20"/>
    </row>
    <row r="16012" spans="45:45" ht="14.4">
      <c r="AS16012" s="20"/>
    </row>
    <row r="16013" spans="45:45" ht="14.4">
      <c r="AS16013" s="20"/>
    </row>
    <row r="16014" spans="45:45" ht="14.4">
      <c r="AS16014" s="20"/>
    </row>
    <row r="16015" spans="45:45" ht="14.4">
      <c r="AS16015" s="20"/>
    </row>
    <row r="16016" spans="45:45" ht="14.4">
      <c r="AS16016" s="20"/>
    </row>
    <row r="16017" spans="45:45" ht="14.4">
      <c r="AS16017" s="20"/>
    </row>
    <row r="16018" spans="45:45" ht="14.4">
      <c r="AS16018" s="20"/>
    </row>
    <row r="16019" spans="45:45" ht="14.4">
      <c r="AS16019" s="20"/>
    </row>
    <row r="16020" spans="45:45" ht="14.4">
      <c r="AS16020" s="20"/>
    </row>
    <row r="16021" spans="45:45" ht="14.4">
      <c r="AS16021" s="20"/>
    </row>
    <row r="16022" spans="45:45" ht="14.4">
      <c r="AS16022" s="20"/>
    </row>
    <row r="16023" spans="45:45" ht="14.4">
      <c r="AS16023" s="20"/>
    </row>
    <row r="16024" spans="45:45" ht="14.4">
      <c r="AS16024" s="20"/>
    </row>
    <row r="16025" spans="45:45" ht="14.4">
      <c r="AS16025" s="20"/>
    </row>
    <row r="16026" spans="45:45" ht="14.4">
      <c r="AS16026" s="20"/>
    </row>
    <row r="16027" spans="45:45" ht="14.4">
      <c r="AS16027" s="20"/>
    </row>
    <row r="16028" spans="45:45" ht="14.4">
      <c r="AS16028" s="20"/>
    </row>
    <row r="16029" spans="45:45" ht="14.4">
      <c r="AS16029" s="20"/>
    </row>
    <row r="16030" spans="45:45" ht="14.4">
      <c r="AS16030" s="20"/>
    </row>
    <row r="16031" spans="45:45" ht="14.4">
      <c r="AS16031" s="20"/>
    </row>
    <row r="16032" spans="45:45" ht="14.4">
      <c r="AS16032" s="20"/>
    </row>
    <row r="16033" spans="45:45" ht="14.4">
      <c r="AS16033" s="20"/>
    </row>
    <row r="16034" spans="45:45" ht="14.4">
      <c r="AS16034" s="20"/>
    </row>
    <row r="16035" spans="45:45" ht="14.4">
      <c r="AS16035" s="20"/>
    </row>
    <row r="16036" spans="45:45" ht="14.4">
      <c r="AS16036" s="20"/>
    </row>
    <row r="16037" spans="45:45" ht="14.4">
      <c r="AS16037" s="20"/>
    </row>
    <row r="16038" spans="45:45" ht="14.4">
      <c r="AS16038" s="20"/>
    </row>
    <row r="16039" spans="45:45" ht="14.4">
      <c r="AS16039" s="20"/>
    </row>
    <row r="16040" spans="45:45" ht="14.4">
      <c r="AS16040" s="20"/>
    </row>
    <row r="16041" spans="45:45" ht="14.4">
      <c r="AS16041" s="20"/>
    </row>
    <row r="16042" spans="45:45" ht="14.4">
      <c r="AS16042" s="20"/>
    </row>
    <row r="16043" spans="45:45" ht="14.4">
      <c r="AS16043" s="20"/>
    </row>
    <row r="16044" spans="45:45" ht="14.4">
      <c r="AS16044" s="20"/>
    </row>
    <row r="16045" spans="45:45" ht="14.4">
      <c r="AS16045" s="20"/>
    </row>
    <row r="16046" spans="45:45" ht="14.4">
      <c r="AS16046" s="20"/>
    </row>
    <row r="16047" spans="45:45" ht="14.4">
      <c r="AS16047" s="20"/>
    </row>
    <row r="16048" spans="45:45" ht="14.4">
      <c r="AS16048" s="20"/>
    </row>
    <row r="16049" spans="45:45" ht="14.4">
      <c r="AS16049" s="20"/>
    </row>
    <row r="16050" spans="45:45" ht="14.4">
      <c r="AS16050" s="20"/>
    </row>
    <row r="16051" spans="45:45" ht="14.4">
      <c r="AS16051" s="20"/>
    </row>
    <row r="16052" spans="45:45" ht="14.4">
      <c r="AS16052" s="20"/>
    </row>
    <row r="16053" spans="45:45" ht="14.4">
      <c r="AS16053" s="20"/>
    </row>
    <row r="16054" spans="45:45" ht="14.4">
      <c r="AS16054" s="20"/>
    </row>
    <row r="16055" spans="45:45" ht="14.4">
      <c r="AS16055" s="20"/>
    </row>
    <row r="16056" spans="45:45" ht="14.4">
      <c r="AS16056" s="20"/>
    </row>
    <row r="16057" spans="45:45" ht="14.4">
      <c r="AS16057" s="20"/>
    </row>
    <row r="16058" spans="45:45" ht="14.4">
      <c r="AS16058" s="20"/>
    </row>
    <row r="16059" spans="45:45" ht="14.4">
      <c r="AS16059" s="20"/>
    </row>
    <row r="16060" spans="45:45" ht="14.4">
      <c r="AS16060" s="20"/>
    </row>
    <row r="16061" spans="45:45" ht="14.4">
      <c r="AS16061" s="20"/>
    </row>
    <row r="16062" spans="45:45" ht="14.4">
      <c r="AS16062" s="20"/>
    </row>
    <row r="16063" spans="45:45" ht="14.4">
      <c r="AS16063" s="20"/>
    </row>
    <row r="16064" spans="45:45" ht="14.4">
      <c r="AS16064" s="20"/>
    </row>
    <row r="16065" spans="45:45" ht="14.4">
      <c r="AS16065" s="20"/>
    </row>
    <row r="16066" spans="45:45" ht="14.4">
      <c r="AS16066" s="20"/>
    </row>
    <row r="16067" spans="45:45" ht="14.4">
      <c r="AS16067" s="20"/>
    </row>
    <row r="16068" spans="45:45" ht="14.4">
      <c r="AS16068" s="20"/>
    </row>
    <row r="16069" spans="45:45" ht="14.4">
      <c r="AS16069" s="20"/>
    </row>
    <row r="16070" spans="45:45" ht="14.4">
      <c r="AS16070" s="20"/>
    </row>
    <row r="16071" spans="45:45" ht="14.4">
      <c r="AS16071" s="20"/>
    </row>
    <row r="16072" spans="45:45" ht="14.4">
      <c r="AS16072" s="20"/>
    </row>
    <row r="16073" spans="45:45" ht="14.4">
      <c r="AS16073" s="20"/>
    </row>
    <row r="16074" spans="45:45" ht="14.4">
      <c r="AS16074" s="20"/>
    </row>
    <row r="16075" spans="45:45" ht="14.4">
      <c r="AS16075" s="20"/>
    </row>
    <row r="16076" spans="45:45" ht="14.4">
      <c r="AS16076" s="20"/>
    </row>
    <row r="16077" spans="45:45" ht="14.4">
      <c r="AS16077" s="20"/>
    </row>
    <row r="16078" spans="45:45" ht="14.4">
      <c r="AS16078" s="20"/>
    </row>
    <row r="16079" spans="45:45" ht="14.4">
      <c r="AS16079" s="20"/>
    </row>
    <row r="16080" spans="45:45" ht="14.4">
      <c r="AS16080" s="20"/>
    </row>
    <row r="16081" spans="45:45" ht="14.4">
      <c r="AS16081" s="20"/>
    </row>
    <row r="16082" spans="45:45" ht="14.4">
      <c r="AS16082" s="20"/>
    </row>
    <row r="16083" spans="45:45" ht="14.4">
      <c r="AS16083" s="20"/>
    </row>
    <row r="16084" spans="45:45" ht="14.4">
      <c r="AS16084" s="20"/>
    </row>
    <row r="16085" spans="45:45" ht="14.4">
      <c r="AS16085" s="20"/>
    </row>
    <row r="16086" spans="45:45" ht="14.4">
      <c r="AS16086" s="20"/>
    </row>
    <row r="16087" spans="45:45" ht="14.4">
      <c r="AS16087" s="20"/>
    </row>
    <row r="16088" spans="45:45" ht="14.4">
      <c r="AS16088" s="20"/>
    </row>
    <row r="16089" spans="45:45" ht="14.4">
      <c r="AS16089" s="20"/>
    </row>
    <row r="16090" spans="45:45" ht="14.4">
      <c r="AS16090" s="20"/>
    </row>
    <row r="16091" spans="45:45" ht="14.4">
      <c r="AS16091" s="20"/>
    </row>
    <row r="16092" spans="45:45" ht="14.4">
      <c r="AS16092" s="20"/>
    </row>
    <row r="16093" spans="45:45" ht="14.4">
      <c r="AS16093" s="20"/>
    </row>
    <row r="16094" spans="45:45" ht="14.4">
      <c r="AS16094" s="20"/>
    </row>
    <row r="16095" spans="45:45" ht="14.4">
      <c r="AS16095" s="20"/>
    </row>
    <row r="16096" spans="45:45" ht="14.4">
      <c r="AS16096" s="20"/>
    </row>
    <row r="16097" spans="45:45" ht="14.4">
      <c r="AS16097" s="20"/>
    </row>
    <row r="16098" spans="45:45" ht="14.4">
      <c r="AS16098" s="20"/>
    </row>
    <row r="16099" spans="45:45" ht="14.4">
      <c r="AS16099" s="20"/>
    </row>
    <row r="16100" spans="45:45" ht="14.4">
      <c r="AS16100" s="20"/>
    </row>
    <row r="16101" spans="45:45" ht="14.4">
      <c r="AS16101" s="20"/>
    </row>
    <row r="16102" spans="45:45" ht="14.4">
      <c r="AS16102" s="20"/>
    </row>
    <row r="16103" spans="45:45" ht="14.4">
      <c r="AS16103" s="20"/>
    </row>
    <row r="16104" spans="45:45" ht="14.4">
      <c r="AS16104" s="20"/>
    </row>
    <row r="16105" spans="45:45" ht="14.4">
      <c r="AS16105" s="20"/>
    </row>
    <row r="16106" spans="45:45" ht="14.4">
      <c r="AS16106" s="20"/>
    </row>
    <row r="16107" spans="45:45" ht="14.4">
      <c r="AS16107" s="20"/>
    </row>
    <row r="16108" spans="45:45" ht="14.4">
      <c r="AS16108" s="20"/>
    </row>
    <row r="16109" spans="45:45" ht="14.4">
      <c r="AS16109" s="20"/>
    </row>
    <row r="16110" spans="45:45" ht="14.4">
      <c r="AS16110" s="20"/>
    </row>
    <row r="16111" spans="45:45" ht="14.4">
      <c r="AS16111" s="20"/>
    </row>
    <row r="16112" spans="45:45" ht="14.4">
      <c r="AS16112" s="20"/>
    </row>
    <row r="16113" spans="45:45" ht="14.4">
      <c r="AS16113" s="20"/>
    </row>
    <row r="16114" spans="45:45" ht="14.4">
      <c r="AS16114" s="20"/>
    </row>
    <row r="16115" spans="45:45" ht="14.4">
      <c r="AS16115" s="20"/>
    </row>
    <row r="16116" spans="45:45" ht="14.4">
      <c r="AS16116" s="20"/>
    </row>
    <row r="16117" spans="45:45" ht="14.4">
      <c r="AS16117" s="20"/>
    </row>
    <row r="16118" spans="45:45" ht="14.4">
      <c r="AS16118" s="20"/>
    </row>
    <row r="16119" spans="45:45" ht="14.4">
      <c r="AS16119" s="20"/>
    </row>
    <row r="16120" spans="45:45" ht="14.4">
      <c r="AS16120" s="20"/>
    </row>
    <row r="16121" spans="45:45" ht="14.4">
      <c r="AS16121" s="20"/>
    </row>
    <row r="16122" spans="45:45" ht="14.4">
      <c r="AS16122" s="20"/>
    </row>
    <row r="16123" spans="45:45" ht="14.4">
      <c r="AS16123" s="20"/>
    </row>
    <row r="16124" spans="45:45" ht="14.4">
      <c r="AS16124" s="20"/>
    </row>
    <row r="16125" spans="45:45" ht="14.4">
      <c r="AS16125" s="20"/>
    </row>
    <row r="16126" spans="45:45" ht="14.4">
      <c r="AS16126" s="20"/>
    </row>
    <row r="16127" spans="45:45" ht="14.4">
      <c r="AS16127" s="20"/>
    </row>
    <row r="16128" spans="45:45" ht="14.4">
      <c r="AS16128" s="20"/>
    </row>
    <row r="16129" spans="45:45" ht="14.4">
      <c r="AS16129" s="20"/>
    </row>
    <row r="16130" spans="45:45" ht="14.4">
      <c r="AS16130" s="20"/>
    </row>
    <row r="16131" spans="45:45" ht="14.4">
      <c r="AS16131" s="20"/>
    </row>
    <row r="16132" spans="45:45" ht="14.4">
      <c r="AS16132" s="20"/>
    </row>
    <row r="16133" spans="45:45" ht="14.4">
      <c r="AS16133" s="20"/>
    </row>
    <row r="16134" spans="45:45" ht="14.4">
      <c r="AS16134" s="20"/>
    </row>
    <row r="16135" spans="45:45" ht="14.4">
      <c r="AS16135" s="20"/>
    </row>
    <row r="16136" spans="45:45" ht="14.4">
      <c r="AS16136" s="20"/>
    </row>
    <row r="16137" spans="45:45" ht="14.4">
      <c r="AS16137" s="20"/>
    </row>
    <row r="16138" spans="45:45" ht="14.4">
      <c r="AS16138" s="20"/>
    </row>
    <row r="16139" spans="45:45" ht="14.4">
      <c r="AS16139" s="20"/>
    </row>
    <row r="16140" spans="45:45" ht="14.4">
      <c r="AS16140" s="20"/>
    </row>
    <row r="16141" spans="45:45" ht="14.4">
      <c r="AS16141" s="20"/>
    </row>
    <row r="16142" spans="45:45" ht="14.4">
      <c r="AS16142" s="20"/>
    </row>
    <row r="16143" spans="45:45" ht="14.4">
      <c r="AS16143" s="20"/>
    </row>
    <row r="16144" spans="45:45" ht="14.4">
      <c r="AS16144" s="20"/>
    </row>
    <row r="16145" spans="45:45" ht="14.4">
      <c r="AS16145" s="20"/>
    </row>
    <row r="16146" spans="45:45" ht="14.4">
      <c r="AS16146" s="20"/>
    </row>
    <row r="16147" spans="45:45" ht="14.4">
      <c r="AS16147" s="20"/>
    </row>
    <row r="16148" spans="45:45" ht="14.4">
      <c r="AS16148" s="20"/>
    </row>
    <row r="16149" spans="45:45" ht="14.4">
      <c r="AS16149" s="20"/>
    </row>
    <row r="16150" spans="45:45" ht="14.4">
      <c r="AS16150" s="20"/>
    </row>
    <row r="16151" spans="45:45" ht="14.4">
      <c r="AS16151" s="20"/>
    </row>
    <row r="16152" spans="45:45" ht="14.4">
      <c r="AS16152" s="20"/>
    </row>
    <row r="16153" spans="45:45" ht="14.4">
      <c r="AS16153" s="20"/>
    </row>
    <row r="16154" spans="45:45" ht="14.4">
      <c r="AS16154" s="20"/>
    </row>
    <row r="16155" spans="45:45" ht="14.4">
      <c r="AS16155" s="20"/>
    </row>
    <row r="16156" spans="45:45" ht="14.4">
      <c r="AS16156" s="20"/>
    </row>
    <row r="16157" spans="45:45" ht="14.4">
      <c r="AS16157" s="20"/>
    </row>
    <row r="16158" spans="45:45" ht="14.4">
      <c r="AS16158" s="20"/>
    </row>
    <row r="16159" spans="45:45" ht="14.4">
      <c r="AS16159" s="20"/>
    </row>
    <row r="16160" spans="45:45" ht="14.4">
      <c r="AS16160" s="20"/>
    </row>
    <row r="16161" spans="45:45" ht="14.4">
      <c r="AS16161" s="20"/>
    </row>
    <row r="16162" spans="45:45" ht="14.4">
      <c r="AS16162" s="20"/>
    </row>
    <row r="16163" spans="45:45" ht="14.4">
      <c r="AS16163" s="20"/>
    </row>
    <row r="16164" spans="45:45" ht="14.4">
      <c r="AS16164" s="20"/>
    </row>
    <row r="16165" spans="45:45" ht="14.4">
      <c r="AS16165" s="20"/>
    </row>
    <row r="16166" spans="45:45" ht="14.4">
      <c r="AS16166" s="20"/>
    </row>
    <row r="16167" spans="45:45" ht="14.4">
      <c r="AS16167" s="20"/>
    </row>
    <row r="16168" spans="45:45" ht="14.4">
      <c r="AS16168" s="20"/>
    </row>
    <row r="16169" spans="45:45" ht="14.4">
      <c r="AS16169" s="20"/>
    </row>
    <row r="16170" spans="45:45" ht="14.4">
      <c r="AS16170" s="20"/>
    </row>
    <row r="16171" spans="45:45" ht="14.4">
      <c r="AS16171" s="20"/>
    </row>
    <row r="16172" spans="45:45" ht="14.4">
      <c r="AS16172" s="20"/>
    </row>
    <row r="16173" spans="45:45" ht="14.4">
      <c r="AS16173" s="20"/>
    </row>
    <row r="16174" spans="45:45" ht="14.4">
      <c r="AS16174" s="20"/>
    </row>
    <row r="16175" spans="45:45" ht="14.4">
      <c r="AS16175" s="20"/>
    </row>
    <row r="16176" spans="45:45" ht="14.4">
      <c r="AS16176" s="20"/>
    </row>
    <row r="16177" spans="45:45" ht="14.4">
      <c r="AS16177" s="20"/>
    </row>
    <row r="16178" spans="45:45" ht="14.4">
      <c r="AS16178" s="20"/>
    </row>
    <row r="16179" spans="45:45" ht="14.4">
      <c r="AS16179" s="20"/>
    </row>
    <row r="16180" spans="45:45" ht="14.4">
      <c r="AS16180" s="20"/>
    </row>
    <row r="16181" spans="45:45" ht="14.4">
      <c r="AS16181" s="20"/>
    </row>
    <row r="16182" spans="45:45" ht="14.4">
      <c r="AS16182" s="20"/>
    </row>
    <row r="16183" spans="45:45" ht="14.4">
      <c r="AS16183" s="20"/>
    </row>
    <row r="16184" spans="45:45" ht="14.4">
      <c r="AS16184" s="20"/>
    </row>
    <row r="16185" spans="45:45" ht="14.4">
      <c r="AS16185" s="20"/>
    </row>
    <row r="16186" spans="45:45" ht="14.4">
      <c r="AS16186" s="20"/>
    </row>
    <row r="16187" spans="45:45" ht="14.4">
      <c r="AS16187" s="20"/>
    </row>
    <row r="16188" spans="45:45" ht="14.4">
      <c r="AS16188" s="20"/>
    </row>
    <row r="16189" spans="45:45" ht="14.4">
      <c r="AS16189" s="20"/>
    </row>
    <row r="16190" spans="45:45" ht="14.4">
      <c r="AS16190" s="20"/>
    </row>
    <row r="16191" spans="45:45" ht="14.4">
      <c r="AS16191" s="20"/>
    </row>
    <row r="16192" spans="45:45" ht="14.4">
      <c r="AS16192" s="20"/>
    </row>
    <row r="16193" spans="45:45" ht="14.4">
      <c r="AS16193" s="20"/>
    </row>
    <row r="16194" spans="45:45" ht="14.4">
      <c r="AS16194" s="20"/>
    </row>
    <row r="16195" spans="45:45" ht="14.4">
      <c r="AS16195" s="20"/>
    </row>
    <row r="16196" spans="45:45" ht="14.4">
      <c r="AS16196" s="20"/>
    </row>
    <row r="16197" spans="45:45" ht="14.4">
      <c r="AS16197" s="20"/>
    </row>
    <row r="16198" spans="45:45" ht="14.4">
      <c r="AS16198" s="20"/>
    </row>
    <row r="16199" spans="45:45" ht="14.4">
      <c r="AS16199" s="20"/>
    </row>
    <row r="16200" spans="45:45" ht="14.4">
      <c r="AS16200" s="20"/>
    </row>
    <row r="16201" spans="45:45" ht="14.4">
      <c r="AS16201" s="20"/>
    </row>
    <row r="16202" spans="45:45" ht="14.4">
      <c r="AS16202" s="20"/>
    </row>
    <row r="16203" spans="45:45" ht="14.4">
      <c r="AS16203" s="20"/>
    </row>
    <row r="16204" spans="45:45" ht="14.4">
      <c r="AS16204" s="20"/>
    </row>
    <row r="16205" spans="45:45" ht="14.4">
      <c r="AS16205" s="20"/>
    </row>
    <row r="16206" spans="45:45" ht="14.4">
      <c r="AS16206" s="20"/>
    </row>
    <row r="16207" spans="45:45" ht="14.4">
      <c r="AS16207" s="20"/>
    </row>
    <row r="16208" spans="45:45" ht="14.4">
      <c r="AS16208" s="20"/>
    </row>
    <row r="16209" spans="45:45" ht="14.4">
      <c r="AS16209" s="20"/>
    </row>
    <row r="16210" spans="45:45" ht="14.4">
      <c r="AS16210" s="20"/>
    </row>
    <row r="16211" spans="45:45" ht="14.4">
      <c r="AS16211" s="20"/>
    </row>
    <row r="16212" spans="45:45" ht="14.4">
      <c r="AS16212" s="20"/>
    </row>
    <row r="16213" spans="45:45" ht="14.4">
      <c r="AS16213" s="20"/>
    </row>
    <row r="16214" spans="45:45" ht="14.4">
      <c r="AS16214" s="20"/>
    </row>
    <row r="16215" spans="45:45" ht="14.4">
      <c r="AS16215" s="20"/>
    </row>
    <row r="16216" spans="45:45" ht="14.4">
      <c r="AS16216" s="20"/>
    </row>
    <row r="16217" spans="45:45" ht="14.4">
      <c r="AS16217" s="20"/>
    </row>
    <row r="16218" spans="45:45" ht="14.4">
      <c r="AS16218" s="20"/>
    </row>
    <row r="16219" spans="45:45" ht="14.4">
      <c r="AS16219" s="20"/>
    </row>
    <row r="16220" spans="45:45" ht="14.4">
      <c r="AS16220" s="20"/>
    </row>
    <row r="16221" spans="45:45" ht="14.4">
      <c r="AS16221" s="20"/>
    </row>
    <row r="16222" spans="45:45" ht="14.4">
      <c r="AS16222" s="20"/>
    </row>
    <row r="16223" spans="45:45" ht="14.4">
      <c r="AS16223" s="20"/>
    </row>
    <row r="16224" spans="45:45" ht="14.4">
      <c r="AS16224" s="20"/>
    </row>
    <row r="16225" spans="45:45" ht="14.4">
      <c r="AS16225" s="20"/>
    </row>
    <row r="16226" spans="45:45" ht="14.4">
      <c r="AS16226" s="20"/>
    </row>
    <row r="16227" spans="45:45" ht="14.4">
      <c r="AS16227" s="20"/>
    </row>
    <row r="16228" spans="45:45" ht="14.4">
      <c r="AS16228" s="20"/>
    </row>
    <row r="16229" spans="45:45" ht="14.4">
      <c r="AS16229" s="20"/>
    </row>
    <row r="16230" spans="45:45" ht="14.4">
      <c r="AS16230" s="20"/>
    </row>
    <row r="16231" spans="45:45" ht="14.4">
      <c r="AS16231" s="20"/>
    </row>
    <row r="16232" spans="45:45" ht="14.4">
      <c r="AS16232" s="20"/>
    </row>
    <row r="16233" spans="45:45" ht="14.4">
      <c r="AS16233" s="20"/>
    </row>
    <row r="16234" spans="45:45" ht="14.4">
      <c r="AS16234" s="20"/>
    </row>
    <row r="16235" spans="45:45" ht="14.4">
      <c r="AS16235" s="20"/>
    </row>
    <row r="16236" spans="45:45" ht="14.4">
      <c r="AS16236" s="20"/>
    </row>
    <row r="16237" spans="45:45" ht="14.4">
      <c r="AS16237" s="20"/>
    </row>
    <row r="16238" spans="45:45" ht="14.4">
      <c r="AS16238" s="20"/>
    </row>
    <row r="16239" spans="45:45" ht="14.4">
      <c r="AS16239" s="20"/>
    </row>
    <row r="16240" spans="45:45" ht="14.4">
      <c r="AS16240" s="20"/>
    </row>
    <row r="16241" spans="45:45" ht="14.4">
      <c r="AS16241" s="20"/>
    </row>
    <row r="16242" spans="45:45" ht="14.4">
      <c r="AS16242" s="20"/>
    </row>
    <row r="16243" spans="45:45" ht="14.4">
      <c r="AS16243" s="20"/>
    </row>
    <row r="16244" spans="45:45" ht="14.4">
      <c r="AS16244" s="20"/>
    </row>
    <row r="16245" spans="45:45" ht="14.4">
      <c r="AS16245" s="20"/>
    </row>
    <row r="16246" spans="45:45" ht="14.4">
      <c r="AS16246" s="20"/>
    </row>
    <row r="16247" spans="45:45" ht="14.4">
      <c r="AS16247" s="20"/>
    </row>
    <row r="16248" spans="45:45" ht="14.4">
      <c r="AS16248" s="20"/>
    </row>
    <row r="16249" spans="45:45" ht="14.4">
      <c r="AS16249" s="20"/>
    </row>
    <row r="16250" spans="45:45" ht="14.4">
      <c r="AS16250" s="20"/>
    </row>
    <row r="16251" spans="45:45" ht="14.4">
      <c r="AS16251" s="20"/>
    </row>
    <row r="16252" spans="45:45" ht="14.4">
      <c r="AS16252" s="20"/>
    </row>
    <row r="16253" spans="45:45" ht="14.4">
      <c r="AS16253" s="20"/>
    </row>
    <row r="16254" spans="45:45" ht="14.4">
      <c r="AS16254" s="20"/>
    </row>
    <row r="16255" spans="45:45" ht="14.4">
      <c r="AS16255" s="20"/>
    </row>
    <row r="16256" spans="45:45" ht="14.4">
      <c r="AS16256" s="20"/>
    </row>
    <row r="16257" spans="45:45" ht="14.4">
      <c r="AS16257" s="20"/>
    </row>
    <row r="16258" spans="45:45" ht="14.4">
      <c r="AS16258" s="20"/>
    </row>
    <row r="16259" spans="45:45" ht="14.4">
      <c r="AS16259" s="20"/>
    </row>
    <row r="16260" spans="45:45" ht="14.4">
      <c r="AS16260" s="20"/>
    </row>
    <row r="16261" spans="45:45" ht="14.4">
      <c r="AS16261" s="20"/>
    </row>
    <row r="16262" spans="45:45" ht="14.4">
      <c r="AS16262" s="20"/>
    </row>
    <row r="16263" spans="45:45" ht="14.4">
      <c r="AS16263" s="20"/>
    </row>
    <row r="16264" spans="45:45" ht="14.4">
      <c r="AS16264" s="20"/>
    </row>
    <row r="16265" spans="45:45" ht="14.4">
      <c r="AS16265" s="20"/>
    </row>
    <row r="16266" spans="45:45" ht="14.4">
      <c r="AS16266" s="20"/>
    </row>
    <row r="16267" spans="45:45" ht="14.4">
      <c r="AS16267" s="20"/>
    </row>
    <row r="16268" spans="45:45" ht="14.4">
      <c r="AS16268" s="20"/>
    </row>
    <row r="16269" spans="45:45" ht="14.4">
      <c r="AS16269" s="20"/>
    </row>
    <row r="16270" spans="45:45" ht="14.4">
      <c r="AS16270" s="20"/>
    </row>
    <row r="16271" spans="45:45" ht="14.4">
      <c r="AS16271" s="20"/>
    </row>
    <row r="16272" spans="45:45" ht="14.4">
      <c r="AS16272" s="20"/>
    </row>
    <row r="16273" spans="45:45" ht="14.4">
      <c r="AS16273" s="20"/>
    </row>
    <row r="16274" spans="45:45" ht="14.4">
      <c r="AS16274" s="20"/>
    </row>
    <row r="16275" spans="45:45" ht="14.4">
      <c r="AS16275" s="20"/>
    </row>
    <row r="16276" spans="45:45" ht="14.4">
      <c r="AS16276" s="20"/>
    </row>
    <row r="16277" spans="45:45" ht="14.4">
      <c r="AS16277" s="20"/>
    </row>
    <row r="16278" spans="45:45" ht="14.4">
      <c r="AS16278" s="20"/>
    </row>
    <row r="16279" spans="45:45" ht="14.4">
      <c r="AS16279" s="20"/>
    </row>
    <row r="16280" spans="45:45" ht="14.4">
      <c r="AS16280" s="20"/>
    </row>
    <row r="16281" spans="45:45" ht="14.4">
      <c r="AS16281" s="20"/>
    </row>
    <row r="16282" spans="45:45" ht="14.4">
      <c r="AS16282" s="20"/>
    </row>
    <row r="16283" spans="45:45" ht="14.4">
      <c r="AS16283" s="20"/>
    </row>
    <row r="16284" spans="45:45" ht="14.4">
      <c r="AS16284" s="20"/>
    </row>
    <row r="16285" spans="45:45" ht="14.4">
      <c r="AS16285" s="20"/>
    </row>
    <row r="16286" spans="45:45" ht="14.4">
      <c r="AS16286" s="20"/>
    </row>
    <row r="16287" spans="45:45" ht="14.4">
      <c r="AS16287" s="20"/>
    </row>
    <row r="16288" spans="45:45" ht="14.4">
      <c r="AS16288" s="20"/>
    </row>
    <row r="16289" spans="45:45" ht="14.4">
      <c r="AS16289" s="20"/>
    </row>
    <row r="16290" spans="45:45" ht="14.4">
      <c r="AS16290" s="20"/>
    </row>
    <row r="16291" spans="45:45" ht="14.4">
      <c r="AS16291" s="20"/>
    </row>
    <row r="16292" spans="45:45" ht="14.4">
      <c r="AS16292" s="20"/>
    </row>
    <row r="16293" spans="45:45" ht="14.4">
      <c r="AS16293" s="20"/>
    </row>
    <row r="16294" spans="45:45" ht="14.4">
      <c r="AS16294" s="20"/>
    </row>
    <row r="16295" spans="45:45" ht="14.4">
      <c r="AS16295" s="20"/>
    </row>
    <row r="16296" spans="45:45" ht="14.4">
      <c r="AS16296" s="20"/>
    </row>
    <row r="16297" spans="45:45" ht="14.4">
      <c r="AS16297" s="20"/>
    </row>
    <row r="16298" spans="45:45" ht="14.4">
      <c r="AS16298" s="20"/>
    </row>
    <row r="16299" spans="45:45" ht="14.4">
      <c r="AS16299" s="20"/>
    </row>
    <row r="16300" spans="45:45" ht="14.4">
      <c r="AS16300" s="20"/>
    </row>
    <row r="16301" spans="45:45" ht="14.4">
      <c r="AS16301" s="20"/>
    </row>
    <row r="16302" spans="45:45" ht="14.4">
      <c r="AS16302" s="20"/>
    </row>
    <row r="16303" spans="45:45" ht="14.4">
      <c r="AS16303" s="20"/>
    </row>
    <row r="16304" spans="45:45" ht="14.4">
      <c r="AS16304" s="20"/>
    </row>
    <row r="16305" spans="45:45" ht="14.4">
      <c r="AS16305" s="20"/>
    </row>
    <row r="16306" spans="45:45" ht="14.4">
      <c r="AS16306" s="20"/>
    </row>
    <row r="16307" spans="45:45" ht="14.4">
      <c r="AS16307" s="20"/>
    </row>
    <row r="16308" spans="45:45" ht="14.4">
      <c r="AS16308" s="20"/>
    </row>
    <row r="16309" spans="45:45" ht="14.4">
      <c r="AS16309" s="20"/>
    </row>
    <row r="16310" spans="45:45" ht="14.4">
      <c r="AS16310" s="20"/>
    </row>
    <row r="16311" spans="45:45" ht="14.4">
      <c r="AS16311" s="20"/>
    </row>
    <row r="16312" spans="45:45" ht="14.4">
      <c r="AS16312" s="20"/>
    </row>
    <row r="16313" spans="45:45" ht="14.4">
      <c r="AS16313" s="20"/>
    </row>
    <row r="16314" spans="45:45" ht="14.4">
      <c r="AS16314" s="20"/>
    </row>
    <row r="16315" spans="45:45" ht="14.4">
      <c r="AS16315" s="20"/>
    </row>
    <row r="16316" spans="45:45" ht="14.4">
      <c r="AS16316" s="20"/>
    </row>
    <row r="16317" spans="45:45" ht="14.4">
      <c r="AS16317" s="20"/>
    </row>
    <row r="16318" spans="45:45" ht="14.4">
      <c r="AS16318" s="20"/>
    </row>
    <row r="16319" spans="45:45" ht="14.4">
      <c r="AS16319" s="20"/>
    </row>
    <row r="16320" spans="45:45" ht="14.4">
      <c r="AS16320" s="20"/>
    </row>
    <row r="16321" spans="45:45" ht="14.4">
      <c r="AS16321" s="20"/>
    </row>
    <row r="16322" spans="45:45" ht="14.4">
      <c r="AS16322" s="20"/>
    </row>
    <row r="16323" spans="45:45" ht="14.4">
      <c r="AS16323" s="20"/>
    </row>
    <row r="16324" spans="45:45" ht="14.4">
      <c r="AS16324" s="20"/>
    </row>
    <row r="16325" spans="45:45" ht="14.4">
      <c r="AS16325" s="20"/>
    </row>
    <row r="16326" spans="45:45" ht="14.4">
      <c r="AS16326" s="20"/>
    </row>
    <row r="16327" spans="45:45" ht="14.4">
      <c r="AS16327" s="20"/>
    </row>
    <row r="16328" spans="45:45" ht="14.4">
      <c r="AS16328" s="20"/>
    </row>
    <row r="16329" spans="45:45" ht="14.4">
      <c r="AS16329" s="20"/>
    </row>
    <row r="16330" spans="45:45" ht="14.4">
      <c r="AS16330" s="20"/>
    </row>
    <row r="16331" spans="45:45" ht="14.4">
      <c r="AS16331" s="20"/>
    </row>
    <row r="16332" spans="45:45" ht="14.4">
      <c r="AS16332" s="20"/>
    </row>
    <row r="16333" spans="45:45" ht="14.4">
      <c r="AS16333" s="20"/>
    </row>
    <row r="16334" spans="45:45" ht="14.4">
      <c r="AS16334" s="20"/>
    </row>
    <row r="16335" spans="45:45" ht="14.4">
      <c r="AS16335" s="20"/>
    </row>
    <row r="16336" spans="45:45" ht="14.4">
      <c r="AS16336" s="20"/>
    </row>
    <row r="16337" spans="45:45" ht="14.4">
      <c r="AS16337" s="20"/>
    </row>
    <row r="16338" spans="45:45" ht="14.4">
      <c r="AS16338" s="20"/>
    </row>
    <row r="16339" spans="45:45" ht="14.4">
      <c r="AS16339" s="20"/>
    </row>
    <row r="16340" spans="45:45" ht="14.4">
      <c r="AS16340" s="20"/>
    </row>
    <row r="16341" spans="45:45" ht="14.4">
      <c r="AS16341" s="20"/>
    </row>
    <row r="16342" spans="45:45" ht="14.4">
      <c r="AS16342" s="20"/>
    </row>
    <row r="16343" spans="45:45" ht="14.4">
      <c r="AS16343" s="20"/>
    </row>
    <row r="16344" spans="45:45" ht="14.4">
      <c r="AS16344" s="20"/>
    </row>
    <row r="16345" spans="45:45" ht="14.4">
      <c r="AS16345" s="20"/>
    </row>
    <row r="16346" spans="45:45" ht="14.4">
      <c r="AS16346" s="20"/>
    </row>
    <row r="16347" spans="45:45" ht="14.4">
      <c r="AS16347" s="20"/>
    </row>
    <row r="16348" spans="45:45" ht="14.4">
      <c r="AS16348" s="20"/>
    </row>
    <row r="16349" spans="45:45" ht="14.4">
      <c r="AS16349" s="20"/>
    </row>
    <row r="16350" spans="45:45" ht="14.4">
      <c r="AS16350" s="20"/>
    </row>
    <row r="16351" spans="45:45" ht="14.4">
      <c r="AS16351" s="20"/>
    </row>
    <row r="16352" spans="45:45" ht="14.4">
      <c r="AS16352" s="20"/>
    </row>
    <row r="16353" spans="45:45" ht="14.4">
      <c r="AS16353" s="20"/>
    </row>
    <row r="16354" spans="45:45" ht="14.4">
      <c r="AS16354" s="20"/>
    </row>
    <row r="16355" spans="45:45" ht="14.4">
      <c r="AS16355" s="20"/>
    </row>
    <row r="16356" spans="45:45" ht="14.4">
      <c r="AS16356" s="20"/>
    </row>
    <row r="16357" spans="45:45" ht="14.4">
      <c r="AS16357" s="20"/>
    </row>
    <row r="16358" spans="45:45" ht="14.4">
      <c r="AS16358" s="20"/>
    </row>
    <row r="16359" spans="45:45" ht="14.4">
      <c r="AS16359" s="20"/>
    </row>
    <row r="16360" spans="45:45" ht="14.4">
      <c r="AS16360" s="20"/>
    </row>
    <row r="16361" spans="45:45" ht="14.4">
      <c r="AS16361" s="20"/>
    </row>
    <row r="16362" spans="45:45" ht="14.4">
      <c r="AS16362" s="20"/>
    </row>
    <row r="16363" spans="45:45" ht="14.4">
      <c r="AS16363" s="20"/>
    </row>
    <row r="16364" spans="45:45" ht="14.4">
      <c r="AS16364" s="20"/>
    </row>
    <row r="16365" spans="45:45" ht="14.4">
      <c r="AS16365" s="20"/>
    </row>
  </sheetData>
  <phoneticPr fontId="6" type="noConversion"/>
  <hyperlinks>
    <hyperlink ref="D614" r:id="rId1" xr:uid="{FD1496B7-1B9E-4030-93F9-B240322A6CDB}"/>
  </hyperlinks>
  <pageMargins left="0.7" right="0.7" top="0.75" bottom="0.75" header="0.3" footer="0.3"/>
  <drawing r:id="rId2"/>
  <legacyDrawing r:id="rId3"/>
  <tableParts count="1">
    <tablePart r:id="rId4"/>
  </tableParts>
  <extLst>
    <ext xmlns:x14="http://schemas.microsoft.com/office/spreadsheetml/2009/9/main" uri="{CCE6A557-97BC-4b89-ADB6-D9C93CAAB3DF}">
      <x14:dataValidations xmlns:xm="http://schemas.microsoft.com/office/excel/2006/main" count="3">
        <x14:dataValidation type="list" allowBlank="1" showInputMessage="1" showErrorMessage="1" xr:uid="{E019C283-BF22-40E7-8244-CE35B379EFA5}">
          <x14:formula1>
            <xm:f>Taxonomia!$B$12:$C$12</xm:f>
          </x14:formula1>
          <xm:sqref>Q14:Q35 Q37:Q44 Q2 Q4:Q12 Q46:Q645</xm:sqref>
        </x14:dataValidation>
        <x14:dataValidation type="list" allowBlank="1" showInputMessage="1" showErrorMessage="1" xr:uid="{1BDF5B43-C0FB-465F-BAD3-1741FDC5C5AF}">
          <x14:formula1>
            <xm:f>Taxonomia!$B$13:$D$13</xm:f>
          </x14:formula1>
          <xm:sqref>R2:R35 R37:R51</xm:sqref>
        </x14:dataValidation>
        <x14:dataValidation type="list" allowBlank="1" showInputMessage="1" showErrorMessage="1" xr:uid="{35CB59A5-C599-44F0-AD96-C44DFBE66CE1}">
          <x14:formula1>
            <xm:f>Taxonomia!$B$19:$C$19</xm:f>
          </x14:formula1>
          <xm:sqref>V40:V44 V35:V38 V1:V4 V6:V9 V46:V51 V14:V31 V53:V1048576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F0443-0221-4CCD-B7A1-D66316A84424}">
  <dimension ref="A1:A5"/>
  <sheetViews>
    <sheetView zoomScale="110" zoomScaleNormal="110" workbookViewId="0">
      <selection activeCell="A9" sqref="A9"/>
    </sheetView>
  </sheetViews>
  <sheetFormatPr baseColWidth="10" defaultColWidth="11.44140625" defaultRowHeight="14.4"/>
  <cols>
    <col min="1" max="1" width="90.33203125" bestFit="1" customWidth="1"/>
  </cols>
  <sheetData>
    <row r="1" spans="1:1">
      <c r="A1" s="3" t="s">
        <v>3644</v>
      </c>
    </row>
    <row r="2" spans="1:1">
      <c r="A2" t="s">
        <v>3645</v>
      </c>
    </row>
    <row r="3" spans="1:1">
      <c r="A3" t="s">
        <v>3646</v>
      </c>
    </row>
    <row r="4" spans="1:1">
      <c r="A4" t="s">
        <v>3647</v>
      </c>
    </row>
    <row r="5" spans="1:1">
      <c r="A5" t="s">
        <v>3648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01ED3-688F-4A1D-A733-8450947069C2}">
  <dimension ref="A1:G20"/>
  <sheetViews>
    <sheetView workbookViewId="0">
      <selection activeCell="C4" sqref="C4"/>
    </sheetView>
  </sheetViews>
  <sheetFormatPr baseColWidth="10" defaultColWidth="11.44140625" defaultRowHeight="14.4"/>
  <cols>
    <col min="1" max="1" width="31.109375" bestFit="1" customWidth="1"/>
    <col min="2" max="2" width="21.6640625" customWidth="1"/>
    <col min="3" max="3" width="40.109375" customWidth="1"/>
  </cols>
  <sheetData>
    <row r="1" spans="1:3">
      <c r="A1" s="6" t="s">
        <v>3649</v>
      </c>
      <c r="B1" s="6" t="s">
        <v>3650</v>
      </c>
      <c r="C1" s="6" t="s">
        <v>3651</v>
      </c>
    </row>
    <row r="2" spans="1:3">
      <c r="A2" s="11" t="s">
        <v>10</v>
      </c>
      <c r="B2" s="7" t="s">
        <v>3652</v>
      </c>
      <c r="C2" s="7" t="s">
        <v>3653</v>
      </c>
    </row>
    <row r="3" spans="1:3">
      <c r="A3" s="60" t="s">
        <v>3654</v>
      </c>
      <c r="B3" s="7" t="s">
        <v>3655</v>
      </c>
      <c r="C3" s="8" t="s">
        <v>3656</v>
      </c>
    </row>
    <row r="4" spans="1:3">
      <c r="A4" s="61"/>
      <c r="B4" s="7" t="s">
        <v>3657</v>
      </c>
      <c r="C4" s="8" t="s">
        <v>3658</v>
      </c>
    </row>
    <row r="5" spans="1:3">
      <c r="A5" s="11" t="s">
        <v>3659</v>
      </c>
      <c r="B5" s="7" t="s">
        <v>3660</v>
      </c>
      <c r="C5" s="8" t="s">
        <v>3661</v>
      </c>
    </row>
    <row r="6" spans="1:3">
      <c r="A6" s="11" t="s">
        <v>19</v>
      </c>
      <c r="B6" s="7" t="s">
        <v>3662</v>
      </c>
      <c r="C6" s="8" t="s">
        <v>3663</v>
      </c>
    </row>
    <row r="7" spans="1:3">
      <c r="A7" s="11" t="s">
        <v>3664</v>
      </c>
      <c r="B7" s="62" t="s">
        <v>3665</v>
      </c>
      <c r="C7" s="62" t="s">
        <v>3653</v>
      </c>
    </row>
    <row r="8" spans="1:3" ht="28.8">
      <c r="A8" s="11" t="s">
        <v>3666</v>
      </c>
      <c r="B8" s="63"/>
      <c r="C8" s="63"/>
    </row>
    <row r="9" spans="1:3">
      <c r="A9" s="11" t="s">
        <v>19</v>
      </c>
      <c r="B9" s="64"/>
      <c r="C9" s="64"/>
    </row>
    <row r="18" spans="3:7">
      <c r="G18" t="s">
        <v>3667</v>
      </c>
    </row>
    <row r="20" spans="3:7">
      <c r="C20" s="49"/>
    </row>
  </sheetData>
  <mergeCells count="3">
    <mergeCell ref="A3:A4"/>
    <mergeCell ref="B7:B9"/>
    <mergeCell ref="C7:C9"/>
  </mergeCells>
  <phoneticPr fontId="6" type="noConversion"/>
  <hyperlinks>
    <hyperlink ref="C5" r:id="rId1" xr:uid="{9454EB3A-923D-4040-B247-3561340929F5}"/>
    <hyperlink ref="C6" r:id="rId2" xr:uid="{D1774463-9B86-4779-BB9F-9AC52ACD9870}"/>
    <hyperlink ref="C3" r:id="rId3" xr:uid="{FFA75B09-31F2-4396-9CE1-1E52A7B5D720}"/>
    <hyperlink ref="C4" r:id="rId4" xr:uid="{894AD53F-9429-41E4-AB53-8A0386A7E9E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8C9DD-47FF-4B78-84A7-7140E68AFAA2}">
  <dimension ref="A1:H27"/>
  <sheetViews>
    <sheetView workbookViewId="0">
      <selection activeCell="H26" sqref="H26"/>
    </sheetView>
  </sheetViews>
  <sheetFormatPr baseColWidth="10" defaultColWidth="11.44140625" defaultRowHeight="14.4"/>
  <cols>
    <col min="1" max="1" width="35.6640625" bestFit="1" customWidth="1"/>
    <col min="3" max="3" width="14.5546875" bestFit="1" customWidth="1"/>
    <col min="4" max="4" width="14.33203125" bestFit="1" customWidth="1"/>
    <col min="8" max="8" width="42.33203125" bestFit="1" customWidth="1"/>
  </cols>
  <sheetData>
    <row r="1" spans="1:8">
      <c r="A1" s="4" t="s">
        <v>3668</v>
      </c>
      <c r="B1" s="4" t="s">
        <v>3669</v>
      </c>
      <c r="C1" s="4" t="s">
        <v>3670</v>
      </c>
      <c r="D1" s="4" t="s">
        <v>3671</v>
      </c>
    </row>
    <row r="2" spans="1:8">
      <c r="A2" s="1" t="s">
        <v>3672</v>
      </c>
      <c r="B2" s="1">
        <v>3</v>
      </c>
      <c r="C2" s="1"/>
      <c r="D2" s="1">
        <v>9</v>
      </c>
    </row>
    <row r="3" spans="1:8">
      <c r="A3" s="1" t="s">
        <v>3673</v>
      </c>
      <c r="B3" s="1" t="s">
        <v>3674</v>
      </c>
      <c r="C3" s="1">
        <v>4</v>
      </c>
      <c r="D3" s="1" t="s">
        <v>3675</v>
      </c>
    </row>
    <row r="4" spans="1:8">
      <c r="A4" s="1" t="s">
        <v>183</v>
      </c>
      <c r="B4" s="1">
        <v>9</v>
      </c>
      <c r="C4" s="1"/>
      <c r="D4" s="1" t="s">
        <v>3676</v>
      </c>
    </row>
    <row r="5" spans="1:8">
      <c r="A5" s="1" t="s">
        <v>3677</v>
      </c>
      <c r="B5" s="1" t="s">
        <v>3678</v>
      </c>
      <c r="C5" s="1" t="s">
        <v>3679</v>
      </c>
      <c r="D5" s="1">
        <v>9</v>
      </c>
    </row>
    <row r="6" spans="1:8">
      <c r="A6" s="1" t="s">
        <v>3680</v>
      </c>
      <c r="B6" s="1"/>
      <c r="C6" s="1" t="s">
        <v>3681</v>
      </c>
      <c r="D6" s="1" t="s">
        <v>3682</v>
      </c>
    </row>
    <row r="7" spans="1:8">
      <c r="A7" s="1" t="s">
        <v>3683</v>
      </c>
      <c r="B7" s="1" t="s">
        <v>3684</v>
      </c>
      <c r="C7" s="1"/>
      <c r="D7" s="1">
        <v>7</v>
      </c>
    </row>
    <row r="8" spans="1:8">
      <c r="A8" s="1" t="s">
        <v>3685</v>
      </c>
      <c r="B8" s="1" t="s">
        <v>3686</v>
      </c>
      <c r="C8" s="1"/>
      <c r="D8" s="1" t="s">
        <v>3675</v>
      </c>
      <c r="G8" s="5" t="s">
        <v>3687</v>
      </c>
      <c r="H8" s="5" t="s">
        <v>3688</v>
      </c>
    </row>
    <row r="9" spans="1:8">
      <c r="A9" s="1" t="s">
        <v>3689</v>
      </c>
      <c r="B9" s="1" t="s">
        <v>3690</v>
      </c>
      <c r="C9" s="1" t="s">
        <v>3691</v>
      </c>
      <c r="D9" s="1">
        <v>9</v>
      </c>
      <c r="G9" s="1">
        <v>4</v>
      </c>
      <c r="H9" s="1" t="s">
        <v>3692</v>
      </c>
    </row>
    <row r="10" spans="1:8">
      <c r="A10" s="1" t="s">
        <v>3693</v>
      </c>
      <c r="B10" s="1"/>
      <c r="C10" s="1">
        <v>5</v>
      </c>
      <c r="D10" s="1" t="s">
        <v>3694</v>
      </c>
      <c r="G10" s="1">
        <v>5</v>
      </c>
      <c r="H10" s="1" t="s">
        <v>3695</v>
      </c>
    </row>
    <row r="11" spans="1:8">
      <c r="A11" s="1" t="s">
        <v>3696</v>
      </c>
      <c r="B11" s="1"/>
      <c r="C11" s="1" t="s">
        <v>3697</v>
      </c>
      <c r="D11" s="1" t="s">
        <v>3698</v>
      </c>
      <c r="G11" s="1">
        <v>6</v>
      </c>
      <c r="H11" s="1" t="s">
        <v>3699</v>
      </c>
    </row>
    <row r="12" spans="1:8">
      <c r="A12" s="1" t="s">
        <v>123</v>
      </c>
      <c r="B12" s="1"/>
      <c r="C12" s="1" t="s">
        <v>3700</v>
      </c>
      <c r="D12" s="1" t="s">
        <v>3698</v>
      </c>
      <c r="G12" s="1">
        <v>7</v>
      </c>
      <c r="H12" s="1" t="s">
        <v>3701</v>
      </c>
    </row>
    <row r="13" spans="1:8">
      <c r="A13" s="1" t="s">
        <v>3702</v>
      </c>
      <c r="B13" s="1"/>
      <c r="C13" s="1">
        <v>17</v>
      </c>
      <c r="D13" s="1" t="s">
        <v>3703</v>
      </c>
      <c r="G13" s="1">
        <v>8</v>
      </c>
      <c r="H13" s="1" t="s">
        <v>3704</v>
      </c>
    </row>
    <row r="14" spans="1:8">
      <c r="A14" s="1" t="s">
        <v>3705</v>
      </c>
      <c r="B14" s="1"/>
      <c r="C14" s="1" t="s">
        <v>3706</v>
      </c>
      <c r="D14" s="1" t="s">
        <v>3698</v>
      </c>
      <c r="G14" s="1">
        <v>9</v>
      </c>
      <c r="H14" s="1" t="s">
        <v>3707</v>
      </c>
    </row>
    <row r="15" spans="1:8">
      <c r="A15" s="1" t="s">
        <v>3708</v>
      </c>
      <c r="B15" s="1" t="s">
        <v>3709</v>
      </c>
      <c r="C15" s="1">
        <v>6</v>
      </c>
      <c r="D15" s="1" t="s">
        <v>3710</v>
      </c>
      <c r="G15" s="1">
        <v>10</v>
      </c>
      <c r="H15" s="1" t="s">
        <v>3711</v>
      </c>
    </row>
    <row r="16" spans="1:8">
      <c r="A16" s="1" t="s">
        <v>458</v>
      </c>
      <c r="B16" s="1" t="s">
        <v>3712</v>
      </c>
      <c r="C16" s="1" t="s">
        <v>3713</v>
      </c>
      <c r="D16" s="1" t="s">
        <v>3714</v>
      </c>
    </row>
    <row r="17" spans="1:4">
      <c r="A17" s="1" t="s">
        <v>3715</v>
      </c>
      <c r="B17" s="1" t="s">
        <v>3716</v>
      </c>
      <c r="C17" s="1" t="s">
        <v>3717</v>
      </c>
      <c r="D17" s="1" t="s">
        <v>3718</v>
      </c>
    </row>
    <row r="18" spans="1:4">
      <c r="A18" s="1" t="s">
        <v>3719</v>
      </c>
      <c r="B18" s="1"/>
      <c r="C18" s="1" t="s">
        <v>3720</v>
      </c>
      <c r="D18" s="1" t="s">
        <v>3682</v>
      </c>
    </row>
    <row r="19" spans="1:4">
      <c r="A19" s="1" t="s">
        <v>3721</v>
      </c>
      <c r="B19" s="1"/>
      <c r="C19" s="1" t="s">
        <v>3722</v>
      </c>
      <c r="D19" s="1" t="s">
        <v>3723</v>
      </c>
    </row>
    <row r="20" spans="1:4">
      <c r="A20" s="1" t="s">
        <v>3724</v>
      </c>
      <c r="B20" s="1"/>
      <c r="C20" s="1" t="s">
        <v>3684</v>
      </c>
      <c r="D20" s="1" t="s">
        <v>3682</v>
      </c>
    </row>
    <row r="21" spans="1:4">
      <c r="A21" s="1" t="s">
        <v>228</v>
      </c>
      <c r="B21" s="1"/>
      <c r="C21" s="1">
        <v>8</v>
      </c>
      <c r="D21" s="1" t="s">
        <v>3725</v>
      </c>
    </row>
    <row r="22" spans="1:4">
      <c r="A22" s="1" t="s">
        <v>3726</v>
      </c>
      <c r="B22" s="1"/>
      <c r="C22" s="1" t="s">
        <v>3727</v>
      </c>
      <c r="D22" s="1">
        <v>8</v>
      </c>
    </row>
    <row r="23" spans="1:4">
      <c r="A23" s="1" t="s">
        <v>3728</v>
      </c>
      <c r="B23" s="1"/>
      <c r="C23" s="1" t="s">
        <v>3729</v>
      </c>
      <c r="D23" s="1" t="s">
        <v>3730</v>
      </c>
    </row>
    <row r="24" spans="1:4">
      <c r="A24" s="1" t="s">
        <v>196</v>
      </c>
      <c r="B24" s="1"/>
      <c r="C24" s="1" t="s">
        <v>3731</v>
      </c>
      <c r="D24" s="1" t="s">
        <v>3732</v>
      </c>
    </row>
    <row r="25" spans="1:4">
      <c r="A25" s="1" t="s">
        <v>3733</v>
      </c>
      <c r="B25" s="1"/>
      <c r="C25" s="1" t="s">
        <v>3731</v>
      </c>
      <c r="D25" s="1">
        <v>8</v>
      </c>
    </row>
    <row r="26" spans="1:4">
      <c r="A26" s="1" t="s">
        <v>3734</v>
      </c>
      <c r="B26" s="1"/>
      <c r="C26" s="1" t="s">
        <v>3735</v>
      </c>
      <c r="D26" s="1">
        <v>10</v>
      </c>
    </row>
    <row r="27" spans="1:4">
      <c r="A27" s="1" t="s">
        <v>3736</v>
      </c>
      <c r="B27" s="1"/>
      <c r="C27" s="1" t="s">
        <v>3737</v>
      </c>
      <c r="D27" s="1">
        <v>10</v>
      </c>
    </row>
  </sheetData>
  <phoneticPr fontId="6"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1C23-C089-4C54-A6F8-DFE138E3F502}">
  <dimension ref="A1:W22"/>
  <sheetViews>
    <sheetView zoomScale="73" zoomScaleNormal="48" workbookViewId="0">
      <selection activeCell="G15" sqref="G15"/>
    </sheetView>
  </sheetViews>
  <sheetFormatPr baseColWidth="10" defaultColWidth="11.5546875" defaultRowHeight="14.4"/>
  <cols>
    <col min="1" max="1" width="35.109375" style="9" bestFit="1" customWidth="1"/>
    <col min="2" max="7" width="33.88671875" style="9" customWidth="1"/>
    <col min="8" max="8" width="11.5546875" style="9"/>
    <col min="9" max="9" width="15.44140625" style="9" customWidth="1"/>
    <col min="10" max="10" width="11.5546875" style="9"/>
    <col min="11" max="11" width="12.5546875" style="9" customWidth="1"/>
    <col min="12" max="16384" width="11.5546875" style="9"/>
  </cols>
  <sheetData>
    <row r="1" spans="1:23" s="46" customFormat="1" ht="17.399999999999999" customHeight="1">
      <c r="A1" s="53" t="s">
        <v>3738</v>
      </c>
      <c r="B1" s="67" t="s">
        <v>3739</v>
      </c>
      <c r="C1" s="67"/>
      <c r="D1" s="67"/>
      <c r="E1" s="67"/>
      <c r="F1" s="68"/>
      <c r="G1" s="45"/>
      <c r="H1" s="45"/>
      <c r="I1" s="45"/>
      <c r="J1" s="45"/>
      <c r="K1" s="45"/>
      <c r="L1" s="45"/>
      <c r="M1" s="45"/>
      <c r="N1" s="45"/>
      <c r="O1" s="45"/>
      <c r="P1" s="45"/>
      <c r="Q1" s="45"/>
      <c r="R1" s="45"/>
      <c r="S1" s="45"/>
      <c r="T1" s="45"/>
      <c r="U1" s="45"/>
      <c r="V1" s="45"/>
      <c r="W1" s="45"/>
    </row>
    <row r="2" spans="1:23" s="46" customFormat="1">
      <c r="A2" s="69" t="s">
        <v>10</v>
      </c>
      <c r="B2" s="2" t="s">
        <v>279</v>
      </c>
      <c r="C2" s="2" t="s">
        <v>3740</v>
      </c>
      <c r="D2" s="2" t="s">
        <v>3741</v>
      </c>
      <c r="E2" s="2" t="s">
        <v>34</v>
      </c>
      <c r="F2" s="47" t="s">
        <v>194</v>
      </c>
      <c r="G2" s="45"/>
      <c r="H2" s="45"/>
      <c r="I2" s="45"/>
      <c r="J2" s="45"/>
      <c r="K2" s="45"/>
      <c r="L2" s="45"/>
      <c r="M2" s="45"/>
      <c r="N2" s="45"/>
      <c r="O2" s="45"/>
      <c r="P2" s="45"/>
      <c r="Q2" s="45"/>
      <c r="R2" s="45"/>
      <c r="S2" s="45"/>
      <c r="T2" s="45"/>
      <c r="U2" s="45"/>
      <c r="V2" s="45"/>
      <c r="W2" s="45"/>
    </row>
    <row r="3" spans="1:23" s="46" customFormat="1">
      <c r="A3" s="69"/>
      <c r="B3" s="2" t="s">
        <v>3742</v>
      </c>
      <c r="C3" s="2" t="s">
        <v>3743</v>
      </c>
      <c r="D3" s="2" t="s">
        <v>36</v>
      </c>
      <c r="E3" s="72"/>
      <c r="F3" s="73"/>
      <c r="G3" s="45"/>
      <c r="H3" s="45"/>
      <c r="I3" s="45"/>
      <c r="J3" s="45"/>
      <c r="K3" s="45"/>
      <c r="L3" s="45"/>
      <c r="M3" s="45"/>
      <c r="N3" s="45"/>
      <c r="O3" s="45"/>
      <c r="P3" s="45"/>
      <c r="Q3" s="45"/>
      <c r="R3" s="45"/>
      <c r="S3" s="45"/>
      <c r="T3" s="45"/>
      <c r="U3" s="45"/>
      <c r="V3" s="45"/>
      <c r="W3" s="45"/>
    </row>
    <row r="4" spans="1:23" s="46" customFormat="1">
      <c r="A4" s="69" t="s">
        <v>3654</v>
      </c>
      <c r="B4" s="2" t="s">
        <v>3744</v>
      </c>
      <c r="C4" s="2" t="s">
        <v>3745</v>
      </c>
      <c r="D4" s="2" t="s">
        <v>183</v>
      </c>
      <c r="E4" s="2" t="s">
        <v>3746</v>
      </c>
      <c r="F4" s="47" t="s">
        <v>520</v>
      </c>
      <c r="G4" s="45"/>
      <c r="H4" s="45"/>
      <c r="I4" s="45"/>
      <c r="J4" s="45"/>
      <c r="K4" s="45"/>
      <c r="L4" s="45"/>
      <c r="M4" s="45"/>
      <c r="N4" s="45"/>
      <c r="O4" s="45"/>
      <c r="P4" s="45"/>
      <c r="Q4" s="45"/>
      <c r="R4" s="45"/>
      <c r="S4" s="45"/>
      <c r="T4" s="45"/>
      <c r="U4" s="45"/>
      <c r="V4" s="45"/>
      <c r="W4" s="45"/>
    </row>
    <row r="5" spans="1:23" s="46" customFormat="1" ht="28.8">
      <c r="A5" s="69"/>
      <c r="B5" s="2" t="s">
        <v>3747</v>
      </c>
      <c r="C5" s="2" t="s">
        <v>3748</v>
      </c>
      <c r="D5" s="2" t="s">
        <v>3749</v>
      </c>
      <c r="E5" s="2" t="s">
        <v>3693</v>
      </c>
      <c r="F5" s="47" t="s">
        <v>3696</v>
      </c>
      <c r="G5" s="45"/>
      <c r="H5" s="45"/>
      <c r="I5" s="45"/>
      <c r="J5" s="45"/>
      <c r="K5" s="45"/>
      <c r="L5" s="45"/>
      <c r="M5" s="45"/>
      <c r="N5" s="45"/>
      <c r="O5" s="45"/>
      <c r="P5" s="45"/>
      <c r="Q5" s="45"/>
      <c r="R5" s="45"/>
      <c r="S5" s="45"/>
      <c r="T5" s="45"/>
      <c r="U5" s="45"/>
      <c r="V5" s="45"/>
      <c r="W5" s="45"/>
    </row>
    <row r="6" spans="1:23" s="46" customFormat="1" ht="28.8">
      <c r="A6" s="69"/>
      <c r="B6" s="2" t="s">
        <v>123</v>
      </c>
      <c r="C6" s="2" t="s">
        <v>3750</v>
      </c>
      <c r="D6" s="2" t="s">
        <v>3751</v>
      </c>
      <c r="E6" s="2" t="s">
        <v>3752</v>
      </c>
      <c r="F6" s="47" t="s">
        <v>458</v>
      </c>
      <c r="G6" s="45"/>
      <c r="H6" s="45"/>
      <c r="I6" s="45"/>
      <c r="J6" s="45"/>
      <c r="K6" s="45"/>
      <c r="L6" s="45"/>
      <c r="M6" s="45"/>
      <c r="N6" s="45"/>
      <c r="O6" s="45"/>
      <c r="P6" s="45"/>
      <c r="Q6" s="45"/>
      <c r="R6" s="45"/>
      <c r="S6" s="45"/>
      <c r="T6" s="45"/>
      <c r="U6" s="45"/>
      <c r="V6" s="45"/>
      <c r="W6" s="45"/>
    </row>
    <row r="7" spans="1:23" s="46" customFormat="1">
      <c r="A7" s="69"/>
      <c r="B7" s="2" t="s">
        <v>3715</v>
      </c>
      <c r="C7" s="2" t="s">
        <v>3719</v>
      </c>
      <c r="D7" s="2" t="s">
        <v>3721</v>
      </c>
      <c r="E7" s="2" t="s">
        <v>3753</v>
      </c>
      <c r="F7" s="47" t="s">
        <v>228</v>
      </c>
      <c r="G7" s="45"/>
      <c r="H7" s="45"/>
      <c r="I7" s="45"/>
      <c r="J7" s="45"/>
      <c r="K7" s="45"/>
      <c r="L7" s="45"/>
      <c r="M7" s="45"/>
      <c r="N7" s="45"/>
      <c r="O7" s="45"/>
      <c r="P7" s="45"/>
      <c r="Q7" s="45"/>
      <c r="R7" s="45"/>
      <c r="S7" s="45"/>
      <c r="T7" s="45"/>
      <c r="U7" s="45"/>
      <c r="V7" s="45"/>
      <c r="W7" s="45"/>
    </row>
    <row r="8" spans="1:23" s="46" customFormat="1">
      <c r="A8" s="69"/>
      <c r="B8" s="2" t="s">
        <v>67</v>
      </c>
      <c r="C8" s="2" t="s">
        <v>3754</v>
      </c>
      <c r="D8" s="2" t="s">
        <v>196</v>
      </c>
      <c r="E8" s="2" t="s">
        <v>3733</v>
      </c>
      <c r="F8" s="47" t="s">
        <v>3734</v>
      </c>
      <c r="G8" s="45"/>
      <c r="H8" s="45"/>
      <c r="I8" s="45"/>
      <c r="J8" s="45"/>
      <c r="K8" s="45"/>
      <c r="L8" s="45"/>
      <c r="M8" s="45"/>
      <c r="N8" s="45"/>
      <c r="O8" s="45"/>
      <c r="P8" s="45"/>
      <c r="Q8" s="45"/>
      <c r="R8" s="45"/>
      <c r="S8" s="45"/>
      <c r="T8" s="45"/>
      <c r="U8" s="45"/>
      <c r="V8" s="45"/>
      <c r="W8" s="45"/>
    </row>
    <row r="9" spans="1:23" s="46" customFormat="1">
      <c r="A9" s="69"/>
      <c r="B9" s="2" t="s">
        <v>3736</v>
      </c>
      <c r="C9" s="2" t="s">
        <v>36</v>
      </c>
      <c r="D9" s="70"/>
      <c r="E9" s="70"/>
      <c r="F9" s="71"/>
      <c r="G9" s="45"/>
      <c r="H9" s="45"/>
      <c r="I9" s="45"/>
      <c r="J9" s="45"/>
      <c r="K9" s="45"/>
      <c r="L9" s="45"/>
      <c r="M9" s="45"/>
      <c r="N9" s="45"/>
      <c r="O9" s="45"/>
      <c r="P9" s="45"/>
      <c r="Q9" s="45"/>
      <c r="R9" s="45"/>
      <c r="S9" s="45"/>
      <c r="T9" s="45"/>
      <c r="U9" s="45"/>
      <c r="V9" s="45"/>
      <c r="W9" s="45"/>
    </row>
    <row r="10" spans="1:23" s="46" customFormat="1" ht="36" customHeight="1">
      <c r="A10" s="54" t="s">
        <v>3659</v>
      </c>
      <c r="B10" s="2" t="s">
        <v>3755</v>
      </c>
      <c r="C10" s="2" t="s">
        <v>3756</v>
      </c>
      <c r="D10" s="2" t="s">
        <v>94</v>
      </c>
      <c r="E10" s="2" t="s">
        <v>3757</v>
      </c>
      <c r="F10" s="47" t="s">
        <v>3758</v>
      </c>
      <c r="G10" s="45"/>
      <c r="H10" s="45"/>
      <c r="I10" s="45"/>
      <c r="J10" s="45"/>
      <c r="K10" s="45"/>
      <c r="L10" s="45"/>
      <c r="M10" s="45"/>
      <c r="N10" s="45"/>
      <c r="O10" s="45"/>
      <c r="P10" s="45"/>
      <c r="Q10" s="45"/>
      <c r="R10" s="45"/>
      <c r="S10" s="45"/>
      <c r="T10" s="45"/>
      <c r="U10" s="45"/>
      <c r="V10" s="45"/>
      <c r="W10" s="45"/>
    </row>
    <row r="11" spans="1:23" s="46" customFormat="1" ht="36" customHeight="1">
      <c r="A11" s="54"/>
      <c r="B11" s="2" t="s">
        <v>3759</v>
      </c>
      <c r="C11" s="2" t="s">
        <v>3760</v>
      </c>
      <c r="D11" s="2" t="s">
        <v>3761</v>
      </c>
      <c r="E11" s="2" t="s">
        <v>3762</v>
      </c>
      <c r="F11" s="47" t="s">
        <v>395</v>
      </c>
      <c r="G11" s="45"/>
      <c r="H11" s="45"/>
      <c r="I11" s="45"/>
      <c r="J11" s="45"/>
      <c r="K11" s="45"/>
      <c r="L11" s="45"/>
      <c r="M11" s="45"/>
      <c r="N11" s="45"/>
      <c r="O11" s="45"/>
      <c r="P11" s="45"/>
      <c r="Q11" s="45"/>
      <c r="R11" s="45"/>
      <c r="S11" s="45"/>
      <c r="T11" s="45"/>
      <c r="U11" s="45"/>
      <c r="V11" s="45"/>
      <c r="W11" s="45"/>
    </row>
    <row r="12" spans="1:23" s="46" customFormat="1">
      <c r="A12" s="54" t="s">
        <v>16</v>
      </c>
      <c r="B12" s="2" t="s">
        <v>40</v>
      </c>
      <c r="C12" s="2" t="s">
        <v>58</v>
      </c>
      <c r="D12" s="72"/>
      <c r="E12" s="74"/>
      <c r="F12" s="73"/>
      <c r="G12" s="45"/>
      <c r="H12" s="45"/>
      <c r="I12" s="45"/>
      <c r="J12" s="45"/>
      <c r="K12" s="45"/>
      <c r="L12" s="45"/>
      <c r="M12" s="45"/>
      <c r="N12" s="45"/>
      <c r="O12" s="45"/>
      <c r="P12" s="45"/>
      <c r="Q12" s="45"/>
      <c r="R12" s="45"/>
      <c r="S12" s="45"/>
      <c r="T12" s="45"/>
      <c r="U12" s="45"/>
      <c r="V12" s="45"/>
      <c r="W12" s="45"/>
    </row>
    <row r="13" spans="1:23" s="46" customFormat="1" ht="33" customHeight="1">
      <c r="A13" s="54" t="s">
        <v>3664</v>
      </c>
      <c r="B13" s="2" t="s">
        <v>86</v>
      </c>
      <c r="C13" s="2" t="s">
        <v>165</v>
      </c>
      <c r="D13" s="2" t="s">
        <v>3763</v>
      </c>
      <c r="E13" s="70"/>
      <c r="F13" s="71"/>
      <c r="G13" s="45"/>
      <c r="H13" s="45"/>
      <c r="I13" s="45"/>
      <c r="J13" s="45"/>
      <c r="K13" s="45"/>
      <c r="L13" s="45"/>
      <c r="M13" s="45"/>
      <c r="N13" s="45"/>
      <c r="O13" s="45"/>
      <c r="P13" s="45"/>
      <c r="Q13" s="45"/>
      <c r="R13" s="45"/>
      <c r="S13" s="45"/>
      <c r="T13" s="45"/>
      <c r="U13" s="45"/>
      <c r="V13" s="45"/>
      <c r="W13" s="45"/>
    </row>
    <row r="14" spans="1:23" s="46" customFormat="1" ht="41.25" customHeight="1">
      <c r="A14" s="69" t="s">
        <v>3666</v>
      </c>
      <c r="B14" s="2" t="s">
        <v>185</v>
      </c>
      <c r="C14" s="2" t="s">
        <v>95</v>
      </c>
      <c r="D14" s="2" t="s">
        <v>3764</v>
      </c>
      <c r="E14" s="2" t="s">
        <v>151</v>
      </c>
      <c r="F14" s="47" t="s">
        <v>3765</v>
      </c>
      <c r="G14" s="45"/>
      <c r="H14" s="45"/>
      <c r="I14" s="45"/>
      <c r="J14" s="45"/>
      <c r="K14" s="45"/>
      <c r="L14" s="45"/>
      <c r="M14" s="45"/>
      <c r="N14" s="45"/>
      <c r="O14" s="45"/>
      <c r="P14" s="45"/>
      <c r="Q14" s="45"/>
      <c r="R14" s="45"/>
      <c r="S14" s="45"/>
      <c r="T14" s="45"/>
      <c r="U14" s="45"/>
      <c r="V14" s="45"/>
      <c r="W14" s="45"/>
    </row>
    <row r="15" spans="1:23" s="46" customFormat="1" ht="41.25" customHeight="1">
      <c r="A15" s="69"/>
      <c r="B15" s="2" t="s">
        <v>3766</v>
      </c>
      <c r="C15" s="2" t="s">
        <v>42</v>
      </c>
      <c r="D15" s="2" t="s">
        <v>3767</v>
      </c>
      <c r="E15" s="2" t="s">
        <v>513</v>
      </c>
      <c r="F15" s="47" t="s">
        <v>198</v>
      </c>
      <c r="G15" s="45"/>
      <c r="H15" s="45"/>
      <c r="I15" s="45"/>
      <c r="J15" s="45"/>
      <c r="K15" s="45"/>
      <c r="L15" s="45"/>
      <c r="M15" s="45"/>
      <c r="N15" s="45"/>
      <c r="O15" s="45"/>
      <c r="P15" s="45"/>
      <c r="Q15" s="45"/>
      <c r="R15" s="45"/>
      <c r="S15" s="45"/>
      <c r="T15" s="45"/>
      <c r="U15" s="45"/>
      <c r="V15" s="45"/>
      <c r="W15" s="45"/>
    </row>
    <row r="16" spans="1:23" s="46" customFormat="1" ht="35.4" customHeight="1">
      <c r="A16" s="69" t="s">
        <v>19</v>
      </c>
      <c r="B16" s="2" t="s">
        <v>324</v>
      </c>
      <c r="C16" s="2" t="s">
        <v>43</v>
      </c>
      <c r="D16" s="2" t="s">
        <v>3768</v>
      </c>
      <c r="E16" s="2" t="s">
        <v>261</v>
      </c>
      <c r="F16" s="47" t="s">
        <v>152</v>
      </c>
      <c r="G16" s="45"/>
      <c r="H16" s="45"/>
      <c r="I16" s="45"/>
      <c r="J16" s="45"/>
      <c r="K16" s="45"/>
      <c r="L16" s="45"/>
      <c r="M16" s="45"/>
      <c r="N16" s="45"/>
      <c r="O16" s="45"/>
      <c r="P16" s="45"/>
      <c r="Q16" s="45"/>
      <c r="R16" s="45"/>
      <c r="S16" s="45"/>
      <c r="T16" s="45"/>
      <c r="U16" s="45"/>
      <c r="V16" s="45"/>
      <c r="W16" s="45"/>
    </row>
    <row r="17" spans="1:23" s="46" customFormat="1" ht="35.4" customHeight="1">
      <c r="A17" s="69"/>
      <c r="B17" s="2" t="s">
        <v>3769</v>
      </c>
      <c r="C17" s="2" t="s">
        <v>3770</v>
      </c>
      <c r="D17" s="2" t="s">
        <v>3771</v>
      </c>
      <c r="E17" s="70"/>
      <c r="F17" s="71"/>
      <c r="G17" s="45"/>
      <c r="H17" s="45"/>
      <c r="I17" s="45"/>
      <c r="J17" s="45"/>
      <c r="K17" s="45"/>
      <c r="L17" s="45"/>
      <c r="M17" s="45"/>
      <c r="N17" s="45"/>
      <c r="O17" s="45"/>
      <c r="P17" s="45"/>
      <c r="Q17" s="45"/>
      <c r="R17" s="45"/>
      <c r="S17" s="45"/>
      <c r="T17" s="45"/>
      <c r="U17" s="45"/>
      <c r="V17" s="45"/>
      <c r="W17" s="45"/>
    </row>
    <row r="18" spans="1:23" s="46" customFormat="1" ht="28.8">
      <c r="A18" s="54" t="s">
        <v>3772</v>
      </c>
      <c r="B18" s="70" t="s">
        <v>3773</v>
      </c>
      <c r="C18" s="70"/>
      <c r="D18" s="70"/>
      <c r="E18" s="70"/>
      <c r="F18" s="71"/>
      <c r="G18" s="45"/>
      <c r="H18" s="45"/>
      <c r="I18" s="45"/>
      <c r="J18" s="45"/>
      <c r="K18" s="45"/>
      <c r="L18" s="45"/>
      <c r="M18" s="45"/>
      <c r="N18" s="45"/>
      <c r="O18" s="45"/>
      <c r="P18" s="45"/>
      <c r="Q18" s="45"/>
      <c r="R18" s="45"/>
      <c r="S18" s="45"/>
      <c r="T18" s="45"/>
      <c r="U18" s="45"/>
      <c r="V18" s="45"/>
      <c r="W18" s="45"/>
    </row>
    <row r="19" spans="1:23" s="46" customFormat="1" ht="15" thickBot="1">
      <c r="A19" s="55" t="s">
        <v>3774</v>
      </c>
      <c r="B19" s="48" t="s">
        <v>371</v>
      </c>
      <c r="C19" s="48" t="s">
        <v>44</v>
      </c>
      <c r="D19" s="65"/>
      <c r="E19" s="65"/>
      <c r="F19" s="66"/>
      <c r="G19" s="45"/>
      <c r="H19" s="45"/>
      <c r="I19" s="45"/>
      <c r="J19" s="45"/>
      <c r="K19" s="45"/>
      <c r="L19" s="45"/>
      <c r="M19" s="45"/>
      <c r="N19" s="45"/>
      <c r="O19" s="45"/>
      <c r="P19" s="45"/>
      <c r="Q19" s="45"/>
      <c r="R19" s="45"/>
      <c r="S19" s="45"/>
      <c r="T19" s="45"/>
      <c r="U19" s="45"/>
      <c r="V19" s="45"/>
      <c r="W19" s="45"/>
    </row>
    <row r="20" spans="1:23" s="46" customFormat="1">
      <c r="A20" s="9"/>
      <c r="B20" s="45"/>
      <c r="C20" s="45"/>
      <c r="D20" s="45"/>
      <c r="E20" s="45"/>
      <c r="F20" s="45"/>
      <c r="G20" s="45"/>
      <c r="H20" s="45"/>
      <c r="I20" s="45"/>
      <c r="J20" s="45"/>
      <c r="K20" s="45"/>
      <c r="L20" s="45"/>
      <c r="M20" s="45"/>
      <c r="N20" s="45"/>
      <c r="O20" s="45"/>
      <c r="P20" s="45"/>
      <c r="Q20" s="45"/>
      <c r="R20" s="45"/>
      <c r="S20" s="45"/>
      <c r="T20" s="45"/>
      <c r="U20" s="45"/>
      <c r="V20" s="45"/>
      <c r="W20" s="45"/>
    </row>
    <row r="21" spans="1:23" ht="15" thickBot="1">
      <c r="J21" s="45"/>
      <c r="K21" s="45"/>
      <c r="L21" s="45"/>
      <c r="M21" s="45"/>
      <c r="N21" s="45"/>
      <c r="O21" s="45"/>
      <c r="P21" s="45"/>
      <c r="Q21" s="45"/>
      <c r="R21" s="45"/>
      <c r="S21" s="45"/>
      <c r="T21" s="45"/>
      <c r="U21" s="45"/>
      <c r="V21" s="45"/>
      <c r="W21" s="45"/>
    </row>
    <row r="22" spans="1:23" ht="15" thickBot="1">
      <c r="A22" s="56" t="s">
        <v>3775</v>
      </c>
      <c r="B22" s="57" t="s">
        <v>3776</v>
      </c>
      <c r="C22" s="57" t="s">
        <v>3777</v>
      </c>
      <c r="D22" s="57" t="s">
        <v>3</v>
      </c>
      <c r="E22" s="57" t="s">
        <v>5</v>
      </c>
      <c r="F22" s="58" t="s">
        <v>6</v>
      </c>
    </row>
  </sheetData>
  <mergeCells count="12">
    <mergeCell ref="D19:F19"/>
    <mergeCell ref="B1:F1"/>
    <mergeCell ref="A4:A9"/>
    <mergeCell ref="A2:A3"/>
    <mergeCell ref="A14:A15"/>
    <mergeCell ref="A16:A17"/>
    <mergeCell ref="B18:F18"/>
    <mergeCell ref="E3:F3"/>
    <mergeCell ref="D9:F9"/>
    <mergeCell ref="E17:F17"/>
    <mergeCell ref="D12:F12"/>
    <mergeCell ref="E13:F13"/>
  </mergeCells>
  <pageMargins left="0.7" right="0.7" top="0.75" bottom="0.75" header="0.3" footer="0.3"/>
  <pageSetup orientation="portrait" horizontalDpi="300" verticalDpi="3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91DB12F6041643B62FE2099622CED3" ma:contentTypeVersion="15" ma:contentTypeDescription="Create a new document." ma:contentTypeScope="" ma:versionID="292d44ee564cb8900cf870eed1eed8ed">
  <xsd:schema xmlns:xsd="http://www.w3.org/2001/XMLSchema" xmlns:xs="http://www.w3.org/2001/XMLSchema" xmlns:p="http://schemas.microsoft.com/office/2006/metadata/properties" xmlns:ns3="2c74fe85-ecc8-44da-94a8-cbc46701bd9d" xmlns:ns4="7c98d71b-3f55-4970-b8a0-75a52b37a30a" targetNamespace="http://schemas.microsoft.com/office/2006/metadata/properties" ma:root="true" ma:fieldsID="dca3e806a47eebbc68fe607de8002865" ns3:_="" ns4:_="">
    <xsd:import namespace="2c74fe85-ecc8-44da-94a8-cbc46701bd9d"/>
    <xsd:import namespace="7c98d71b-3f55-4970-b8a0-75a52b37a30a"/>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DateTaken" minOccurs="0"/>
                <xsd:element ref="ns3:MediaServiceAutoTags" minOccurs="0"/>
                <xsd:element ref="ns3:MediaLengthInSeconds" minOccurs="0"/>
                <xsd:element ref="ns3:MediaServiceObjectDetectorVersions" minOccurs="0"/>
                <xsd:element ref="ns3:MediaServiceSystemTags" minOccurs="0"/>
                <xsd:element ref="ns3:MediaServiceGenerationTime" minOccurs="0"/>
                <xsd:element ref="ns3:MediaServiceEventHashCode"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74fe85-ecc8-44da-94a8-cbc46701bd9d"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8d71b-3f55-4970-b8a0-75a52b37a30a"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2c74fe85-ecc8-44da-94a8-cbc46701bd9d" xsi:nil="true"/>
  </documentManagement>
</p:properties>
</file>

<file path=customXml/itemProps1.xml><?xml version="1.0" encoding="utf-8"?>
<ds:datastoreItem xmlns:ds="http://schemas.openxmlformats.org/officeDocument/2006/customXml" ds:itemID="{0B27C641-F076-439F-9738-DE45E425AD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74fe85-ecc8-44da-94a8-cbc46701bd9d"/>
    <ds:schemaRef ds:uri="7c98d71b-3f55-4970-b8a0-75a52b37a3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F9FD7F-863B-438B-BB03-27802803AA91}">
  <ds:schemaRefs>
    <ds:schemaRef ds:uri="http://schemas.microsoft.com/sharepoint/v3/contenttype/forms"/>
  </ds:schemaRefs>
</ds:datastoreItem>
</file>

<file path=customXml/itemProps3.xml><?xml version="1.0" encoding="utf-8"?>
<ds:datastoreItem xmlns:ds="http://schemas.openxmlformats.org/officeDocument/2006/customXml" ds:itemID="{81519BCD-28AA-4215-9502-5D5571671347}">
  <ds:schemaRefs>
    <ds:schemaRef ds:uri="http://purl.org/dc/dcmitype/"/>
    <ds:schemaRef ds:uri="http://purl.org/dc/term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schemas.openxmlformats.org/package/2006/metadata/core-properties"/>
    <ds:schemaRef ds:uri="7c98d71b-3f55-4970-b8a0-75a52b37a30a"/>
    <ds:schemaRef ds:uri="2c74fe85-ecc8-44da-94a8-cbc46701bd9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Datos</vt:lpstr>
      <vt:lpstr>Reglas</vt:lpstr>
      <vt:lpstr>Fuentes</vt:lpstr>
      <vt:lpstr>Algoritmos</vt:lpstr>
      <vt:lpstr>Taxonomia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María Fernanda Del corral Pérez</dc:creator>
  <cp:keywords/>
  <dc:description/>
  <cp:lastModifiedBy>Maria Fernanda Del Corral Perez</cp:lastModifiedBy>
  <cp:revision/>
  <dcterms:created xsi:type="dcterms:W3CDTF">2025-11-05T12:56:48Z</dcterms:created>
  <dcterms:modified xsi:type="dcterms:W3CDTF">2026-06-09T00:53:16Z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0x010100EA91DB12F6041643B62FE2099622CED3</vt:lpwstr>
  </property>
</Properties>
</file>